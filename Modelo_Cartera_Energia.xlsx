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PRECIOS" sheetId="2" r:id="rId6"/>
    <sheet state="visible" name="RETORNOS" sheetId="3" r:id="rId7"/>
    <sheet state="visible" name="CORRELACION" sheetId="4" r:id="rId8"/>
    <sheet state="visible" name="COVARIANZA" sheetId="5" r:id="rId9"/>
    <sheet state="visible" name="BETA_CAPM" sheetId="6" r:id="rId10"/>
    <sheet state="visible" name="OPTIMIZACION" sheetId="7" r:id="rId11"/>
    <sheet state="visible" name="BACKTEST" sheetId="8" r:id="rId12"/>
  </sheets>
  <definedNames/>
  <calcPr/>
</workbook>
</file>

<file path=xl/sharedStrings.xml><?xml version="1.0" encoding="utf-8"?>
<sst xmlns="http://schemas.openxmlformats.org/spreadsheetml/2006/main" count="288" uniqueCount="189">
  <si>
    <t>MATRIZ DE CORRELACIÓN</t>
  </si>
  <si>
    <t>PRECIOS DE CIERRE</t>
  </si>
  <si>
    <t>RETORNOS DIARIOS    r = P(t) / P(t-1) − 1</t>
  </si>
  <si>
    <t>Pegá acá series nuevas manteniendo el orden de columnas.</t>
  </si>
  <si>
    <t>ρ = Cov(A,B) / (σA · σB).  Verde = diversifica.  Rojo = redundante.</t>
  </si>
  <si>
    <t>Fecha</t>
  </si>
  <si>
    <t>XOM</t>
  </si>
  <si>
    <t>SO</t>
  </si>
  <si>
    <t>VST</t>
  </si>
  <si>
    <t>ETN</t>
  </si>
  <si>
    <t>YPF</t>
  </si>
  <si>
    <t>WMB</t>
  </si>
  <si>
    <t>XLE</t>
  </si>
  <si>
    <t>XLU</t>
  </si>
  <si>
    <t>CÓMO LEERLA</t>
  </si>
  <si>
    <t>CARTERA ENERGÍA E INFRAESTRUCTURA DE IA</t>
  </si>
  <si>
    <t>Última actualización: 10/08/2026 16:59</t>
  </si>
  <si>
    <t>Datos: 2021-08-09 a 2026-08-07 · 1255 ruedas · 4.98 años · precios Stooq (ajustados por splits, no por dividendos)</t>
  </si>
  <si>
    <t>PARÁMETROS  (editables — amarillo)</t>
  </si>
  <si>
    <t>Tasa libre de riesgo</t>
  </si>
  <si>
    <t>Días hábiles</t>
  </si>
  <si>
    <t>Confianza VaR</t>
  </si>
  <si>
    <t>Capital USD</t>
  </si>
  <si>
    <t>Peso mínimo</t>
  </si>
  <si>
    <t>Peso máximo</t>
  </si>
  <si>
    <t>Tope YPF</t>
  </si>
  <si>
    <t>rf diaria</t>
  </si>
  <si>
    <t>&lt; 0,30  diversifican de verdad</t>
  </si>
  <si>
    <t>z (VaR)</t>
  </si>
  <si>
    <t>ESTADÍSTICA POR ACTIVO</t>
  </si>
  <si>
    <t>Ticker</t>
  </si>
  <si>
    <t>Nombre</t>
  </si>
  <si>
    <t>Bloque</t>
  </si>
  <si>
    <t>Div yield</t>
  </si>
  <si>
    <t>Obs</t>
  </si>
  <si>
    <t>Ret medio diario</t>
  </si>
  <si>
    <t>Ret precio anual</t>
  </si>
  <si>
    <t>RET TOTAL aritm.</t>
  </si>
  <si>
    <t>CAGR precio</t>
  </si>
  <si>
    <t>CAGR TOTAL</t>
  </si>
  <si>
    <t>Volat. anual</t>
  </si>
  <si>
    <t>Sharpe (CAGR)</t>
  </si>
  <si>
    <t>Peor día</t>
  </si>
  <si>
    <t>Curtosis</t>
  </si>
  <si>
    <t>Exxon Mobil</t>
  </si>
  <si>
    <t>O&amp;G integrada</t>
  </si>
  <si>
    <t>0,30-0,70  normal dentro de un sector</t>
  </si>
  <si>
    <t>&gt; 0,85  redundancia: sacá uno</t>
  </si>
  <si>
    <t>Southern Company</t>
  </si>
  <si>
    <t>Utility regulada</t>
  </si>
  <si>
    <t>Vistra</t>
  </si>
  <si>
    <t>IPP merchant</t>
  </si>
  <si>
    <t>Tu resultado: media 0,25</t>
  </si>
  <si>
    <t>Eaton Corp</t>
  </si>
  <si>
    <t>Equipamiento eléctrico</t>
  </si>
  <si>
    <t>Par más alto: VST-ETN 0,53</t>
  </si>
  <si>
    <t>Upstream Argentina</t>
  </si>
  <si>
    <t>Williams Cos</t>
  </si>
  <si>
    <t>Midstream gas</t>
  </si>
  <si>
    <t>Par más bajo: SO-ETN 0,03</t>
  </si>
  <si>
    <t>En el peor decil de días,</t>
  </si>
  <si>
    <t>Correlación media (6 activos)</t>
  </si>
  <si>
    <t>(suma de las 36 celdas − 6 de la diagonal) / 30</t>
  </si>
  <si>
    <t>VST-ETN sube de 0,40 a 0,59.</t>
  </si>
  <si>
    <t>La diversificación se reduce en el estrés.</t>
  </si>
  <si>
    <t>SPDR Energy</t>
  </si>
  <si>
    <t>Benchmark 1</t>
  </si>
  <si>
    <t>SPDR Utilities</t>
  </si>
  <si>
    <t>Benchmark 2</t>
  </si>
  <si>
    <t>Columna H = insumo del optimizador (aritmético).  Columna J = rendimiento real (CAGR), el que va al reporte.</t>
  </si>
  <si>
    <t>CARTERA RECOMENDADA</t>
  </si>
  <si>
    <t>Activo</t>
  </si>
  <si>
    <t>Peso</t>
  </si>
  <si>
    <t>(XOM)</t>
  </si>
  <si>
    <t>(SO)</t>
  </si>
  <si>
    <t>(VST)</t>
  </si>
  <si>
    <t>(ETN)</t>
  </si>
  <si>
    <t>(YPF)</t>
  </si>
  <si>
    <t>(WMB)</t>
  </si>
  <si>
    <t>SUMA</t>
  </si>
  <si>
    <t>MÉTRICAS DE LA CARTERA</t>
  </si>
  <si>
    <t>Métrica</t>
  </si>
  <si>
    <t>Valor</t>
  </si>
  <si>
    <t>Lectura</t>
  </si>
  <si>
    <t>Retorno esperado (aritmético)</t>
  </si>
  <si>
    <t>Insumo del modelo</t>
  </si>
  <si>
    <t>CAGR REAL</t>
  </si>
  <si>
    <t>Lo que rindió de verdad ← reportar esto</t>
  </si>
  <si>
    <t>Volatilidad anual</t>
  </si>
  <si>
    <t>&gt;1 muy bueno</t>
  </si>
  <si>
    <t>Beta vs XLE</t>
  </si>
  <si>
    <t>Beta vs XLU</t>
  </si>
  <si>
    <t>Alfa vs XLE (anual)</t>
  </si>
  <si>
    <t>Tracking error vs XLE</t>
  </si>
  <si>
    <t>Information Ratio vs XLE</t>
  </si>
  <si>
    <t>Benchmark incompleto: XLE no cubre 4 de los 6 activos</t>
  </si>
  <si>
    <t>Alfa vs 50/50 (anual)</t>
  </si>
  <si>
    <t>Tracking error vs 50/50</t>
  </si>
  <si>
    <t>MATRIZ DE COVARIANZAS (diaria)</t>
  </si>
  <si>
    <t>INFORMATION RATIO vs 50/50</t>
  </si>
  <si>
    <t>Cov = ρ · σA · σB.  Es la correlación sin normalizar: lo que consume el optimizador.</t>
  </si>
  <si>
    <t>← EL RELEVANTE: benchmark correcto</t>
  </si>
  <si>
    <t>VaR 99% paramétrico</t>
  </si>
  <si>
    <t>z × σ diaria</t>
  </si>
  <si>
    <t>VaR 99% paramétrico (USD)</t>
  </si>
  <si>
    <t>VaR 99% histórico</t>
  </si>
  <si>
    <t>Sin supuesto de normalidad</t>
  </si>
  <si>
    <t>VaR 99% histórico (USD)</t>
  </si>
  <si>
    <t>CVaR (Expected Shortfall)</t>
  </si>
  <si>
    <t>Pérdida media al romper el VaR</t>
  </si>
  <si>
    <t>Máximo drawdown</t>
  </si>
  <si>
    <t>Peor caída pico-a-valle</t>
  </si>
  <si>
    <t>¿Colas gordas?</t>
  </si>
  <si>
    <t>CÓMO USARLO: 1) pegá precios nuevos en PRECIOS.  2) mirá CORRELACION (si un par supera 0,85 sobra un activo).  3) corré el Solver en OPTIMIZACION.  4) leé acá el CAGR y el Sharpe (CAGR) para el reporte.  Actualizá la fecha de A2 con cada cambio.</t>
  </si>
  <si>
    <t>GOOGLE SHEETS: el archivo abre y calcula correctamente. Todas las funciones usadas existen en Sheets. Lo único que no viene incorporado es el Solver: instalá el complemento "Solver" (Frontline) o "OpenSolver" desde Extensiones → Complementos. Los pesos ya están resueltos, así que solo lo necesitás si querés re-optimizar.</t>
  </si>
  <si>
    <t>Chequeo diagonal</t>
  </si>
  <si>
    <t>BETA · CAPM · ALFA</t>
  </si>
  <si>
    <t>β = Cov(activo, índice) / Var(índice).   R² = qué fracción del movimiento explica el índice.</t>
  </si>
  <si>
    <t>La diagonal debe ser la varianza de cada activo</t>
  </si>
  <si>
    <t>Interpretación</t>
  </si>
  <si>
    <t>&gt;1 amplifica al sector energía</t>
  </si>
  <si>
    <t>Alto = se comporta como utility</t>
  </si>
  <si>
    <t>R² vs XLE</t>
  </si>
  <si>
    <t>% explicado por energía</t>
  </si>
  <si>
    <t>R² vs XLU</t>
  </si>
  <si>
    <t>% explicado por utilities</t>
  </si>
  <si>
    <t>R² del mejor de los dos</t>
  </si>
  <si>
    <t>Cuál índice describe mejor al activo</t>
  </si>
  <si>
    <t>CAPM esperado (vs XLE)</t>
  </si>
  <si>
    <t>OPTIMIZACIÓN DE PESOS</t>
  </si>
  <si>
    <t>Verde = las celdas que mueve el Solver.</t>
  </si>
  <si>
    <t>GRILLA  w(i) × w(j) × Cov(i,j)   →   la varianza es la suma de las 36 celdas</t>
  </si>
  <si>
    <t>PESO</t>
  </si>
  <si>
    <t>rf + β × prima de mercado</t>
  </si>
  <si>
    <t>Retorno real (aritmético)</t>
  </si>
  <si>
    <t>Columna H del RESUMEN</t>
  </si>
  <si>
    <t>ALFA de Jensen</t>
  </si>
  <si>
    <t>Lo que sobró tras descontar el riesgo</t>
  </si>
  <si>
    <t>Riesgo sistemático</t>
  </si>
  <si>
    <t>GUÍA DEL SOLVER</t>
  </si>
  <si>
    <t>No diversificable</t>
  </si>
  <si>
    <t>Riesgo idiosincrático</t>
  </si>
  <si>
    <t>Excel: Complementos → Solver</t>
  </si>
  <si>
    <t>Sí diversificable</t>
  </si>
  <si>
    <t>Los benchmarks, para referencia</t>
  </si>
  <si>
    <t>CAGR</t>
  </si>
  <si>
    <t>Volatilidad</t>
  </si>
  <si>
    <t>Sheets: Extensiones → Complementos →</t>
  </si>
  <si>
    <t xml:space="preserve">    instalar "Solver" u "OpenSolver"</t>
  </si>
  <si>
    <t>1) GMV  → minimizá  B16</t>
  </si>
  <si>
    <t>← debe dar 100%</t>
  </si>
  <si>
    <t>2) Máx Sharpe → maximizá B19</t>
  </si>
  <si>
    <t>RESULTADOS</t>
  </si>
  <si>
    <t>Cambiando celdas: $B$5:$B$10</t>
  </si>
  <si>
    <t>Varianza diaria</t>
  </si>
  <si>
    <t>w'Σw</t>
  </si>
  <si>
    <t>Restricciones:</t>
  </si>
  <si>
    <t>Volatilidad diaria</t>
  </si>
  <si>
    <t xml:space="preserve">   $B$11 = 1</t>
  </si>
  <si>
    <t>Volatilidad ANUAL</t>
  </si>
  <si>
    <t>σ diaria × √252</t>
  </si>
  <si>
    <t xml:space="preserve">   $B$5:$B$10 &gt;= RESUMEN!$B$11</t>
  </si>
  <si>
    <t>Ret. esperado (aritmético)</t>
  </si>
  <si>
    <t>Para optimizar</t>
  </si>
  <si>
    <t xml:space="preserve">   $B$5:$B$10 &lt;= RESUMEN!$B$12</t>
  </si>
  <si>
    <t>Para reportar</t>
  </si>
  <si>
    <t xml:space="preserve">   $B$9 &lt;= RESUMEN!$B$13   (YPF)</t>
  </si>
  <si>
    <t>Sharpe (aritmético)</t>
  </si>
  <si>
    <t>El publicable</t>
  </si>
  <si>
    <t>Método: GRG Nonlinear</t>
  </si>
  <si>
    <t>Beta cartera vs XLE</t>
  </si>
  <si>
    <t>BETA_CAPM está en horizontal → sí lleva TRANSPOSE</t>
  </si>
  <si>
    <t>Beta cartera vs XLU</t>
  </si>
  <si>
    <t>Corrélo 3 veces desde puntos distintos.</t>
  </si>
  <si>
    <t>Si no converge al mismo lugar, la matriz</t>
  </si>
  <si>
    <t>de covarianzas está mal condicionada.</t>
  </si>
  <si>
    <t>BACKTEST — cartera vs XLE vs XLU</t>
  </si>
  <si>
    <t>Columna E = benchmark 50% XLE + 50% XLU, rebalanceado diariamente (promedio simple de ambos retornos).  Optimizar y medir sobre las mismas fechas no es evidencia. Para validar, optimizá con 2/3 de las filas y mirá el tercio final.</t>
  </si>
  <si>
    <t>Ret. cartera</t>
  </si>
  <si>
    <t>Ret. XLE</t>
  </si>
  <si>
    <t>Ret. XLU</t>
  </si>
  <si>
    <t>Ret. 50/50</t>
  </si>
  <si>
    <t>Activo vs XLE</t>
  </si>
  <si>
    <t>Activo vs 50/50</t>
  </si>
  <si>
    <t>Cartera base 100</t>
  </si>
  <si>
    <t>XLE base 100</t>
  </si>
  <si>
    <t>XLU base 100</t>
  </si>
  <si>
    <t>50/50 base 100</t>
  </si>
  <si>
    <t>Drawdown cartera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</si>
</sst>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0.0000"/>
    <numFmt numFmtId="166" formatCode="$#,##0"/>
    <numFmt numFmtId="167" formatCode="0.000%"/>
    <numFmt numFmtId="168" formatCode="0.0%"/>
    <numFmt numFmtId="169" formatCode="0.000000"/>
  </numFmts>
  <fonts count="9">
    <font>
      <sz val="11.0"/>
      <color theme="1"/>
      <name val="Calibri"/>
      <scheme val="minor"/>
    </font>
    <font>
      <b/>
      <sz val="16.0"/>
      <color rgb="FF1F3864"/>
      <name val="Calibri"/>
    </font>
    <font>
      <i/>
      <sz val="9.0"/>
      <color rgb="FF000666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rgb="FFC00000"/>
      <name val="Calibri"/>
    </font>
    <font/>
    <font>
      <b/>
      <sz val="11.0"/>
      <color theme="1"/>
      <name val="Calibri"/>
    </font>
    <font>
      <b/>
      <sz val="12.0"/>
      <color rgb="FF1F3864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164" xfId="0" applyBorder="1" applyFont="1" applyNumberFormat="1"/>
    <xf borderId="1" fillId="0" fontId="4" numFmtId="2" xfId="0" applyBorder="1" applyFont="1" applyNumberFormat="1"/>
    <xf borderId="1" fillId="0" fontId="4" numFmtId="165" xfId="0" applyBorder="1" applyFont="1" applyNumberFormat="1"/>
    <xf borderId="1" fillId="0" fontId="4" numFmtId="10" xfId="0" applyBorder="1" applyFont="1" applyNumberFormat="1"/>
    <xf borderId="2" fillId="3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4" fontId="7" numFmtId="0" xfId="0" applyBorder="1" applyFill="1" applyFont="1"/>
    <xf borderId="1" fillId="3" fontId="4" numFmtId="10" xfId="0" applyBorder="1" applyFill="1" applyFont="1" applyNumberFormat="1"/>
    <xf borderId="1" fillId="3" fontId="4" numFmtId="1" xfId="0" applyBorder="1" applyFill="1" applyFont="1" applyNumberFormat="1"/>
    <xf borderId="1" fillId="3" fontId="4" numFmtId="166" xfId="0" applyBorder="1" applyFill="1" applyFont="1" applyNumberFormat="1"/>
    <xf borderId="1" fillId="0" fontId="4" numFmtId="167" xfId="0" applyBorder="1" applyFont="1" applyNumberFormat="1"/>
    <xf borderId="0" fillId="0" fontId="8" numFmtId="0" xfId="0" applyFont="1"/>
    <xf borderId="1" fillId="0" fontId="4" numFmtId="0" xfId="0" applyBorder="1" applyFont="1"/>
    <xf borderId="1" fillId="5" fontId="7" numFmtId="168" xfId="0" applyBorder="1" applyFill="1" applyFont="1" applyNumberFormat="1"/>
    <xf borderId="1" fillId="5" fontId="7" numFmtId="2" xfId="0" applyBorder="1" applyFill="1" applyFont="1" applyNumberFormat="1"/>
    <xf borderId="1" fillId="0" fontId="4" numFmtId="168" xfId="0" applyBorder="1" applyFont="1" applyNumberFormat="1"/>
    <xf borderId="1" fillId="4" fontId="7" numFmtId="0" xfId="0" applyAlignment="1" applyBorder="1" applyFill="1" applyFont="1">
      <alignment readingOrder="0"/>
    </xf>
    <xf borderId="1" fillId="6" fontId="7" numFmtId="168" xfId="0" applyBorder="1" applyFill="1" applyFont="1" applyNumberFormat="1"/>
    <xf borderId="1" fillId="0" fontId="4" numFmtId="169" xfId="0" applyBorder="1" applyFont="1" applyNumberFormat="1"/>
    <xf borderId="1" fillId="0" fontId="4" numFmtId="166" xfId="0" applyBorder="1" applyFont="1" applyNumberFormat="1"/>
    <xf borderId="1" fillId="7" fontId="7" numFmtId="0" xfId="0" applyAlignment="1" applyBorder="1" applyFill="1" applyFont="1">
      <alignment horizontal="center" shrinkToFit="0" wrapText="1"/>
    </xf>
    <xf borderId="2" fillId="8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4250000000000005"/>
          <c:y val="0.04730458221024259"/>
          <c:w val="0.9381666666666668"/>
          <c:h val="0.8999999999999999"/>
        </c:manualLayout>
      </c:layout>
      <c:doughnutChart>
        <c:varyColors val="1"/>
        <c:ser>
          <c:idx val="0"/>
          <c:order val="0"/>
          <c:tx>
            <c:strRef>
              <c:f>RESUMEN!$B$29:$B$30</c:f>
            </c:strRef>
          </c:tx>
          <c:dPt>
            <c:idx val="0"/>
            <c:spPr>
              <a:solidFill>
                <a:srgbClr val="CC0000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F9900"/>
              </a:solidFill>
            </c:spPr>
          </c:dPt>
          <c:dPt>
            <c:idx val="4"/>
            <c:spPr>
              <a:solidFill>
                <a:srgbClr val="3C78D8"/>
              </a:solidFill>
            </c:spPr>
          </c:dPt>
          <c:dPt>
            <c:idx val="5"/>
            <c:spPr>
              <a:solidFill>
                <a:srgbClr val="FFD9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RESUMEN!$A$31:$A$36</c:f>
            </c:strRef>
          </c:cat>
          <c:val>
            <c:numRef>
              <c:f>RESUMEN!$B$31:$B$36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BACKTEST!$K$5:$K$1258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BACKTEST!$H$5:$H$1258</c:f>
              <c:numCache/>
            </c:numRef>
          </c:val>
          <c:smooth val="0"/>
        </c:ser>
        <c:axId val="1811653390"/>
        <c:axId val="840067688"/>
      </c:lineChart>
      <c:catAx>
        <c:axId val="1811653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067688"/>
      </c:catAx>
      <c:valAx>
        <c:axId val="840067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653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85725</xdr:colOff>
      <xdr:row>3</xdr:row>
      <xdr:rowOff>142875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10</xdr:row>
      <xdr:rowOff>57150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20.71"/>
    <col customWidth="1" min="3" max="3" width="22.71"/>
    <col customWidth="1" min="4" max="14" width="11.71"/>
    <col customWidth="1" min="15" max="15" width="34.71"/>
    <col customWidth="1" min="16" max="26" width="8.71"/>
  </cols>
  <sheetData>
    <row r="1">
      <c r="A1" s="1" t="s">
        <v>15</v>
      </c>
    </row>
    <row r="2">
      <c r="A2" s="8" t="s">
        <v>16</v>
      </c>
      <c r="B2" s="9"/>
      <c r="C2" s="9"/>
      <c r="D2" s="10"/>
    </row>
    <row r="3">
      <c r="A3" s="2" t="s">
        <v>17</v>
      </c>
    </row>
    <row r="6">
      <c r="A6" s="3" t="s">
        <v>18</v>
      </c>
      <c r="B6" s="3"/>
      <c r="C6" s="3"/>
    </row>
    <row r="7">
      <c r="A7" s="11" t="s">
        <v>19</v>
      </c>
      <c r="B7" s="12">
        <v>0.0465</v>
      </c>
    </row>
    <row r="8">
      <c r="A8" s="11" t="s">
        <v>20</v>
      </c>
      <c r="B8" s="13">
        <v>252.0</v>
      </c>
    </row>
    <row r="9">
      <c r="A9" s="11" t="s">
        <v>21</v>
      </c>
      <c r="B9" s="12">
        <v>0.99</v>
      </c>
    </row>
    <row r="10">
      <c r="A10" s="11" t="s">
        <v>22</v>
      </c>
      <c r="B10" s="14">
        <v>100000.0</v>
      </c>
    </row>
    <row r="11">
      <c r="A11" s="11" t="s">
        <v>23</v>
      </c>
      <c r="B11" s="12">
        <v>0.05</v>
      </c>
    </row>
    <row r="12">
      <c r="A12" s="11" t="s">
        <v>24</v>
      </c>
      <c r="B12" s="12">
        <v>0.3</v>
      </c>
    </row>
    <row r="13">
      <c r="A13" s="11" t="s">
        <v>25</v>
      </c>
      <c r="B13" s="12">
        <v>0.1</v>
      </c>
    </row>
    <row r="14">
      <c r="A14" s="11" t="s">
        <v>26</v>
      </c>
      <c r="B14" s="15">
        <f>(1+B7)^(1/B8)-1</f>
        <v>0.0001803784206</v>
      </c>
    </row>
    <row r="15">
      <c r="A15" s="11" t="s">
        <v>28</v>
      </c>
      <c r="B15" s="6">
        <f>_xlfn.NORM.S.INV(B9)</f>
        <v>2.326347874</v>
      </c>
    </row>
    <row r="17">
      <c r="A17" s="16" t="s">
        <v>29</v>
      </c>
    </row>
    <row r="18">
      <c r="A18" s="3" t="s">
        <v>30</v>
      </c>
      <c r="B18" s="3" t="s">
        <v>31</v>
      </c>
      <c r="C18" s="3" t="s">
        <v>32</v>
      </c>
      <c r="D18" s="3" t="s">
        <v>33</v>
      </c>
      <c r="E18" s="3" t="s">
        <v>34</v>
      </c>
      <c r="F18" s="3" t="s">
        <v>35</v>
      </c>
      <c r="G18" s="3" t="s">
        <v>36</v>
      </c>
      <c r="H18" s="3" t="s">
        <v>37</v>
      </c>
      <c r="I18" s="3" t="s">
        <v>38</v>
      </c>
      <c r="J18" s="3" t="s">
        <v>39</v>
      </c>
      <c r="K18" s="3" t="s">
        <v>40</v>
      </c>
      <c r="L18" s="3" t="s">
        <v>41</v>
      </c>
      <c r="M18" s="3" t="s">
        <v>42</v>
      </c>
      <c r="N18" s="3" t="s">
        <v>43</v>
      </c>
    </row>
    <row r="19">
      <c r="A19" s="11" t="s">
        <v>6</v>
      </c>
      <c r="B19" s="17" t="s">
        <v>44</v>
      </c>
      <c r="C19" s="17" t="s">
        <v>45</v>
      </c>
      <c r="D19" s="12">
        <v>0.0269</v>
      </c>
      <c r="E19" s="5">
        <f>COUNT(RETORNOS!$B$5:$B$1300)</f>
        <v>1254</v>
      </c>
      <c r="F19" s="15">
        <f>AVERAGE(RETORNOS!$B$5:$B$1300)</f>
        <v>0.0009805562691</v>
      </c>
      <c r="G19" s="7">
        <f t="shared" ref="G19:G26" si="1">(1+F19)^$B$8-1</f>
        <v>0.2801523716</v>
      </c>
      <c r="H19" s="18">
        <f t="shared" ref="H19:H26" si="2">(1+G19)*(1+D19)-1</f>
        <v>0.3145884704</v>
      </c>
      <c r="I19" s="7">
        <f t="array" ref="I19">IFERROR((INDEX(PRECIOS!$B$4:$B$1300,COUNT(PRECIOS!$B$4:$B$1300))/PRECIOS!$B$4)^($B$8/E19)-1,"")</f>
        <v>0.2352724716</v>
      </c>
      <c r="J19" s="18">
        <f t="shared" ref="J19:J26" si="3">IFERROR((1+I19)*(1+D19)-1,"")</f>
        <v>0.2685013011</v>
      </c>
      <c r="K19" s="18">
        <f>_xlfn.STDEV.S(RETORNOS!$B$5:$B$1300)*SQRT($B$8)</f>
        <v>0.2671040059</v>
      </c>
      <c r="L19" s="19">
        <f t="shared" ref="L19:L26" si="4">(J19-$B$7)/K19</f>
        <v>0.831141788</v>
      </c>
      <c r="M19" s="20">
        <f>IFERROR(MIN(RETORNOS!$B$5:$B$1300),"")</f>
        <v>-0.07885242758</v>
      </c>
      <c r="N19" s="5">
        <f>IFERROR(KURT(RETORNOS!$B$5:$B$1300),"")</f>
        <v>1.371349791</v>
      </c>
    </row>
    <row r="20">
      <c r="A20" s="11" t="s">
        <v>7</v>
      </c>
      <c r="B20" s="17" t="s">
        <v>48</v>
      </c>
      <c r="C20" s="17" t="s">
        <v>49</v>
      </c>
      <c r="D20" s="12">
        <v>0.0322</v>
      </c>
      <c r="E20" s="5">
        <f>COUNT(RETORNOS!$C$5:$C$1300)</f>
        <v>1254</v>
      </c>
      <c r="F20" s="15">
        <f>AVERAGE(RETORNOS!$C$5:$C$1300)</f>
        <v>0.0004018092655</v>
      </c>
      <c r="G20" s="7">
        <f t="shared" si="1"/>
        <v>0.1065373085</v>
      </c>
      <c r="H20" s="18">
        <f t="shared" si="2"/>
        <v>0.1421678099</v>
      </c>
      <c r="I20" s="7">
        <f t="array" ref="I20">IFERROR((INDEX(PRECIOS!$C$4:$C$1300,COUNT(PRECIOS!$C$4:$C$1300))/PRECIOS!$C$4)^($B$8/E20)-1,"")</f>
        <v>0.08731217343</v>
      </c>
      <c r="J20" s="18">
        <f t="shared" si="3"/>
        <v>0.1223236254</v>
      </c>
      <c r="K20" s="18">
        <f>_xlfn.STDEV.S(RETORNOS!$C$5:$C$1300)*SQRT($B$8)</f>
        <v>0.1873273367</v>
      </c>
      <c r="L20" s="19">
        <f t="shared" si="4"/>
        <v>0.4047654057</v>
      </c>
      <c r="M20" s="20">
        <f>IFERROR(MIN(RETORNOS!$C$5:$C$1300),"")</f>
        <v>-0.04699178788</v>
      </c>
      <c r="N20" s="5">
        <f>IFERROR(KURT(RETORNOS!$C$5:$C$1300),"")</f>
        <v>1.133742662</v>
      </c>
    </row>
    <row r="21" ht="15.75" customHeight="1">
      <c r="A21" s="11" t="s">
        <v>8</v>
      </c>
      <c r="B21" s="17" t="s">
        <v>50</v>
      </c>
      <c r="C21" s="17" t="s">
        <v>51</v>
      </c>
      <c r="D21" s="12">
        <v>0.0065</v>
      </c>
      <c r="E21" s="5">
        <f>COUNT(RETORNOS!$D$5:$D$1300)</f>
        <v>1254</v>
      </c>
      <c r="F21" s="15">
        <f>AVERAGE(RETORNOS!$D$5:$D$1300)</f>
        <v>0.00210786078</v>
      </c>
      <c r="G21" s="7">
        <f t="shared" si="1"/>
        <v>0.6999891595</v>
      </c>
      <c r="H21" s="18">
        <f t="shared" si="2"/>
        <v>0.711039089</v>
      </c>
      <c r="I21" s="7">
        <f t="array" ref="I21">IFERROR((INDEX(PRECIOS!$D$4:$D$1300,COUNT(PRECIOS!$D$4:$D$1300))/PRECIOS!$D$4)^($B$8/E21)-1,"")</f>
        <v>0.5108659368</v>
      </c>
      <c r="J21" s="18">
        <f t="shared" si="3"/>
        <v>0.5206865654</v>
      </c>
      <c r="K21" s="18">
        <f>_xlfn.STDEV.S(RETORNOS!$D$5:$D$1300)*SQRT($B$8)</f>
        <v>0.4830333668</v>
      </c>
      <c r="L21" s="19">
        <f t="shared" si="4"/>
        <v>0.9816849063</v>
      </c>
      <c r="M21" s="20">
        <f>IFERROR(MIN(RETORNOS!$D$5:$D$1300),"")</f>
        <v>-0.28271676</v>
      </c>
      <c r="N21" s="5">
        <f>IFERROR(KURT(RETORNOS!$D$5:$D$1300),"")</f>
        <v>9.245752044</v>
      </c>
    </row>
    <row r="22" ht="15.75" customHeight="1">
      <c r="A22" s="11" t="s">
        <v>9</v>
      </c>
      <c r="B22" s="17" t="s">
        <v>53</v>
      </c>
      <c r="C22" s="17" t="s">
        <v>54</v>
      </c>
      <c r="D22" s="12">
        <v>0.0109</v>
      </c>
      <c r="E22" s="5">
        <f>COUNT(RETORNOS!$E$5:$E$1300)</f>
        <v>1254</v>
      </c>
      <c r="F22" s="15">
        <f>AVERAGE(RETORNOS!$E$5:$E$1300)</f>
        <v>0.001027342914</v>
      </c>
      <c r="G22" s="7">
        <f t="shared" si="1"/>
        <v>0.2953196785</v>
      </c>
      <c r="H22" s="18">
        <f t="shared" si="2"/>
        <v>0.309438663</v>
      </c>
      <c r="I22" s="7">
        <f t="array" ref="I22">IFERROR((INDEX(PRECIOS!$E$4:$E$1300,COUNT(PRECIOS!$E$4:$E$1300))/PRECIOS!$E$4)^($B$8/E22)-1,"")</f>
        <v>0.2328096305</v>
      </c>
      <c r="J22" s="18">
        <f t="shared" si="3"/>
        <v>0.2462472555</v>
      </c>
      <c r="K22" s="18">
        <f>_xlfn.STDEV.S(RETORNOS!$E$5:$E$1300)*SQRT($B$8)</f>
        <v>0.3138665792</v>
      </c>
      <c r="L22" s="19">
        <f t="shared" si="4"/>
        <v>0.6364081705</v>
      </c>
      <c r="M22" s="20">
        <f>IFERROR(MIN(RETORNOS!$E$5:$E$1300),"")</f>
        <v>-0.1556452924</v>
      </c>
      <c r="N22" s="5">
        <f>IFERROR(KURT(RETORNOS!$E$5:$E$1300),"")</f>
        <v>5.605874456</v>
      </c>
    </row>
    <row r="23" ht="15.75" customHeight="1">
      <c r="A23" s="11" t="s">
        <v>10</v>
      </c>
      <c r="B23" s="17" t="s">
        <v>10</v>
      </c>
      <c r="C23" s="17" t="s">
        <v>56</v>
      </c>
      <c r="D23" s="12">
        <v>0.0</v>
      </c>
      <c r="E23" s="5">
        <f>COUNT(RETORNOS!$F$5:$F$1300)</f>
        <v>1254</v>
      </c>
      <c r="F23" s="15">
        <f>AVERAGE(RETORNOS!$F$5:$F$1300)</f>
        <v>0.002483132282</v>
      </c>
      <c r="G23" s="7">
        <f t="shared" si="1"/>
        <v>0.868196841</v>
      </c>
      <c r="H23" s="18">
        <f t="shared" si="2"/>
        <v>0.868196841</v>
      </c>
      <c r="I23" s="7">
        <f t="array" ref="I23">IFERROR((INDEX(PRECIOS!$F$4:$F$1300,COUNT(PRECIOS!$F$4:$F$1300))/PRECIOS!$F$4)^($B$8/E23)-1,"")</f>
        <v>0.6183121951</v>
      </c>
      <c r="J23" s="18">
        <f t="shared" si="3"/>
        <v>0.6183121951</v>
      </c>
      <c r="K23" s="18">
        <f>_xlfn.STDEV.S(RETORNOS!$F$5:$F$1300)*SQRT($B$8)</f>
        <v>0.545076613</v>
      </c>
      <c r="L23" s="19">
        <f t="shared" si="4"/>
        <v>1.049049219</v>
      </c>
      <c r="M23" s="20">
        <f>IFERROR(MIN(RETORNOS!$F$5:$F$1300),"")</f>
        <v>-0.1534219916</v>
      </c>
      <c r="N23" s="5">
        <f>IFERROR(KURT(RETORNOS!$F$5:$F$1300),"")</f>
        <v>16.00276423</v>
      </c>
    </row>
    <row r="24" ht="15.75" customHeight="1">
      <c r="A24" s="11" t="s">
        <v>11</v>
      </c>
      <c r="B24" s="17" t="s">
        <v>57</v>
      </c>
      <c r="C24" s="17" t="s">
        <v>58</v>
      </c>
      <c r="D24" s="12">
        <v>0.0291</v>
      </c>
      <c r="E24" s="5">
        <f>COUNT(RETORNOS!$G$5:$G$1300)</f>
        <v>1254</v>
      </c>
      <c r="F24" s="15">
        <f>AVERAGE(RETORNOS!$G$5:$G$1300)</f>
        <v>0.001012612123</v>
      </c>
      <c r="G24" s="7">
        <f t="shared" si="1"/>
        <v>0.2905250408</v>
      </c>
      <c r="H24" s="18">
        <f t="shared" si="2"/>
        <v>0.3280793195</v>
      </c>
      <c r="I24" s="7">
        <f t="array" ref="I24">IFERROR((INDEX(PRECIOS!$G$4:$G$1300,COUNT(PRECIOS!$G$4:$G$1300))/PRECIOS!$G$4)^($B$8/E24)-1,"")</f>
        <v>0.2540946107</v>
      </c>
      <c r="J24" s="18">
        <f t="shared" si="3"/>
        <v>0.2905887639</v>
      </c>
      <c r="K24" s="18">
        <f>_xlfn.STDEV.S(RETORNOS!$G$5:$G$1300)*SQRT($B$8)</f>
        <v>0.2390484764</v>
      </c>
      <c r="L24" s="19">
        <f t="shared" si="4"/>
        <v>1.021084792</v>
      </c>
      <c r="M24" s="20">
        <f>IFERROR(MIN(RETORNOS!$G$5:$G$1300),"")</f>
        <v>-0.08427060601</v>
      </c>
      <c r="N24" s="5">
        <f>IFERROR(KURT(RETORNOS!$G$5:$G$1300),"")</f>
        <v>2.099260261</v>
      </c>
    </row>
    <row r="25" ht="15.75" customHeight="1">
      <c r="A25" s="11" t="s">
        <v>12</v>
      </c>
      <c r="B25" s="17" t="s">
        <v>65</v>
      </c>
      <c r="C25" s="17" t="s">
        <v>66</v>
      </c>
      <c r="D25" s="12">
        <v>0.03</v>
      </c>
      <c r="E25" s="5">
        <f>COUNT(RETORNOS!$H$5:$H$1300)</f>
        <v>1254</v>
      </c>
      <c r="F25" s="15">
        <f>AVERAGE(RETORNOS!$H$5:$H$1300)</f>
        <v>0.0009500875097</v>
      </c>
      <c r="G25" s="7">
        <f t="shared" si="1"/>
        <v>0.2703702437</v>
      </c>
      <c r="H25" s="18">
        <f t="shared" si="2"/>
        <v>0.308481351</v>
      </c>
      <c r="I25" s="7">
        <f t="array" ref="I25">IFERROR((INDEX(PRECIOS!$H$4:$H$1300,COUNT(PRECIOS!$H$4:$H$1300))/PRECIOS!$H$4)^($B$8/E25)-1,"")</f>
        <v>0.228817038</v>
      </c>
      <c r="J25" s="18">
        <f t="shared" si="3"/>
        <v>0.2656815491</v>
      </c>
      <c r="K25" s="18">
        <f>_xlfn.STDEV.S(RETORNOS!$H$5:$H$1300)*SQRT($B$8)</f>
        <v>0.2575217541</v>
      </c>
      <c r="L25" s="19">
        <f t="shared" si="4"/>
        <v>0.851118578</v>
      </c>
      <c r="M25" s="20">
        <f>IFERROR(MIN(RETORNOS!$H$5:$H$1300),"")</f>
        <v>-0.0919981842</v>
      </c>
      <c r="N25" s="5">
        <f>IFERROR(KURT(RETORNOS!$H$5:$H$1300),"")</f>
        <v>2.680970366</v>
      </c>
    </row>
    <row r="26" ht="15.75" customHeight="1">
      <c r="A26" s="11" t="s">
        <v>13</v>
      </c>
      <c r="B26" s="17" t="s">
        <v>67</v>
      </c>
      <c r="C26" s="17" t="s">
        <v>68</v>
      </c>
      <c r="D26" s="12">
        <v>0.028</v>
      </c>
      <c r="E26" s="5">
        <f>COUNT(RETORNOS!$I$5:$I$1300)</f>
        <v>1254</v>
      </c>
      <c r="F26" s="15">
        <f>AVERAGE(RETORNOS!$I$5:$I$1300)</f>
        <v>0.0003743765807</v>
      </c>
      <c r="G26" s="7">
        <f t="shared" si="1"/>
        <v>0.09891710273</v>
      </c>
      <c r="H26" s="18">
        <f t="shared" si="2"/>
        <v>0.1296867816</v>
      </c>
      <c r="I26" s="7">
        <f t="array" ref="I26">IFERROR((INDEX(PRECIOS!$I$4:$I$1300,COUNT(PRECIOS!$I$4:$I$1300))/PRECIOS!$I$4)^($B$8/E26)-1,"")</f>
        <v>0.08251415996</v>
      </c>
      <c r="J26" s="18">
        <f t="shared" si="3"/>
        <v>0.1128245564</v>
      </c>
      <c r="K26" s="18">
        <f>_xlfn.STDEV.S(RETORNOS!$I$5:$I$1300)*SQRT($B$8)</f>
        <v>0.1733826158</v>
      </c>
      <c r="L26" s="19">
        <f t="shared" si="4"/>
        <v>0.3825329093</v>
      </c>
      <c r="M26" s="20">
        <f>IFERROR(MIN(RETORNOS!$I$5:$I$1300),"")</f>
        <v>-0.05562658854</v>
      </c>
      <c r="N26" s="5">
        <f>IFERROR(KURT(RETORNOS!$I$5:$I$1300),"")</f>
        <v>1.69320997</v>
      </c>
    </row>
    <row r="27" ht="15.75" customHeight="1">
      <c r="A27" s="2" t="s">
        <v>69</v>
      </c>
    </row>
    <row r="28" ht="15.75" customHeight="1"/>
    <row r="29" ht="15.75" customHeight="1">
      <c r="A29" s="16" t="s">
        <v>70</v>
      </c>
    </row>
    <row r="30" ht="15.75" customHeight="1">
      <c r="A30" s="3" t="s">
        <v>71</v>
      </c>
      <c r="B30" s="3" t="s">
        <v>72</v>
      </c>
      <c r="C30" s="3" t="s">
        <v>32</v>
      </c>
    </row>
    <row r="31" ht="15.75" customHeight="1">
      <c r="A31" s="21" t="s">
        <v>73</v>
      </c>
      <c r="B31" s="22">
        <f>OPTIMIZACION!$B$5</f>
        <v>0.25</v>
      </c>
      <c r="C31" s="17" t="s">
        <v>45</v>
      </c>
    </row>
    <row r="32" ht="15.75" customHeight="1">
      <c r="A32" s="21" t="s">
        <v>74</v>
      </c>
      <c r="B32" s="22">
        <f>OPTIMIZACION!$B$6</f>
        <v>0.25</v>
      </c>
      <c r="C32" s="17" t="s">
        <v>49</v>
      </c>
    </row>
    <row r="33" ht="15.75" customHeight="1">
      <c r="A33" s="21" t="s">
        <v>75</v>
      </c>
      <c r="B33" s="22">
        <f>OPTIMIZACION!$B$7</f>
        <v>0.1</v>
      </c>
      <c r="C33" s="17" t="s">
        <v>51</v>
      </c>
    </row>
    <row r="34" ht="15.75" customHeight="1">
      <c r="A34" s="21" t="s">
        <v>76</v>
      </c>
      <c r="B34" s="22">
        <f>OPTIMIZACION!$B$8</f>
        <v>0.1</v>
      </c>
      <c r="C34" s="17" t="s">
        <v>54</v>
      </c>
    </row>
    <row r="35" ht="15.75" customHeight="1">
      <c r="A35" s="21" t="s">
        <v>77</v>
      </c>
      <c r="B35" s="22">
        <f>OPTIMIZACION!$B$9</f>
        <v>0.1</v>
      </c>
      <c r="C35" s="17" t="s">
        <v>56</v>
      </c>
    </row>
    <row r="36" ht="15.75" customHeight="1">
      <c r="A36" s="21" t="s">
        <v>78</v>
      </c>
      <c r="B36" s="22">
        <f>OPTIMIZACION!$B$10</f>
        <v>0.2</v>
      </c>
      <c r="C36" s="17" t="s">
        <v>58</v>
      </c>
    </row>
    <row r="37" ht="15.75" customHeight="1">
      <c r="A37" s="11" t="s">
        <v>79</v>
      </c>
      <c r="B37" s="18">
        <f>SUM(B31:B36)</f>
        <v>1</v>
      </c>
    </row>
    <row r="38" ht="15.75" customHeight="1"/>
    <row r="39" ht="15.75" customHeight="1">
      <c r="A39" s="16" t="s">
        <v>80</v>
      </c>
    </row>
    <row r="40" ht="15.75" customHeight="1">
      <c r="A40" s="3" t="s">
        <v>81</v>
      </c>
      <c r="B40" s="3" t="s">
        <v>82</v>
      </c>
      <c r="C40" s="3" t="s">
        <v>83</v>
      </c>
    </row>
    <row r="41" ht="15.75" customHeight="1">
      <c r="A41" s="11" t="s">
        <v>84</v>
      </c>
      <c r="B41" s="7">
        <f>OPTIMIZACION!B17</f>
        <v>0.3520755522</v>
      </c>
      <c r="C41" s="2" t="s">
        <v>85</v>
      </c>
    </row>
    <row r="42" ht="15.75" customHeight="1">
      <c r="A42" s="11" t="s">
        <v>86</v>
      </c>
      <c r="B42" s="18">
        <f>OPTIMIZACION!B18</f>
        <v>0.3004641643</v>
      </c>
      <c r="C42" s="2" t="s">
        <v>87</v>
      </c>
    </row>
    <row r="43" ht="15.75" customHeight="1">
      <c r="A43" s="11" t="s">
        <v>88</v>
      </c>
      <c r="B43" s="7">
        <f>OPTIMIZACION!B16</f>
        <v>0.1834815146</v>
      </c>
      <c r="C43" s="2"/>
    </row>
    <row r="44" ht="15.75" customHeight="1">
      <c r="A44" s="11" t="s">
        <v>41</v>
      </c>
      <c r="B44" s="19">
        <f>OPTIMIZACION!B20</f>
        <v>1.384140331</v>
      </c>
      <c r="C44" s="2" t="s">
        <v>89</v>
      </c>
    </row>
    <row r="45" ht="15.75" customHeight="1">
      <c r="A45" s="11" t="s">
        <v>90</v>
      </c>
      <c r="B45" s="5">
        <f>OPTIMIZACION!B21</f>
        <v>0.5605861111</v>
      </c>
      <c r="C45" s="2"/>
    </row>
    <row r="46" ht="15.75" customHeight="1">
      <c r="A46" s="11" t="s">
        <v>91</v>
      </c>
      <c r="B46" s="5">
        <f>OPTIMIZACION!B22</f>
        <v>0.6462209369</v>
      </c>
      <c r="C46" s="2"/>
    </row>
    <row r="47" ht="15.75" customHeight="1">
      <c r="A47" s="11" t="s">
        <v>92</v>
      </c>
      <c r="B47" s="7">
        <f>IFERROR((1+AVERAGE(BACKTEST!$F$5:$F$1300))^$B$8-1,"")</f>
        <v>0.04110377682</v>
      </c>
      <c r="C47" s="2"/>
    </row>
    <row r="48" ht="15.75" customHeight="1">
      <c r="A48" s="11" t="s">
        <v>93</v>
      </c>
      <c r="B48" s="7">
        <f>IFERROR(_xlfn.STDEV.S(BACKTEST!$F$5:$F$1300)*SQRT($B$8),"")</f>
        <v>0.1600925762</v>
      </c>
      <c r="C48" s="2"/>
    </row>
    <row r="49" ht="15.75" customHeight="1">
      <c r="A49" s="11" t="s">
        <v>94</v>
      </c>
      <c r="B49" s="5">
        <f>IFERROR(B47/B48,"")</f>
        <v>0.2567500493</v>
      </c>
      <c r="C49" s="2" t="s">
        <v>95</v>
      </c>
    </row>
    <row r="50" ht="15.75" customHeight="1">
      <c r="A50" s="11" t="s">
        <v>96</v>
      </c>
      <c r="B50" s="18">
        <f>IFERROR((1+AVERAGE(BACKTEST!$G$5:$G$1300))^$B$8-1,"")</f>
        <v>0.119406934</v>
      </c>
      <c r="C50" s="2"/>
    </row>
    <row r="51" ht="15.75" customHeight="1">
      <c r="A51" s="11" t="s">
        <v>97</v>
      </c>
      <c r="B51" s="18">
        <f>IFERROR(_xlfn.STDEV.S(BACKTEST!$G$5:$G$1300)*SQRT($B$8),"")</f>
        <v>0.0843146401</v>
      </c>
      <c r="C51" s="2"/>
    </row>
    <row r="52" ht="15.75" customHeight="1">
      <c r="A52" s="11" t="s">
        <v>99</v>
      </c>
      <c r="B52" s="19">
        <f>IFERROR(B50/B51,"")</f>
        <v>1.416206413</v>
      </c>
      <c r="C52" s="2" t="s">
        <v>101</v>
      </c>
    </row>
    <row r="53" ht="15.75" customHeight="1">
      <c r="A53" s="11" t="s">
        <v>102</v>
      </c>
      <c r="B53" s="7">
        <f>$B$15*OPTIMIZACION!B15</f>
        <v>0.02688850798</v>
      </c>
      <c r="C53" s="2" t="s">
        <v>103</v>
      </c>
    </row>
    <row r="54" ht="15.75" customHeight="1">
      <c r="A54" s="11" t="s">
        <v>104</v>
      </c>
      <c r="B54" s="24">
        <f>B53*$B$10</f>
        <v>2688.850798</v>
      </c>
      <c r="C54" s="2"/>
    </row>
    <row r="55" ht="15.75" customHeight="1">
      <c r="A55" s="11" t="s">
        <v>105</v>
      </c>
      <c r="B55" s="7">
        <f>IFERROR(-_xlfn.PERCENTILE.INC(BACKTEST!$B$5:$B$1300,1-$B$9),"")</f>
        <v>0.0293873976</v>
      </c>
      <c r="C55" s="2" t="s">
        <v>106</v>
      </c>
    </row>
    <row r="56" ht="15.75" customHeight="1">
      <c r="A56" s="11" t="s">
        <v>107</v>
      </c>
      <c r="B56" s="24">
        <f>B55*$B$10</f>
        <v>2938.73976</v>
      </c>
      <c r="C56" s="2"/>
    </row>
    <row r="57" ht="15.75" customHeight="1">
      <c r="A57" s="11" t="s">
        <v>108</v>
      </c>
      <c r="B57" s="7">
        <f>IFERROR(-AVERAGEIF(BACKTEST!$B$5:$B$1300,"&lt;"&amp;-B55),"")</f>
        <v>0.0411186443</v>
      </c>
      <c r="C57" s="2" t="s">
        <v>109</v>
      </c>
    </row>
    <row r="58" ht="15.75" customHeight="1">
      <c r="A58" s="11" t="s">
        <v>110</v>
      </c>
      <c r="B58" s="18">
        <f>IFERROR(MIN(BACKTEST!$L$5:$L$1300),"")</f>
        <v>-0.1702921316</v>
      </c>
      <c r="C58" s="2" t="s">
        <v>111</v>
      </c>
    </row>
    <row r="59" ht="15.75" customHeight="1">
      <c r="A59" s="11" t="s">
        <v>112</v>
      </c>
      <c r="B59" s="25" t="str">
        <f>IF(AND(ISNUMBER(B55),ISNUMBER(B53)),IF(B55&gt;B53,"SÍ → el paramétrico subestima","No"),"")</f>
        <v>SÍ → el paramétrico subestima</v>
      </c>
      <c r="C59" s="2"/>
    </row>
    <row r="60" ht="15.75" customHeight="1"/>
    <row r="61" ht="43.5" customHeight="1">
      <c r="A61" s="26" t="s">
        <v>113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0"/>
    </row>
    <row r="62" ht="15.75" customHeight="1"/>
    <row r="63" ht="15.75" customHeight="1">
      <c r="A63" s="2" t="s">
        <v>114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A61:O6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71"/>
    <col customWidth="1" min="2" max="9" width="11.71"/>
    <col customWidth="1" min="10" max="26" width="8.71"/>
  </cols>
  <sheetData>
    <row r="1">
      <c r="A1" s="1" t="s">
        <v>1</v>
      </c>
    </row>
    <row r="2">
      <c r="A2" s="2" t="s">
        <v>3</v>
      </c>
    </row>
    <row r="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</row>
    <row r="4">
      <c r="A4" s="4">
        <v>44417.0</v>
      </c>
      <c r="B4" s="5">
        <v>53.4781</v>
      </c>
      <c r="C4" s="5">
        <v>61.1121</v>
      </c>
      <c r="D4" s="5">
        <v>18.034</v>
      </c>
      <c r="E4" s="5">
        <v>158.351</v>
      </c>
      <c r="F4" s="5">
        <v>4.48</v>
      </c>
      <c r="G4" s="5">
        <v>22.8172</v>
      </c>
      <c r="H4" s="5">
        <v>20.6235</v>
      </c>
      <c r="I4" s="5">
        <v>29.3926</v>
      </c>
    </row>
    <row r="5">
      <c r="A5" s="4">
        <v>44418.0</v>
      </c>
      <c r="B5" s="5">
        <v>54.3952</v>
      </c>
      <c r="C5" s="5">
        <v>61.4502</v>
      </c>
      <c r="D5" s="5">
        <v>17.652</v>
      </c>
      <c r="E5" s="5">
        <v>162.296</v>
      </c>
      <c r="F5" s="5">
        <v>4.74</v>
      </c>
      <c r="G5" s="5">
        <v>23.0205</v>
      </c>
      <c r="H5" s="5">
        <v>20.9869</v>
      </c>
      <c r="I5" s="5">
        <v>29.4238</v>
      </c>
    </row>
    <row r="6">
      <c r="A6" s="4">
        <v>44419.0</v>
      </c>
      <c r="B6" s="5">
        <v>54.5537</v>
      </c>
      <c r="C6" s="5">
        <v>61.8468</v>
      </c>
      <c r="D6" s="5">
        <v>17.5182</v>
      </c>
      <c r="E6" s="5">
        <v>161.864</v>
      </c>
      <c r="F6" s="5">
        <v>5.1</v>
      </c>
      <c r="G6" s="5">
        <v>23.0205</v>
      </c>
      <c r="H6" s="5">
        <v>21.1515</v>
      </c>
      <c r="I6" s="5">
        <v>29.6983</v>
      </c>
    </row>
    <row r="7">
      <c r="A7" s="4">
        <v>44420.0</v>
      </c>
      <c r="B7" s="5">
        <v>54.4302</v>
      </c>
      <c r="C7" s="5">
        <v>61.9314</v>
      </c>
      <c r="D7" s="5">
        <v>17.5562</v>
      </c>
      <c r="E7" s="5">
        <v>162.857</v>
      </c>
      <c r="F7" s="5">
        <v>5.04</v>
      </c>
      <c r="G7" s="5">
        <v>23.0378</v>
      </c>
      <c r="H7" s="5">
        <v>21.1308</v>
      </c>
      <c r="I7" s="5">
        <v>29.7281</v>
      </c>
    </row>
    <row r="8">
      <c r="A8" s="4">
        <v>44421.0</v>
      </c>
      <c r="B8" s="5">
        <v>53.8798</v>
      </c>
      <c r="C8" s="5">
        <v>62.3784</v>
      </c>
      <c r="D8" s="5">
        <v>17.566</v>
      </c>
      <c r="E8" s="5">
        <v>163.29</v>
      </c>
      <c r="F8" s="5">
        <v>4.87</v>
      </c>
      <c r="G8" s="5">
        <v>22.8817</v>
      </c>
      <c r="H8" s="5">
        <v>20.8811</v>
      </c>
      <c r="I8" s="5">
        <v>29.9381</v>
      </c>
    </row>
    <row r="9">
      <c r="A9" s="4">
        <v>44424.0</v>
      </c>
      <c r="B9" s="5">
        <v>53.0921</v>
      </c>
      <c r="C9" s="5">
        <v>63.188</v>
      </c>
      <c r="D9" s="5">
        <v>17.1644</v>
      </c>
      <c r="E9" s="5">
        <v>164.165</v>
      </c>
      <c r="F9" s="5">
        <v>4.8</v>
      </c>
      <c r="G9" s="5">
        <v>22.6783</v>
      </c>
      <c r="H9" s="5">
        <v>20.4971</v>
      </c>
      <c r="I9" s="5">
        <v>30.1208</v>
      </c>
    </row>
    <row r="10">
      <c r="A10" s="4">
        <v>44425.0</v>
      </c>
      <c r="B10" s="5">
        <v>52.7312</v>
      </c>
      <c r="C10" s="5">
        <v>63.2541</v>
      </c>
      <c r="D10" s="5">
        <v>17.3265</v>
      </c>
      <c r="E10" s="5">
        <v>162.591</v>
      </c>
      <c r="F10" s="5">
        <v>4.77</v>
      </c>
      <c r="G10" s="5">
        <v>22.5588</v>
      </c>
      <c r="H10" s="5">
        <v>20.2855</v>
      </c>
      <c r="I10" s="5">
        <v>30.1382</v>
      </c>
    </row>
    <row r="11">
      <c r="A11" s="4">
        <v>44426.0</v>
      </c>
      <c r="B11" s="5">
        <v>51.6216</v>
      </c>
      <c r="C11" s="5">
        <v>62.8362</v>
      </c>
      <c r="D11" s="5">
        <v>17.1927</v>
      </c>
      <c r="E11" s="5">
        <v>162.148</v>
      </c>
      <c r="F11" s="5">
        <v>4.6</v>
      </c>
      <c r="G11" s="5">
        <v>22.1531</v>
      </c>
      <c r="H11" s="5">
        <v>19.8633</v>
      </c>
      <c r="I11" s="5">
        <v>29.9858</v>
      </c>
    </row>
    <row r="12">
      <c r="A12" s="4">
        <v>44427.0</v>
      </c>
      <c r="B12" s="5">
        <v>50.0461</v>
      </c>
      <c r="C12" s="5">
        <v>63.188</v>
      </c>
      <c r="D12" s="5">
        <v>16.9934</v>
      </c>
      <c r="E12" s="5">
        <v>162.631</v>
      </c>
      <c r="F12" s="5">
        <v>4.4</v>
      </c>
      <c r="G12" s="5">
        <v>22.0153</v>
      </c>
      <c r="H12" s="5">
        <v>19.3477</v>
      </c>
      <c r="I12" s="5">
        <v>30.1079</v>
      </c>
    </row>
    <row r="13">
      <c r="A13" s="4">
        <v>44428.0</v>
      </c>
      <c r="B13" s="5">
        <v>50.0548</v>
      </c>
      <c r="C13" s="5">
        <v>64.0822</v>
      </c>
      <c r="D13" s="5">
        <v>17.3081</v>
      </c>
      <c r="E13" s="5">
        <v>163.132</v>
      </c>
      <c r="F13" s="5">
        <v>4.41</v>
      </c>
      <c r="G13" s="5">
        <v>22.1531</v>
      </c>
      <c r="H13" s="5">
        <v>19.3896</v>
      </c>
      <c r="I13" s="5">
        <v>30.4827</v>
      </c>
    </row>
    <row r="14">
      <c r="A14" s="4">
        <v>44431.0</v>
      </c>
      <c r="B14" s="5">
        <v>52.1147</v>
      </c>
      <c r="C14" s="5">
        <v>63.464</v>
      </c>
      <c r="D14" s="5">
        <v>17.2123</v>
      </c>
      <c r="E14" s="5">
        <v>164.489</v>
      </c>
      <c r="F14" s="5">
        <v>4.57</v>
      </c>
      <c r="G14" s="5">
        <v>22.5781</v>
      </c>
      <c r="H14" s="5">
        <v>20.1161</v>
      </c>
      <c r="I14" s="5">
        <v>30.0906</v>
      </c>
    </row>
    <row r="15">
      <c r="A15" s="4">
        <v>44432.0</v>
      </c>
      <c r="B15" s="5">
        <v>52.5416</v>
      </c>
      <c r="C15" s="5">
        <v>62.5689</v>
      </c>
      <c r="D15" s="5">
        <v>17.6129</v>
      </c>
      <c r="E15" s="5">
        <v>165.011</v>
      </c>
      <c r="F15" s="5">
        <v>4.84</v>
      </c>
      <c r="G15" s="5">
        <v>22.7073</v>
      </c>
      <c r="H15" s="5">
        <v>20.4503</v>
      </c>
      <c r="I15" s="5">
        <v>29.8944</v>
      </c>
    </row>
    <row r="16">
      <c r="A16" s="4">
        <v>44433.0</v>
      </c>
      <c r="B16" s="5">
        <v>52.6369</v>
      </c>
      <c r="C16" s="5">
        <v>62.7021</v>
      </c>
      <c r="D16" s="5">
        <v>18.1385</v>
      </c>
      <c r="E16" s="5">
        <v>165.818</v>
      </c>
      <c r="F16" s="5">
        <v>5.0</v>
      </c>
      <c r="G16" s="5">
        <v>22.6601</v>
      </c>
      <c r="H16" s="5">
        <v>20.6069</v>
      </c>
      <c r="I16" s="5">
        <v>29.9509</v>
      </c>
    </row>
    <row r="17">
      <c r="A17" s="4">
        <v>44434.0</v>
      </c>
      <c r="B17" s="5">
        <v>51.924</v>
      </c>
      <c r="C17" s="5">
        <v>62.9597</v>
      </c>
      <c r="D17" s="5">
        <v>17.652</v>
      </c>
      <c r="E17" s="5">
        <v>164.982</v>
      </c>
      <c r="F17" s="5">
        <v>4.91</v>
      </c>
      <c r="G17" s="5">
        <v>22.2552</v>
      </c>
      <c r="H17" s="5">
        <v>20.2936</v>
      </c>
      <c r="I17" s="5">
        <v>29.877</v>
      </c>
    </row>
    <row r="18">
      <c r="A18" s="4">
        <v>44435.0</v>
      </c>
      <c r="B18" s="5">
        <v>52.9306</v>
      </c>
      <c r="C18" s="5">
        <v>62.8168</v>
      </c>
      <c r="D18" s="5">
        <v>17.8318</v>
      </c>
      <c r="E18" s="5">
        <v>165.64</v>
      </c>
      <c r="F18" s="5">
        <v>5.07</v>
      </c>
      <c r="G18" s="5">
        <v>22.6783</v>
      </c>
      <c r="H18" s="5">
        <v>20.8348</v>
      </c>
      <c r="I18" s="5">
        <v>29.8681</v>
      </c>
    </row>
    <row r="19">
      <c r="A19" s="4">
        <v>44438.0</v>
      </c>
      <c r="B19" s="5">
        <v>52.352</v>
      </c>
      <c r="C19" s="5">
        <v>62.5884</v>
      </c>
      <c r="D19" s="5">
        <v>17.9949</v>
      </c>
      <c r="E19" s="5">
        <v>165.818</v>
      </c>
      <c r="F19" s="5">
        <v>5.2</v>
      </c>
      <c r="G19" s="5">
        <v>22.6331</v>
      </c>
      <c r="H19" s="5">
        <v>20.5897</v>
      </c>
      <c r="I19" s="5">
        <v>29.9118</v>
      </c>
    </row>
    <row r="20">
      <c r="A20" s="4">
        <v>44439.0</v>
      </c>
      <c r="B20" s="5">
        <v>51.7441</v>
      </c>
      <c r="C20" s="5">
        <v>62.5689</v>
      </c>
      <c r="D20" s="5">
        <v>18.2236</v>
      </c>
      <c r="E20" s="5">
        <v>164.018</v>
      </c>
      <c r="F20" s="5">
        <v>5.21</v>
      </c>
      <c r="G20" s="5">
        <v>22.7526</v>
      </c>
      <c r="H20" s="5">
        <v>20.4503</v>
      </c>
      <c r="I20" s="5">
        <v>29.877</v>
      </c>
    </row>
    <row r="21" ht="15.75" customHeight="1">
      <c r="A21" s="4">
        <v>44440.0</v>
      </c>
      <c r="B21" s="5">
        <v>51.0323</v>
      </c>
      <c r="C21" s="5">
        <v>63.2832</v>
      </c>
      <c r="D21" s="5">
        <v>18.2812</v>
      </c>
      <c r="E21" s="5">
        <v>162.444</v>
      </c>
      <c r="F21" s="5">
        <v>5.04</v>
      </c>
      <c r="G21" s="5">
        <v>22.7159</v>
      </c>
      <c r="H21" s="5">
        <v>20.1498</v>
      </c>
      <c r="I21" s="5">
        <v>30.2693</v>
      </c>
    </row>
    <row r="22" ht="15.75" customHeight="1">
      <c r="A22" s="4">
        <v>44441.0</v>
      </c>
      <c r="B22" s="5">
        <v>52.2762</v>
      </c>
      <c r="C22" s="5">
        <v>63.6351</v>
      </c>
      <c r="D22" s="5">
        <v>18.4053</v>
      </c>
      <c r="E22" s="5">
        <v>163.791</v>
      </c>
      <c r="F22" s="5">
        <v>5.05</v>
      </c>
      <c r="G22" s="5">
        <v>23.1399</v>
      </c>
      <c r="H22" s="5">
        <v>20.6617</v>
      </c>
      <c r="I22" s="5">
        <v>30.5438</v>
      </c>
    </row>
    <row r="23" ht="15.75" customHeight="1">
      <c r="A23" s="4">
        <v>44442.0</v>
      </c>
      <c r="B23" s="5">
        <v>52.0758</v>
      </c>
      <c r="C23" s="5">
        <v>63.083</v>
      </c>
      <c r="D23" s="5">
        <v>18.2431</v>
      </c>
      <c r="E23" s="5">
        <v>162.09</v>
      </c>
      <c r="F23" s="5">
        <v>4.94</v>
      </c>
      <c r="G23" s="5">
        <v>23.0108</v>
      </c>
      <c r="H23" s="5">
        <v>20.5435</v>
      </c>
      <c r="I23" s="5">
        <v>30.2911</v>
      </c>
    </row>
    <row r="24" ht="15.75" customHeight="1">
      <c r="A24" s="4">
        <v>44446.0</v>
      </c>
      <c r="B24" s="5">
        <v>51.7733</v>
      </c>
      <c r="C24" s="5">
        <v>63.0072</v>
      </c>
      <c r="D24" s="5">
        <v>17.9851</v>
      </c>
      <c r="E24" s="5">
        <v>159.473</v>
      </c>
      <c r="F24" s="5">
        <v>5.32</v>
      </c>
      <c r="G24" s="5">
        <v>22.688</v>
      </c>
      <c r="H24" s="5">
        <v>20.4205</v>
      </c>
      <c r="I24" s="5">
        <v>29.8899</v>
      </c>
    </row>
    <row r="25" ht="15.75" customHeight="1">
      <c r="A25" s="4">
        <v>44447.0</v>
      </c>
      <c r="B25" s="5">
        <v>51.2978</v>
      </c>
      <c r="C25" s="5">
        <v>64.0734</v>
      </c>
      <c r="D25" s="5">
        <v>18.329</v>
      </c>
      <c r="E25" s="5">
        <v>159.148</v>
      </c>
      <c r="F25" s="5">
        <v>5.2</v>
      </c>
      <c r="G25" s="5">
        <v>22.8075</v>
      </c>
      <c r="H25" s="5">
        <v>20.1586</v>
      </c>
      <c r="I25" s="5">
        <v>30.4261</v>
      </c>
    </row>
    <row r="26" ht="15.75" customHeight="1">
      <c r="A26" s="4">
        <v>44448.0</v>
      </c>
      <c r="B26" s="5">
        <v>51.3367</v>
      </c>
      <c r="C26" s="5">
        <v>63.95</v>
      </c>
      <c r="D26" s="5">
        <v>18.0438</v>
      </c>
      <c r="E26" s="5">
        <v>157.367</v>
      </c>
      <c r="F26" s="5">
        <v>5.26</v>
      </c>
      <c r="G26" s="5">
        <v>22.6206</v>
      </c>
      <c r="H26" s="5">
        <v>20.201</v>
      </c>
      <c r="I26" s="5">
        <v>30.2603</v>
      </c>
    </row>
    <row r="27" ht="15.75" customHeight="1">
      <c r="A27" s="4">
        <v>44449.0</v>
      </c>
      <c r="B27" s="5">
        <v>51.2317</v>
      </c>
      <c r="C27" s="5">
        <v>63.0266</v>
      </c>
      <c r="D27" s="5">
        <v>17.6031</v>
      </c>
      <c r="E27" s="5">
        <v>156.246</v>
      </c>
      <c r="F27" s="5">
        <v>5.15</v>
      </c>
      <c r="G27" s="5">
        <v>22.7516</v>
      </c>
      <c r="H27" s="5">
        <v>20.1923</v>
      </c>
      <c r="I27" s="5">
        <v>29.8377</v>
      </c>
    </row>
    <row r="28" ht="15.75" customHeight="1">
      <c r="A28" s="4">
        <v>44452.0</v>
      </c>
      <c r="B28" s="5">
        <v>52.5513</v>
      </c>
      <c r="C28" s="5">
        <v>63.1404</v>
      </c>
      <c r="D28" s="5">
        <v>17.7565</v>
      </c>
      <c r="E28" s="5">
        <v>154.179</v>
      </c>
      <c r="F28" s="5">
        <v>5.42</v>
      </c>
      <c r="G28" s="5">
        <v>23.2479</v>
      </c>
      <c r="H28" s="5">
        <v>20.7717</v>
      </c>
      <c r="I28" s="5">
        <v>29.7847</v>
      </c>
    </row>
    <row r="29" ht="15.75" customHeight="1">
      <c r="A29" s="4">
        <v>44453.0</v>
      </c>
      <c r="B29" s="5">
        <v>51.8015</v>
      </c>
      <c r="C29" s="5">
        <v>62.7974</v>
      </c>
      <c r="D29" s="5">
        <v>17.184</v>
      </c>
      <c r="E29" s="5">
        <v>152.261</v>
      </c>
      <c r="F29" s="5">
        <v>5.35</v>
      </c>
      <c r="G29" s="5">
        <v>23.1921</v>
      </c>
      <c r="H29" s="5">
        <v>20.4713</v>
      </c>
      <c r="I29" s="5">
        <v>29.685</v>
      </c>
    </row>
    <row r="30" ht="15.75" customHeight="1">
      <c r="A30" s="4">
        <v>44454.0</v>
      </c>
      <c r="B30" s="5">
        <v>53.5481</v>
      </c>
      <c r="C30" s="5">
        <v>62.8362</v>
      </c>
      <c r="D30" s="5">
        <v>17.7516</v>
      </c>
      <c r="E30" s="5">
        <v>156.403</v>
      </c>
      <c r="F30" s="5">
        <v>5.35</v>
      </c>
      <c r="G30" s="5">
        <v>24.176</v>
      </c>
      <c r="H30" s="5">
        <v>21.2367</v>
      </c>
      <c r="I30" s="5">
        <v>29.6461</v>
      </c>
    </row>
    <row r="31" ht="15.75" customHeight="1">
      <c r="A31" s="4">
        <v>44455.0</v>
      </c>
      <c r="B31" s="5">
        <v>52.9782</v>
      </c>
      <c r="C31" s="5">
        <v>62.2365</v>
      </c>
      <c r="D31" s="5">
        <v>17.2318</v>
      </c>
      <c r="E31" s="5">
        <v>155.183</v>
      </c>
      <c r="F31" s="5">
        <v>5.35</v>
      </c>
      <c r="G31" s="5">
        <v>23.8108</v>
      </c>
      <c r="H31" s="5">
        <v>20.9956</v>
      </c>
      <c r="I31" s="5">
        <v>29.397</v>
      </c>
    </row>
    <row r="32" ht="15.75" customHeight="1">
      <c r="A32" s="4">
        <v>44456.0</v>
      </c>
      <c r="B32" s="5">
        <v>52.352</v>
      </c>
      <c r="C32" s="5">
        <v>61.0557</v>
      </c>
      <c r="D32" s="5">
        <v>17.1263</v>
      </c>
      <c r="E32" s="5">
        <v>153.462</v>
      </c>
      <c r="F32" s="5">
        <v>5.18</v>
      </c>
      <c r="G32" s="5">
        <v>23.6885</v>
      </c>
      <c r="H32" s="5">
        <v>20.8391</v>
      </c>
      <c r="I32" s="5">
        <v>28.9438</v>
      </c>
    </row>
    <row r="33" ht="15.75" customHeight="1">
      <c r="A33" s="4">
        <v>44459.0</v>
      </c>
      <c r="B33" s="5">
        <v>50.9564</v>
      </c>
      <c r="C33" s="5">
        <v>60.8837</v>
      </c>
      <c r="D33" s="5">
        <v>16.7022</v>
      </c>
      <c r="E33" s="5">
        <v>152.458</v>
      </c>
      <c r="F33" s="5">
        <v>4.86</v>
      </c>
      <c r="G33" s="5">
        <v>23.3984</v>
      </c>
      <c r="H33" s="5">
        <v>20.2019</v>
      </c>
      <c r="I33" s="5">
        <v>28.8913</v>
      </c>
    </row>
    <row r="34" ht="15.75" customHeight="1">
      <c r="A34" s="4">
        <v>44460.0</v>
      </c>
      <c r="B34" s="5">
        <v>50.9098</v>
      </c>
      <c r="C34" s="5">
        <v>60.7417</v>
      </c>
      <c r="D34" s="5">
        <v>16.7403</v>
      </c>
      <c r="E34" s="5">
        <v>150.598</v>
      </c>
      <c r="F34" s="5">
        <v>4.7</v>
      </c>
      <c r="G34" s="5">
        <v>23.1545</v>
      </c>
      <c r="H34" s="5">
        <v>20.2486</v>
      </c>
      <c r="I34" s="5">
        <v>28.8124</v>
      </c>
    </row>
    <row r="35" ht="15.75" customHeight="1">
      <c r="A35" s="4">
        <v>44461.0</v>
      </c>
      <c r="B35" s="5">
        <v>52.3997</v>
      </c>
      <c r="C35" s="5">
        <v>60.5512</v>
      </c>
      <c r="D35" s="5">
        <v>16.7794</v>
      </c>
      <c r="E35" s="5">
        <v>152.39</v>
      </c>
      <c r="F35" s="5">
        <v>4.66</v>
      </c>
      <c r="G35" s="5">
        <v>23.4551</v>
      </c>
      <c r="H35" s="5">
        <v>20.8732</v>
      </c>
      <c r="I35" s="5">
        <v>28.7945</v>
      </c>
    </row>
    <row r="36" ht="15.75" customHeight="1">
      <c r="A36" s="4">
        <v>44462.0</v>
      </c>
      <c r="B36" s="5">
        <v>54.1735</v>
      </c>
      <c r="C36" s="5">
        <v>60.3511</v>
      </c>
      <c r="D36" s="5">
        <v>16.9524</v>
      </c>
      <c r="E36" s="5">
        <v>153.924</v>
      </c>
      <c r="F36" s="5">
        <v>4.63</v>
      </c>
      <c r="G36" s="5">
        <v>23.8667</v>
      </c>
      <c r="H36" s="5">
        <v>21.6044</v>
      </c>
      <c r="I36" s="5">
        <v>28.6413</v>
      </c>
    </row>
    <row r="37" ht="15.75" customHeight="1">
      <c r="A37" s="4">
        <v>44463.0</v>
      </c>
      <c r="B37" s="5">
        <v>54.6578</v>
      </c>
      <c r="C37" s="5">
        <v>60.1228</v>
      </c>
      <c r="D37" s="5">
        <v>16.9045</v>
      </c>
      <c r="E37" s="5">
        <v>151.986</v>
      </c>
      <c r="F37" s="5">
        <v>4.53</v>
      </c>
      <c r="G37" s="5">
        <v>23.8011</v>
      </c>
      <c r="H37" s="5">
        <v>21.7673</v>
      </c>
      <c r="I37" s="5">
        <v>28.6101</v>
      </c>
    </row>
    <row r="38" ht="15.75" customHeight="1">
      <c r="A38" s="4">
        <v>44466.0</v>
      </c>
      <c r="B38" s="5">
        <v>56.2809</v>
      </c>
      <c r="C38" s="5">
        <v>59.4375</v>
      </c>
      <c r="D38" s="5">
        <v>16.4707</v>
      </c>
      <c r="E38" s="5">
        <v>151.14</v>
      </c>
      <c r="F38" s="5">
        <v>4.55</v>
      </c>
      <c r="G38" s="5">
        <v>24.4016</v>
      </c>
      <c r="H38" s="5">
        <v>22.5408</v>
      </c>
      <c r="I38" s="5">
        <v>28.2719</v>
      </c>
    </row>
    <row r="39" ht="15.75" customHeight="1">
      <c r="A39" s="4">
        <v>44467.0</v>
      </c>
      <c r="B39" s="5">
        <v>56.8693</v>
      </c>
      <c r="C39" s="5">
        <v>58.9623</v>
      </c>
      <c r="D39" s="5">
        <v>16.1444</v>
      </c>
      <c r="E39" s="5">
        <v>150.019</v>
      </c>
      <c r="F39" s="5">
        <v>4.58</v>
      </c>
      <c r="G39" s="5">
        <v>24.4381</v>
      </c>
      <c r="H39" s="5">
        <v>22.6178</v>
      </c>
      <c r="I39" s="5">
        <v>27.9161</v>
      </c>
    </row>
    <row r="40" ht="15.75" customHeight="1">
      <c r="A40" s="4">
        <v>44468.0</v>
      </c>
      <c r="B40" s="5">
        <v>56.8314</v>
      </c>
      <c r="C40" s="5">
        <v>59.628</v>
      </c>
      <c r="D40" s="5">
        <v>16.3173</v>
      </c>
      <c r="E40" s="5">
        <v>149.507</v>
      </c>
      <c r="F40" s="5">
        <v>4.53</v>
      </c>
      <c r="G40" s="5">
        <v>24.6164</v>
      </c>
      <c r="H40" s="5">
        <v>22.6178</v>
      </c>
      <c r="I40" s="5">
        <v>28.2808</v>
      </c>
    </row>
    <row r="41" ht="15.75" customHeight="1">
      <c r="A41" s="4">
        <v>44469.0</v>
      </c>
      <c r="B41" s="5">
        <v>55.8258</v>
      </c>
      <c r="C41" s="5">
        <v>58.9895</v>
      </c>
      <c r="D41" s="5">
        <v>16.4619</v>
      </c>
      <c r="E41" s="5">
        <v>145.454</v>
      </c>
      <c r="F41" s="5">
        <v>4.66</v>
      </c>
      <c r="G41" s="5">
        <v>24.3072</v>
      </c>
      <c r="H41" s="5">
        <v>22.2757</v>
      </c>
      <c r="I41" s="5">
        <v>28.0567</v>
      </c>
    </row>
    <row r="42" ht="15.75" customHeight="1">
      <c r="A42" s="4">
        <v>44470.0</v>
      </c>
      <c r="B42" s="5">
        <v>57.8282</v>
      </c>
      <c r="C42" s="5">
        <v>58.7815</v>
      </c>
      <c r="D42" s="5">
        <v>16.2205</v>
      </c>
      <c r="E42" s="5">
        <v>146.763</v>
      </c>
      <c r="F42" s="5">
        <v>4.67</v>
      </c>
      <c r="G42" s="5">
        <v>24.7379</v>
      </c>
      <c r="H42" s="5">
        <v>23.0241</v>
      </c>
      <c r="I42" s="5">
        <v>28.0567</v>
      </c>
    </row>
    <row r="43" ht="15.75" customHeight="1">
      <c r="A43" s="4">
        <v>44473.0</v>
      </c>
      <c r="B43" s="5">
        <v>58.578</v>
      </c>
      <c r="C43" s="5">
        <v>59.4277</v>
      </c>
      <c r="D43" s="5">
        <v>16.3847</v>
      </c>
      <c r="E43" s="5">
        <v>144.529</v>
      </c>
      <c r="F43" s="5">
        <v>4.72</v>
      </c>
      <c r="G43" s="5">
        <v>25.6189</v>
      </c>
      <c r="H43" s="5">
        <v>23.4003</v>
      </c>
      <c r="I43" s="5">
        <v>28.4434</v>
      </c>
    </row>
    <row r="44" ht="15.75" customHeight="1">
      <c r="A44" s="4">
        <v>44474.0</v>
      </c>
      <c r="B44" s="5">
        <v>58.4827</v>
      </c>
      <c r="C44" s="5">
        <v>59.075</v>
      </c>
      <c r="D44" s="5">
        <v>16.712</v>
      </c>
      <c r="E44" s="5">
        <v>147.352</v>
      </c>
      <c r="F44" s="5">
        <v>4.9</v>
      </c>
      <c r="G44" s="5">
        <v>25.5629</v>
      </c>
      <c r="H44" s="5">
        <v>23.5372</v>
      </c>
      <c r="I44" s="5">
        <v>28.3734</v>
      </c>
    </row>
    <row r="45" ht="15.75" customHeight="1">
      <c r="A45" s="4">
        <v>44475.0</v>
      </c>
      <c r="B45" s="5">
        <v>57.4109</v>
      </c>
      <c r="C45" s="5">
        <v>59.7135</v>
      </c>
      <c r="D45" s="5">
        <v>16.9241</v>
      </c>
      <c r="E45" s="5">
        <v>147.785</v>
      </c>
      <c r="F45" s="5">
        <v>4.81</v>
      </c>
      <c r="G45" s="5">
        <v>25.3566</v>
      </c>
      <c r="H45" s="5">
        <v>23.2897</v>
      </c>
      <c r="I45" s="5">
        <v>28.8124</v>
      </c>
    </row>
    <row r="46" ht="15.75" customHeight="1">
      <c r="A46" s="4">
        <v>44476.0</v>
      </c>
      <c r="B46" s="5">
        <v>57.5723</v>
      </c>
      <c r="C46" s="5">
        <v>59.6562</v>
      </c>
      <c r="D46" s="5">
        <v>17.2797</v>
      </c>
      <c r="E46" s="5">
        <v>149.949</v>
      </c>
      <c r="F46" s="5">
        <v>4.8</v>
      </c>
      <c r="G46" s="5">
        <v>25.9002</v>
      </c>
      <c r="H46" s="5">
        <v>23.4689</v>
      </c>
      <c r="I46" s="5">
        <v>28.6582</v>
      </c>
    </row>
    <row r="47" ht="15.75" customHeight="1">
      <c r="A47" s="4">
        <v>44477.0</v>
      </c>
      <c r="B47" s="5">
        <v>59.0136</v>
      </c>
      <c r="C47" s="5">
        <v>59.5511</v>
      </c>
      <c r="D47" s="5">
        <v>17.2318</v>
      </c>
      <c r="E47" s="5">
        <v>149.595</v>
      </c>
      <c r="F47" s="5">
        <v>4.82</v>
      </c>
      <c r="G47" s="5">
        <v>26.5374</v>
      </c>
      <c r="H47" s="5">
        <v>24.1918</v>
      </c>
      <c r="I47" s="5">
        <v>28.4473</v>
      </c>
    </row>
    <row r="48" ht="15.75" customHeight="1">
      <c r="A48" s="4">
        <v>44480.0</v>
      </c>
      <c r="B48" s="5">
        <v>58.4262</v>
      </c>
      <c r="C48" s="5">
        <v>58.9429</v>
      </c>
      <c r="D48" s="5">
        <v>16.9143</v>
      </c>
      <c r="E48" s="5">
        <v>148.621</v>
      </c>
      <c r="F48" s="5">
        <v>4.77</v>
      </c>
      <c r="G48" s="5">
        <v>26.8274</v>
      </c>
      <c r="H48" s="5">
        <v>24.1019</v>
      </c>
      <c r="I48" s="5">
        <v>28.061</v>
      </c>
    </row>
    <row r="49" ht="15.75" customHeight="1">
      <c r="A49" s="4">
        <v>44481.0</v>
      </c>
      <c r="B49" s="5">
        <v>58.1218</v>
      </c>
      <c r="C49" s="5">
        <v>59.1139</v>
      </c>
      <c r="D49" s="5">
        <v>17.1742</v>
      </c>
      <c r="E49" s="5">
        <v>147.706</v>
      </c>
      <c r="F49" s="5">
        <v>4.59</v>
      </c>
      <c r="G49" s="5">
        <v>27.1088</v>
      </c>
      <c r="H49" s="5">
        <v>24.1232</v>
      </c>
      <c r="I49" s="5">
        <v>28.2499</v>
      </c>
    </row>
    <row r="50" ht="15.75" customHeight="1">
      <c r="A50" s="4">
        <v>44482.0</v>
      </c>
      <c r="B50" s="5">
        <v>57.9604</v>
      </c>
      <c r="C50" s="5">
        <v>59.5046</v>
      </c>
      <c r="D50" s="5">
        <v>19.0707</v>
      </c>
      <c r="E50" s="5">
        <v>149.428</v>
      </c>
      <c r="F50" s="5">
        <v>4.61</v>
      </c>
      <c r="G50" s="5">
        <v>27.1088</v>
      </c>
      <c r="H50" s="5">
        <v>24.1019</v>
      </c>
      <c r="I50" s="5">
        <v>28.5792</v>
      </c>
    </row>
    <row r="51" ht="15.75" customHeight="1">
      <c r="A51" s="4">
        <v>44483.0</v>
      </c>
      <c r="B51" s="5">
        <v>58.8435</v>
      </c>
      <c r="C51" s="5">
        <v>60.218</v>
      </c>
      <c r="D51" s="5">
        <v>18.8401</v>
      </c>
      <c r="E51" s="5">
        <v>155.459</v>
      </c>
      <c r="F51" s="5">
        <v>4.54</v>
      </c>
      <c r="G51" s="5">
        <v>27.5213</v>
      </c>
      <c r="H51" s="5">
        <v>24.3965</v>
      </c>
      <c r="I51" s="5">
        <v>28.9309</v>
      </c>
    </row>
    <row r="52" ht="15.75" customHeight="1">
      <c r="A52" s="4">
        <v>44484.0</v>
      </c>
      <c r="B52" s="5">
        <v>59.4037</v>
      </c>
      <c r="C52" s="5">
        <v>60.0945</v>
      </c>
      <c r="D52" s="5">
        <v>18.9456</v>
      </c>
      <c r="E52" s="5">
        <v>157.288</v>
      </c>
      <c r="F52" s="5">
        <v>4.58</v>
      </c>
      <c r="G52" s="5">
        <v>27.69</v>
      </c>
      <c r="H52" s="5">
        <v>24.5168</v>
      </c>
      <c r="I52" s="5">
        <v>28.8471</v>
      </c>
    </row>
    <row r="53" ht="15.75" customHeight="1">
      <c r="A53" s="4">
        <v>44487.0</v>
      </c>
      <c r="B53" s="5">
        <v>59.3745</v>
      </c>
      <c r="C53" s="5">
        <v>59.4462</v>
      </c>
      <c r="D53" s="5">
        <v>18.6076</v>
      </c>
      <c r="E53" s="5">
        <v>157.111</v>
      </c>
      <c r="F53" s="5">
        <v>4.53</v>
      </c>
      <c r="G53" s="5">
        <v>27.4471</v>
      </c>
      <c r="H53" s="5">
        <v>24.5335</v>
      </c>
      <c r="I53" s="5">
        <v>28.5709</v>
      </c>
    </row>
    <row r="54" ht="15.75" customHeight="1">
      <c r="A54" s="4">
        <v>44488.0</v>
      </c>
      <c r="B54" s="5">
        <v>60.2672</v>
      </c>
      <c r="C54" s="5">
        <v>59.942</v>
      </c>
      <c r="D54" s="5">
        <v>18.4922</v>
      </c>
      <c r="E54" s="5">
        <v>157.318</v>
      </c>
      <c r="F54" s="5">
        <v>4.52</v>
      </c>
      <c r="G54" s="5">
        <v>27.1744</v>
      </c>
      <c r="H54" s="5">
        <v>24.8117</v>
      </c>
      <c r="I54" s="5">
        <v>28.9309</v>
      </c>
    </row>
    <row r="55" ht="15.75" customHeight="1">
      <c r="A55" s="4">
        <v>44489.0</v>
      </c>
      <c r="B55" s="5">
        <v>60.5989</v>
      </c>
      <c r="C55" s="5">
        <v>60.6465</v>
      </c>
      <c r="D55" s="5">
        <v>18.5899</v>
      </c>
      <c r="E55" s="5">
        <v>158.99</v>
      </c>
      <c r="F55" s="5">
        <v>4.74</v>
      </c>
      <c r="G55" s="5">
        <v>27.3238</v>
      </c>
      <c r="H55" s="5">
        <v>25.0128</v>
      </c>
      <c r="I55" s="5">
        <v>29.3873</v>
      </c>
    </row>
    <row r="56" ht="15.75" customHeight="1">
      <c r="A56" s="4">
        <v>44490.0</v>
      </c>
      <c r="B56" s="5">
        <v>59.4989</v>
      </c>
      <c r="C56" s="5">
        <v>61.0742</v>
      </c>
      <c r="D56" s="5">
        <v>18.3867</v>
      </c>
      <c r="E56" s="5">
        <v>157.928</v>
      </c>
      <c r="F56" s="5">
        <v>4.59</v>
      </c>
      <c r="G56" s="5">
        <v>26.7252</v>
      </c>
      <c r="H56" s="5">
        <v>24.5511</v>
      </c>
      <c r="I56" s="5">
        <v>29.3873</v>
      </c>
    </row>
    <row r="57" ht="15.75" customHeight="1">
      <c r="A57" s="4">
        <v>44491.0</v>
      </c>
      <c r="B57" s="5">
        <v>59.9063</v>
      </c>
      <c r="C57" s="5">
        <v>59.9224</v>
      </c>
      <c r="D57" s="5">
        <v>18.3965</v>
      </c>
      <c r="E57" s="5">
        <v>158.184</v>
      </c>
      <c r="F57" s="5">
        <v>4.47</v>
      </c>
      <c r="G57" s="5">
        <v>26.8466</v>
      </c>
      <c r="H57" s="5">
        <v>24.7819</v>
      </c>
      <c r="I57" s="5">
        <v>29.537</v>
      </c>
    </row>
    <row r="58" ht="15.75" customHeight="1">
      <c r="A58" s="4">
        <v>44494.0</v>
      </c>
      <c r="B58" s="5">
        <v>61.0743</v>
      </c>
      <c r="C58" s="5">
        <v>59.7903</v>
      </c>
      <c r="D58" s="5">
        <v>18.7717</v>
      </c>
      <c r="E58" s="5">
        <v>158.311</v>
      </c>
      <c r="F58" s="5">
        <v>4.66</v>
      </c>
      <c r="G58" s="5">
        <v>26.9874</v>
      </c>
      <c r="H58" s="5">
        <v>25.1453</v>
      </c>
      <c r="I58" s="5">
        <v>29.4095</v>
      </c>
    </row>
    <row r="59" ht="15.75" customHeight="1">
      <c r="A59" s="4">
        <v>44495.0</v>
      </c>
      <c r="B59" s="5">
        <v>62.4885</v>
      </c>
      <c r="C59" s="5">
        <v>60.2374</v>
      </c>
      <c r="D59" s="5">
        <v>18.7717</v>
      </c>
      <c r="E59" s="5">
        <v>157.18</v>
      </c>
      <c r="F59" s="5">
        <v>4.64</v>
      </c>
      <c r="G59" s="5">
        <v>26.7907</v>
      </c>
      <c r="H59" s="5">
        <v>25.291</v>
      </c>
      <c r="I59" s="5">
        <v>29.5677</v>
      </c>
    </row>
    <row r="60" ht="15.75" customHeight="1">
      <c r="A60" s="4">
        <v>44496.0</v>
      </c>
      <c r="B60" s="5">
        <v>60.8653</v>
      </c>
      <c r="C60" s="5">
        <v>59.628</v>
      </c>
      <c r="D60" s="5">
        <v>18.9261</v>
      </c>
      <c r="E60" s="5">
        <v>155.98</v>
      </c>
      <c r="F60" s="5">
        <v>4.49</v>
      </c>
      <c r="G60" s="5">
        <v>26.518</v>
      </c>
      <c r="H60" s="5">
        <v>24.5636</v>
      </c>
      <c r="I60" s="5">
        <v>29.3704</v>
      </c>
    </row>
    <row r="61" ht="15.75" customHeight="1">
      <c r="A61" s="4">
        <v>44497.0</v>
      </c>
      <c r="B61" s="5">
        <v>61.0354</v>
      </c>
      <c r="C61" s="5">
        <v>59.7232</v>
      </c>
      <c r="D61" s="5">
        <v>19.1097</v>
      </c>
      <c r="E61" s="5">
        <v>160.702</v>
      </c>
      <c r="F61" s="5">
        <v>4.39</v>
      </c>
      <c r="G61" s="5">
        <v>26.6308</v>
      </c>
      <c r="H61" s="5">
        <v>24.7391</v>
      </c>
      <c r="I61" s="5">
        <v>29.5633</v>
      </c>
    </row>
    <row r="62" ht="15.75" customHeight="1">
      <c r="A62" s="4">
        <v>44498.0</v>
      </c>
      <c r="B62" s="5">
        <v>61.1881</v>
      </c>
      <c r="C62" s="5">
        <v>59.3238</v>
      </c>
      <c r="D62" s="5">
        <v>18.8587</v>
      </c>
      <c r="E62" s="5">
        <v>160.505</v>
      </c>
      <c r="F62" s="5">
        <v>4.2</v>
      </c>
      <c r="G62" s="5">
        <v>26.3214</v>
      </c>
      <c r="H62" s="5">
        <v>24.5763</v>
      </c>
      <c r="I62" s="5">
        <v>29.3873</v>
      </c>
    </row>
    <row r="63" ht="15.75" customHeight="1">
      <c r="A63" s="4">
        <v>44501.0</v>
      </c>
      <c r="B63" s="5">
        <v>62.2891</v>
      </c>
      <c r="C63" s="5">
        <v>59.4754</v>
      </c>
      <c r="D63" s="5">
        <v>19.2622</v>
      </c>
      <c r="E63" s="5">
        <v>160.092</v>
      </c>
      <c r="F63" s="5">
        <v>4.35</v>
      </c>
      <c r="G63" s="5">
        <v>26.7435</v>
      </c>
      <c r="H63" s="5">
        <v>24.9997</v>
      </c>
      <c r="I63" s="5">
        <v>29.4929</v>
      </c>
    </row>
    <row r="64" ht="15.75" customHeight="1">
      <c r="A64" s="4">
        <v>44502.0</v>
      </c>
      <c r="B64" s="5">
        <v>61.5198</v>
      </c>
      <c r="C64" s="5">
        <v>59.4851</v>
      </c>
      <c r="D64" s="5">
        <v>19.1274</v>
      </c>
      <c r="E64" s="5">
        <v>167.195</v>
      </c>
      <c r="F64" s="5">
        <v>4.17</v>
      </c>
      <c r="G64" s="5">
        <v>26.6028</v>
      </c>
      <c r="H64" s="5">
        <v>24.7644</v>
      </c>
      <c r="I64" s="5">
        <v>29.5191</v>
      </c>
    </row>
    <row r="65" ht="15.75" customHeight="1">
      <c r="A65" s="4">
        <v>44503.0</v>
      </c>
      <c r="B65" s="5">
        <v>60.6747</v>
      </c>
      <c r="C65" s="5">
        <v>59.5414</v>
      </c>
      <c r="D65" s="5">
        <v>18.9456</v>
      </c>
      <c r="E65" s="5">
        <v>165.11</v>
      </c>
      <c r="F65" s="5">
        <v>4.28</v>
      </c>
      <c r="G65" s="5">
        <v>26.518</v>
      </c>
      <c r="H65" s="5">
        <v>24.5597</v>
      </c>
      <c r="I65" s="5">
        <v>29.4095</v>
      </c>
    </row>
    <row r="66" ht="15.75" customHeight="1">
      <c r="A66" s="4">
        <v>44504.0</v>
      </c>
      <c r="B66" s="5">
        <v>61.1308</v>
      </c>
      <c r="C66" s="5">
        <v>59.4948</v>
      </c>
      <c r="D66" s="5">
        <v>18.4922</v>
      </c>
      <c r="E66" s="5">
        <v>167.54</v>
      </c>
      <c r="F66" s="5">
        <v>4.11</v>
      </c>
      <c r="G66" s="5">
        <v>26.5006</v>
      </c>
      <c r="H66" s="5">
        <v>24.5938</v>
      </c>
      <c r="I66" s="5">
        <v>29.2469</v>
      </c>
    </row>
    <row r="67" ht="15.75" customHeight="1">
      <c r="A67" s="4">
        <v>44505.0</v>
      </c>
      <c r="B67" s="5">
        <v>61.7104</v>
      </c>
      <c r="C67" s="5">
        <v>60.0654</v>
      </c>
      <c r="D67" s="5">
        <v>19.7351</v>
      </c>
      <c r="E67" s="5">
        <v>166.87</v>
      </c>
      <c r="F67" s="5">
        <v>4.19</v>
      </c>
      <c r="G67" s="5">
        <v>26.7618</v>
      </c>
      <c r="H67" s="5">
        <v>24.9145</v>
      </c>
      <c r="I67" s="5">
        <v>29.5237</v>
      </c>
    </row>
    <row r="68" ht="15.75" customHeight="1">
      <c r="A68" s="4">
        <v>44508.0</v>
      </c>
      <c r="B68" s="5">
        <v>62.3737</v>
      </c>
      <c r="C68" s="5">
        <v>59.6095</v>
      </c>
      <c r="D68" s="5">
        <v>19.0023</v>
      </c>
      <c r="E68" s="5">
        <v>169.231</v>
      </c>
      <c r="F68" s="5">
        <v>4.34</v>
      </c>
      <c r="G68" s="5">
        <v>26.6877</v>
      </c>
      <c r="H68" s="5">
        <v>25.1411</v>
      </c>
      <c r="I68" s="5">
        <v>29.0846</v>
      </c>
    </row>
    <row r="69" ht="15.75" customHeight="1">
      <c r="A69" s="4">
        <v>44509.0</v>
      </c>
      <c r="B69" s="5">
        <v>62.9815</v>
      </c>
      <c r="C69" s="5">
        <v>60.3034</v>
      </c>
      <c r="D69" s="5">
        <v>18.6173</v>
      </c>
      <c r="E69" s="5">
        <v>170.156</v>
      </c>
      <c r="F69" s="5">
        <v>4.56</v>
      </c>
      <c r="G69" s="5">
        <v>26.7339</v>
      </c>
      <c r="H69" s="5">
        <v>25.2437</v>
      </c>
      <c r="I69" s="5">
        <v>29.234</v>
      </c>
    </row>
    <row r="70" ht="15.75" customHeight="1">
      <c r="A70" s="4">
        <v>44510.0</v>
      </c>
      <c r="B70" s="5">
        <v>61.7406</v>
      </c>
      <c r="C70" s="5">
        <v>60.7894</v>
      </c>
      <c r="D70" s="5">
        <v>18.715</v>
      </c>
      <c r="E70" s="5">
        <v>168.169</v>
      </c>
      <c r="F70" s="5">
        <v>4.4</v>
      </c>
      <c r="G70" s="5">
        <v>26.3773</v>
      </c>
      <c r="H70" s="5">
        <v>24.5763</v>
      </c>
      <c r="I70" s="5">
        <v>29.4711</v>
      </c>
    </row>
    <row r="71" ht="15.75" customHeight="1">
      <c r="A71" s="4">
        <v>44511.0</v>
      </c>
      <c r="B71" s="5">
        <v>61.8563</v>
      </c>
      <c r="C71" s="5">
        <v>60.0177</v>
      </c>
      <c r="D71" s="5">
        <v>18.8675</v>
      </c>
      <c r="E71" s="5">
        <v>166.261</v>
      </c>
      <c r="F71" s="5">
        <v>4.3</v>
      </c>
      <c r="G71" s="5">
        <v>27.0713</v>
      </c>
      <c r="H71" s="5">
        <v>24.6704</v>
      </c>
      <c r="I71" s="5">
        <v>29.291</v>
      </c>
    </row>
    <row r="72" ht="15.75" customHeight="1">
      <c r="A72" s="4">
        <v>44512.0</v>
      </c>
      <c r="B72" s="5">
        <v>61.3846</v>
      </c>
      <c r="C72" s="5">
        <v>59.5377</v>
      </c>
      <c r="D72" s="5">
        <v>18.9164</v>
      </c>
      <c r="E72" s="5">
        <v>168.101</v>
      </c>
      <c r="F72" s="5">
        <v>4.3</v>
      </c>
      <c r="G72" s="5">
        <v>26.837</v>
      </c>
      <c r="H72" s="5">
        <v>24.6109</v>
      </c>
      <c r="I72" s="5">
        <v>29.2731</v>
      </c>
    </row>
    <row r="73" ht="15.75" customHeight="1">
      <c r="A73" s="4">
        <v>44515.0</v>
      </c>
      <c r="B73" s="5">
        <v>61.9137</v>
      </c>
      <c r="C73" s="5">
        <v>59.835</v>
      </c>
      <c r="D73" s="5">
        <v>19.6961</v>
      </c>
      <c r="E73" s="5">
        <v>169.016</v>
      </c>
      <c r="F73" s="5">
        <v>4.25</v>
      </c>
      <c r="G73" s="5">
        <v>26.8091</v>
      </c>
      <c r="H73" s="5">
        <v>24.816</v>
      </c>
      <c r="I73" s="5">
        <v>29.6594</v>
      </c>
    </row>
    <row r="74" ht="15.75" customHeight="1">
      <c r="A74" s="4">
        <v>44516.0</v>
      </c>
      <c r="B74" s="5">
        <v>62.539</v>
      </c>
      <c r="C74" s="5">
        <v>59.6426</v>
      </c>
      <c r="D74" s="5">
        <v>19.6765</v>
      </c>
      <c r="E74" s="5">
        <v>170.059</v>
      </c>
      <c r="F74" s="5">
        <v>4.02</v>
      </c>
      <c r="G74" s="5">
        <v>26.4429</v>
      </c>
      <c r="H74" s="5">
        <v>24.8545</v>
      </c>
      <c r="I74" s="5">
        <v>29.5191</v>
      </c>
    </row>
    <row r="75" ht="15.75" customHeight="1">
      <c r="A75" s="4">
        <v>44517.0</v>
      </c>
      <c r="B75" s="5">
        <v>61.8563</v>
      </c>
      <c r="C75" s="5">
        <v>59.8068</v>
      </c>
      <c r="D75" s="5">
        <v>19.4459</v>
      </c>
      <c r="E75" s="5">
        <v>169.37</v>
      </c>
      <c r="F75" s="5">
        <v>3.97</v>
      </c>
      <c r="G75" s="5">
        <v>26.4352</v>
      </c>
      <c r="H75" s="5">
        <v>24.474</v>
      </c>
      <c r="I75" s="5">
        <v>29.546</v>
      </c>
    </row>
    <row r="76" ht="15.75" customHeight="1">
      <c r="A76" s="4">
        <v>44518.0</v>
      </c>
      <c r="B76" s="5">
        <v>61.1833</v>
      </c>
      <c r="C76" s="5">
        <v>59.2868</v>
      </c>
      <c r="D76" s="5">
        <v>19.3971</v>
      </c>
      <c r="E76" s="5">
        <v>169.585</v>
      </c>
      <c r="F76" s="5">
        <v>4.1</v>
      </c>
      <c r="G76" s="5">
        <v>26.2095</v>
      </c>
      <c r="H76" s="5">
        <v>24.3288</v>
      </c>
      <c r="I76" s="5">
        <v>29.3918</v>
      </c>
    </row>
    <row r="77" ht="15.75" customHeight="1">
      <c r="A77" s="4">
        <v>44519.0</v>
      </c>
      <c r="B77" s="5">
        <v>58.3552</v>
      </c>
      <c r="C77" s="5">
        <v>60.2879</v>
      </c>
      <c r="D77" s="5">
        <v>19.3012</v>
      </c>
      <c r="E77" s="5">
        <v>168.582</v>
      </c>
      <c r="F77" s="5">
        <v>3.87</v>
      </c>
      <c r="G77" s="5">
        <v>25.694</v>
      </c>
      <c r="H77" s="5">
        <v>23.3793</v>
      </c>
      <c r="I77" s="5">
        <v>29.5588</v>
      </c>
    </row>
    <row r="78" ht="15.75" customHeight="1">
      <c r="A78" s="4">
        <v>44522.0</v>
      </c>
      <c r="B78" s="5">
        <v>59.1634</v>
      </c>
      <c r="C78" s="5">
        <v>60.7204</v>
      </c>
      <c r="D78" s="5">
        <v>19.5231</v>
      </c>
      <c r="E78" s="5">
        <v>168.602</v>
      </c>
      <c r="F78" s="5">
        <v>3.76</v>
      </c>
      <c r="G78" s="5">
        <v>25.8627</v>
      </c>
      <c r="H78" s="5">
        <v>23.7944</v>
      </c>
      <c r="I78" s="5">
        <v>29.7389</v>
      </c>
    </row>
    <row r="79" ht="15.75" customHeight="1">
      <c r="A79" s="4">
        <v>44523.0</v>
      </c>
      <c r="B79" s="5">
        <v>60.7214</v>
      </c>
      <c r="C79" s="5">
        <v>60.6145</v>
      </c>
      <c r="D79" s="5">
        <v>19.8503</v>
      </c>
      <c r="E79" s="5">
        <v>168.848</v>
      </c>
      <c r="F79" s="5">
        <v>3.78</v>
      </c>
      <c r="G79" s="5">
        <v>26.3117</v>
      </c>
      <c r="H79" s="5">
        <v>24.5256</v>
      </c>
      <c r="I79" s="5">
        <v>29.77</v>
      </c>
    </row>
    <row r="80" ht="15.75" customHeight="1">
      <c r="A80" s="4">
        <v>44524.0</v>
      </c>
      <c r="B80" s="5">
        <v>61.0579</v>
      </c>
      <c r="C80" s="5">
        <v>60.701</v>
      </c>
      <c r="D80" s="5">
        <v>19.8503</v>
      </c>
      <c r="E80" s="5">
        <v>167.264</v>
      </c>
      <c r="F80" s="5">
        <v>3.65</v>
      </c>
      <c r="G80" s="5">
        <v>26.7531</v>
      </c>
      <c r="H80" s="5">
        <v>24.7644</v>
      </c>
      <c r="I80" s="5">
        <v>29.787</v>
      </c>
    </row>
    <row r="81" ht="15.75" customHeight="1">
      <c r="A81" s="4">
        <v>44526.0</v>
      </c>
      <c r="B81" s="5">
        <v>58.9125</v>
      </c>
      <c r="C81" s="5">
        <v>59.6815</v>
      </c>
      <c r="D81" s="5">
        <v>19.4068</v>
      </c>
      <c r="E81" s="5">
        <v>163.9</v>
      </c>
      <c r="F81" s="5">
        <v>3.43</v>
      </c>
      <c r="G81" s="5">
        <v>26.462</v>
      </c>
      <c r="H81" s="5">
        <v>23.768</v>
      </c>
      <c r="I81" s="5">
        <v>29.3218</v>
      </c>
    </row>
    <row r="82" ht="15.75" customHeight="1">
      <c r="A82" s="4">
        <v>44529.0</v>
      </c>
      <c r="B82" s="5">
        <v>59.2403</v>
      </c>
      <c r="C82" s="5">
        <v>60.4317</v>
      </c>
      <c r="D82" s="5">
        <v>19.3404</v>
      </c>
      <c r="E82" s="5">
        <v>163.771</v>
      </c>
      <c r="F82" s="5">
        <v>3.39</v>
      </c>
      <c r="G82" s="5">
        <v>26.2473</v>
      </c>
      <c r="H82" s="5">
        <v>23.905</v>
      </c>
      <c r="I82" s="5">
        <v>29.7567</v>
      </c>
    </row>
    <row r="83" ht="15.75" customHeight="1">
      <c r="A83" s="4">
        <v>44530.0</v>
      </c>
      <c r="B83" s="5">
        <v>57.5569</v>
      </c>
      <c r="C83" s="5">
        <v>58.7776</v>
      </c>
      <c r="D83" s="5">
        <v>19.1371</v>
      </c>
      <c r="E83" s="5">
        <v>158.568</v>
      </c>
      <c r="F83" s="5">
        <v>3.58</v>
      </c>
      <c r="G83" s="5">
        <v>25.1041</v>
      </c>
      <c r="H83" s="5">
        <v>23.3446</v>
      </c>
      <c r="I83" s="5">
        <v>28.8867</v>
      </c>
    </row>
    <row r="84" ht="15.75" customHeight="1">
      <c r="A84" s="4">
        <v>44531.0</v>
      </c>
      <c r="B84" s="5">
        <v>57.5081</v>
      </c>
      <c r="C84" s="5">
        <v>58.8155</v>
      </c>
      <c r="D84" s="5">
        <v>19.783</v>
      </c>
      <c r="E84" s="5">
        <v>157.987</v>
      </c>
      <c r="F84" s="5">
        <v>3.67</v>
      </c>
      <c r="G84" s="5">
        <v>24.9635</v>
      </c>
      <c r="H84" s="5">
        <v>23.0971</v>
      </c>
      <c r="I84" s="5">
        <v>28.9394</v>
      </c>
    </row>
    <row r="85" ht="15.75" customHeight="1">
      <c r="A85" s="4">
        <v>44532.0</v>
      </c>
      <c r="B85" s="5">
        <v>58.9417</v>
      </c>
      <c r="C85" s="5">
        <v>59.6523</v>
      </c>
      <c r="D85" s="5">
        <v>20.1778</v>
      </c>
      <c r="E85" s="5">
        <v>163.034</v>
      </c>
      <c r="F85" s="5">
        <v>3.96</v>
      </c>
      <c r="G85" s="5">
        <v>25.5349</v>
      </c>
      <c r="H85" s="5">
        <v>23.768</v>
      </c>
      <c r="I85" s="5">
        <v>29.3089</v>
      </c>
    </row>
    <row r="86" ht="15.75" customHeight="1">
      <c r="A86" s="4">
        <v>44533.0</v>
      </c>
      <c r="B86" s="5">
        <v>58.5663</v>
      </c>
      <c r="C86" s="5">
        <v>60.4414</v>
      </c>
      <c r="D86" s="5">
        <v>19.9364</v>
      </c>
      <c r="E86" s="5">
        <v>162.857</v>
      </c>
      <c r="F86" s="5">
        <v>3.82</v>
      </c>
      <c r="G86" s="5">
        <v>25.4039</v>
      </c>
      <c r="H86" s="5">
        <v>23.5802</v>
      </c>
      <c r="I86" s="5">
        <v>29.6029</v>
      </c>
    </row>
    <row r="87" ht="15.75" customHeight="1">
      <c r="A87" s="4">
        <v>44536.0</v>
      </c>
      <c r="B87" s="5">
        <v>59.2306</v>
      </c>
      <c r="C87" s="5">
        <v>62.2016</v>
      </c>
      <c r="D87" s="5">
        <v>20.1386</v>
      </c>
      <c r="E87" s="5">
        <v>166.172</v>
      </c>
      <c r="F87" s="5">
        <v>3.99</v>
      </c>
      <c r="G87" s="5">
        <v>25.6005</v>
      </c>
      <c r="H87" s="5">
        <v>23.9312</v>
      </c>
      <c r="I87" s="5">
        <v>30.0549</v>
      </c>
    </row>
    <row r="88" ht="15.75" customHeight="1">
      <c r="A88" s="4">
        <v>44537.0</v>
      </c>
      <c r="B88" s="5">
        <v>59.8937</v>
      </c>
      <c r="C88" s="5">
        <v>62.0188</v>
      </c>
      <c r="D88" s="5">
        <v>20.1484</v>
      </c>
      <c r="E88" s="5">
        <v>166.91</v>
      </c>
      <c r="F88" s="5">
        <v>4.19</v>
      </c>
      <c r="G88" s="5">
        <v>26.012</v>
      </c>
      <c r="H88" s="5">
        <v>24.4911</v>
      </c>
      <c r="I88" s="5">
        <v>30.2789</v>
      </c>
    </row>
    <row r="89" ht="15.75" customHeight="1">
      <c r="A89" s="4">
        <v>44538.0</v>
      </c>
      <c r="B89" s="5">
        <v>60.0668</v>
      </c>
      <c r="C89" s="5">
        <v>62.2881</v>
      </c>
      <c r="D89" s="5">
        <v>20.4181</v>
      </c>
      <c r="E89" s="5">
        <v>166.261</v>
      </c>
      <c r="F89" s="5">
        <v>4.17</v>
      </c>
      <c r="G89" s="5">
        <v>25.9002</v>
      </c>
      <c r="H89" s="5">
        <v>24.4868</v>
      </c>
      <c r="I89" s="5">
        <v>30.2482</v>
      </c>
    </row>
    <row r="90" ht="15.75" customHeight="1">
      <c r="A90" s="4">
        <v>44539.0</v>
      </c>
      <c r="B90" s="5">
        <v>60.2215</v>
      </c>
      <c r="C90" s="5">
        <v>62.115</v>
      </c>
      <c r="D90" s="5">
        <v>20.1102</v>
      </c>
      <c r="E90" s="5">
        <v>164.952</v>
      </c>
      <c r="F90" s="5">
        <v>4.07</v>
      </c>
      <c r="G90" s="5">
        <v>25.3201</v>
      </c>
      <c r="H90" s="5">
        <v>24.2987</v>
      </c>
      <c r="I90" s="5">
        <v>30.209</v>
      </c>
    </row>
    <row r="91" ht="15.75" customHeight="1">
      <c r="A91" s="4">
        <v>44540.0</v>
      </c>
      <c r="B91" s="5">
        <v>60.6056</v>
      </c>
      <c r="C91" s="5">
        <v>62.6059</v>
      </c>
      <c r="D91" s="5">
        <v>20.2353</v>
      </c>
      <c r="E91" s="5">
        <v>166.783</v>
      </c>
      <c r="F91" s="5">
        <v>3.99</v>
      </c>
      <c r="G91" s="5">
        <v>25.3392</v>
      </c>
      <c r="H91" s="5">
        <v>24.4784</v>
      </c>
      <c r="I91" s="5">
        <v>30.3717</v>
      </c>
    </row>
    <row r="92" ht="15.75" customHeight="1">
      <c r="A92" s="4">
        <v>44543.0</v>
      </c>
      <c r="B92" s="5">
        <v>59.2782</v>
      </c>
      <c r="C92" s="5">
        <v>63.6642</v>
      </c>
      <c r="D92" s="5">
        <v>19.956</v>
      </c>
      <c r="E92" s="5">
        <v>166.044</v>
      </c>
      <c r="F92" s="5">
        <v>3.88</v>
      </c>
      <c r="G92" s="5">
        <v>24.9586</v>
      </c>
      <c r="H92" s="5">
        <v>23.7988</v>
      </c>
      <c r="I92" s="5">
        <v>30.7446</v>
      </c>
    </row>
    <row r="93" ht="15.75" customHeight="1">
      <c r="A93" s="4">
        <v>44544.0</v>
      </c>
      <c r="B93" s="5">
        <v>59.1916</v>
      </c>
      <c r="C93" s="5">
        <v>63.462</v>
      </c>
      <c r="D93" s="5">
        <v>19.995</v>
      </c>
      <c r="E93" s="5">
        <v>161.283</v>
      </c>
      <c r="F93" s="5">
        <v>3.81</v>
      </c>
      <c r="G93" s="5">
        <v>24.6164</v>
      </c>
      <c r="H93" s="5">
        <v>23.6999</v>
      </c>
      <c r="I93" s="5">
        <v>30.5603</v>
      </c>
    </row>
    <row r="94" ht="15.75" customHeight="1">
      <c r="A94" s="4">
        <v>44545.0</v>
      </c>
      <c r="B94" s="5">
        <v>58.932</v>
      </c>
      <c r="C94" s="5">
        <v>64.2124</v>
      </c>
      <c r="D94" s="5">
        <v>20.0722</v>
      </c>
      <c r="E94" s="5">
        <v>165.612</v>
      </c>
      <c r="F94" s="5">
        <v>3.82</v>
      </c>
      <c r="G94" s="5">
        <v>24.7109</v>
      </c>
      <c r="H94" s="5">
        <v>23.5844</v>
      </c>
      <c r="I94" s="5">
        <v>31.0607</v>
      </c>
    </row>
    <row r="95" ht="15.75" customHeight="1">
      <c r="A95" s="4">
        <v>44546.0</v>
      </c>
      <c r="B95" s="5">
        <v>59.0283</v>
      </c>
      <c r="C95" s="5">
        <v>64.9821</v>
      </c>
      <c r="D95" s="5">
        <v>20.295</v>
      </c>
      <c r="E95" s="5">
        <v>165.159</v>
      </c>
      <c r="F95" s="5">
        <v>3.91</v>
      </c>
      <c r="G95" s="5">
        <v>24.8632</v>
      </c>
      <c r="H95" s="5">
        <v>23.734</v>
      </c>
      <c r="I95" s="5">
        <v>31.2194</v>
      </c>
    </row>
    <row r="96" ht="15.75" customHeight="1">
      <c r="A96" s="4">
        <v>44547.0</v>
      </c>
      <c r="B96" s="5">
        <v>57.7397</v>
      </c>
      <c r="C96" s="5">
        <v>64.2989</v>
      </c>
      <c r="D96" s="5">
        <v>20.5862</v>
      </c>
      <c r="E96" s="5">
        <v>161.51</v>
      </c>
      <c r="F96" s="5">
        <v>3.81</v>
      </c>
      <c r="G96" s="5">
        <v>24.5307</v>
      </c>
      <c r="H96" s="5">
        <v>23.2506</v>
      </c>
      <c r="I96" s="5">
        <v>30.7493</v>
      </c>
    </row>
    <row r="97" ht="15.75" customHeight="1">
      <c r="A97" s="4">
        <v>44550.0</v>
      </c>
      <c r="B97" s="5">
        <v>56.9023</v>
      </c>
      <c r="C97" s="5">
        <v>64.5681</v>
      </c>
      <c r="D97" s="5">
        <v>20.4504</v>
      </c>
      <c r="E97" s="5">
        <v>160.525</v>
      </c>
      <c r="F97" s="5">
        <v>3.75</v>
      </c>
      <c r="G97" s="5">
        <v>24.1115</v>
      </c>
      <c r="H97" s="5">
        <v>22.965</v>
      </c>
      <c r="I97" s="5">
        <v>30.7799</v>
      </c>
    </row>
    <row r="98" ht="15.75" customHeight="1">
      <c r="A98" s="4">
        <v>44551.0</v>
      </c>
      <c r="B98" s="5">
        <v>58.1918</v>
      </c>
      <c r="C98" s="5">
        <v>63.8664</v>
      </c>
      <c r="D98" s="5">
        <v>21.149</v>
      </c>
      <c r="E98" s="5">
        <v>163.634</v>
      </c>
      <c r="F98" s="5">
        <v>3.84</v>
      </c>
      <c r="G98" s="5">
        <v>24.4064</v>
      </c>
      <c r="H98" s="5">
        <v>23.619</v>
      </c>
      <c r="I98" s="5">
        <v>30.7358</v>
      </c>
    </row>
    <row r="99" ht="15.75" customHeight="1">
      <c r="A99" s="4">
        <v>44552.0</v>
      </c>
      <c r="B99" s="5">
        <v>58.6626</v>
      </c>
      <c r="C99" s="5">
        <v>64.1161</v>
      </c>
      <c r="D99" s="5">
        <v>21.6531</v>
      </c>
      <c r="E99" s="5">
        <v>163.142</v>
      </c>
      <c r="F99" s="5">
        <v>3.89</v>
      </c>
      <c r="G99" s="5">
        <v>24.4257</v>
      </c>
      <c r="H99" s="5">
        <v>23.7708</v>
      </c>
      <c r="I99" s="5">
        <v>30.8685</v>
      </c>
    </row>
    <row r="100" ht="15.75" customHeight="1">
      <c r="A100" s="4">
        <v>44553.0</v>
      </c>
      <c r="B100" s="5">
        <v>58.6917</v>
      </c>
      <c r="C100" s="5">
        <v>64.0102</v>
      </c>
      <c r="D100" s="5">
        <v>21.3619</v>
      </c>
      <c r="E100" s="5">
        <v>164.422</v>
      </c>
      <c r="F100" s="5">
        <v>3.92</v>
      </c>
      <c r="G100" s="5">
        <v>24.5876</v>
      </c>
      <c r="H100" s="5">
        <v>23.7838</v>
      </c>
      <c r="I100" s="5">
        <v>30.8642</v>
      </c>
    </row>
    <row r="101" ht="15.75" customHeight="1">
      <c r="A101" s="4">
        <v>44557.0</v>
      </c>
      <c r="B101" s="5">
        <v>59.5282</v>
      </c>
      <c r="C101" s="5">
        <v>64.4146</v>
      </c>
      <c r="D101" s="5">
        <v>21.5173</v>
      </c>
      <c r="E101" s="5">
        <v>166.99</v>
      </c>
      <c r="F101" s="5">
        <v>4.07</v>
      </c>
      <c r="G101" s="5">
        <v>24.9779</v>
      </c>
      <c r="H101" s="5">
        <v>24.3034</v>
      </c>
      <c r="I101" s="5">
        <v>31.0148</v>
      </c>
    </row>
    <row r="102" ht="15.75" customHeight="1">
      <c r="A102" s="4">
        <v>44558.0</v>
      </c>
      <c r="B102" s="5">
        <v>59.3365</v>
      </c>
      <c r="C102" s="5">
        <v>65.1551</v>
      </c>
      <c r="D102" s="5">
        <v>21.3815</v>
      </c>
      <c r="E102" s="5">
        <v>167.511</v>
      </c>
      <c r="F102" s="5">
        <v>4.07</v>
      </c>
      <c r="G102" s="5">
        <v>24.8824</v>
      </c>
      <c r="H102" s="5">
        <v>24.2864</v>
      </c>
      <c r="I102" s="5">
        <v>31.2937</v>
      </c>
    </row>
    <row r="103" ht="15.75" customHeight="1">
      <c r="A103" s="4">
        <v>44559.0</v>
      </c>
      <c r="B103" s="5">
        <v>58.8172</v>
      </c>
      <c r="C103" s="5">
        <v>65.4826</v>
      </c>
      <c r="D103" s="5">
        <v>21.2067</v>
      </c>
      <c r="E103" s="5">
        <v>168.012</v>
      </c>
      <c r="F103" s="5">
        <v>3.99</v>
      </c>
      <c r="G103" s="5">
        <v>24.7678</v>
      </c>
      <c r="H103" s="5">
        <v>24.1302</v>
      </c>
      <c r="I103" s="5">
        <v>31.4617</v>
      </c>
    </row>
    <row r="104" ht="15.75" customHeight="1">
      <c r="A104" s="4">
        <v>44560.0</v>
      </c>
      <c r="B104" s="5">
        <v>58.47</v>
      </c>
      <c r="C104" s="5">
        <v>65.7616</v>
      </c>
      <c r="D104" s="5">
        <v>21.7108</v>
      </c>
      <c r="E104" s="5">
        <v>167.727</v>
      </c>
      <c r="F104" s="5">
        <v>3.91</v>
      </c>
      <c r="G104" s="5">
        <v>24.6541</v>
      </c>
      <c r="H104" s="5">
        <v>23.9829</v>
      </c>
      <c r="I104" s="5">
        <v>31.5771</v>
      </c>
    </row>
    <row r="105" ht="15.75" customHeight="1">
      <c r="A105" s="4">
        <v>44561.0</v>
      </c>
      <c r="B105" s="5">
        <v>58.8551</v>
      </c>
      <c r="C105" s="5">
        <v>65.9725</v>
      </c>
      <c r="D105" s="5">
        <v>22.0791</v>
      </c>
      <c r="E105" s="5">
        <v>169.094</v>
      </c>
      <c r="F105" s="5">
        <v>3.82</v>
      </c>
      <c r="G105" s="5">
        <v>24.7678</v>
      </c>
      <c r="H105" s="5">
        <v>24.0436</v>
      </c>
      <c r="I105" s="5">
        <v>31.6876</v>
      </c>
    </row>
    <row r="106" ht="15.75" customHeight="1">
      <c r="A106" s="4">
        <v>44564.0</v>
      </c>
      <c r="B106" s="5">
        <v>61.1152</v>
      </c>
      <c r="C106" s="5">
        <v>65.5788</v>
      </c>
      <c r="D106" s="5">
        <v>22.0498</v>
      </c>
      <c r="E106" s="5">
        <v>165.021</v>
      </c>
      <c r="F106" s="5">
        <v>4.04</v>
      </c>
      <c r="G106" s="5">
        <v>25.2053</v>
      </c>
      <c r="H106" s="5">
        <v>24.7889</v>
      </c>
      <c r="I106" s="5">
        <v>31.3735</v>
      </c>
    </row>
    <row r="107" ht="15.75" customHeight="1">
      <c r="A107" s="4">
        <v>44565.0</v>
      </c>
      <c r="B107" s="5">
        <v>63.4142</v>
      </c>
      <c r="C107" s="5">
        <v>65.5788</v>
      </c>
      <c r="D107" s="5">
        <v>21.8369</v>
      </c>
      <c r="E107" s="5">
        <v>167.766</v>
      </c>
      <c r="F107" s="5">
        <v>4.16</v>
      </c>
      <c r="G107" s="5">
        <v>25.4337</v>
      </c>
      <c r="H107" s="5">
        <v>25.6466</v>
      </c>
      <c r="I107" s="5">
        <v>31.2758</v>
      </c>
    </row>
    <row r="108" ht="15.75" customHeight="1">
      <c r="A108" s="4">
        <v>44566.0</v>
      </c>
      <c r="B108" s="5">
        <v>64.203</v>
      </c>
      <c r="C108" s="5">
        <v>65.6556</v>
      </c>
      <c r="D108" s="5">
        <v>21.4392</v>
      </c>
      <c r="E108" s="5">
        <v>165.366</v>
      </c>
      <c r="F108" s="5">
        <v>3.99</v>
      </c>
      <c r="G108" s="5">
        <v>25.4917</v>
      </c>
      <c r="H108" s="5">
        <v>25.6422</v>
      </c>
      <c r="I108" s="5">
        <v>31.2581</v>
      </c>
    </row>
    <row r="109" ht="15.75" customHeight="1">
      <c r="A109" s="4">
        <v>44567.0</v>
      </c>
      <c r="B109" s="5">
        <v>65.7133</v>
      </c>
      <c r="C109" s="5">
        <v>65.5788</v>
      </c>
      <c r="D109" s="5">
        <v>21.6434</v>
      </c>
      <c r="E109" s="5">
        <v>165.759</v>
      </c>
      <c r="F109" s="5">
        <v>3.95</v>
      </c>
      <c r="G109" s="5">
        <v>26.0997</v>
      </c>
      <c r="H109" s="5">
        <v>26.2142</v>
      </c>
      <c r="I109" s="5">
        <v>30.9349</v>
      </c>
    </row>
    <row r="110" ht="15.75" customHeight="1">
      <c r="A110" s="4">
        <v>44568.0</v>
      </c>
      <c r="B110" s="5">
        <v>66.2521</v>
      </c>
      <c r="C110" s="5">
        <v>66.0308</v>
      </c>
      <c r="D110" s="5">
        <v>22.0215</v>
      </c>
      <c r="E110" s="5">
        <v>164.235</v>
      </c>
      <c r="F110" s="5">
        <v>4.03</v>
      </c>
      <c r="G110" s="5">
        <v>26.6423</v>
      </c>
      <c r="H110" s="5">
        <v>26.5739</v>
      </c>
      <c r="I110" s="5">
        <v>31.1699</v>
      </c>
    </row>
    <row r="111" ht="15.75" customHeight="1">
      <c r="A111" s="4">
        <v>44571.0</v>
      </c>
      <c r="B111" s="5">
        <v>65.8572</v>
      </c>
      <c r="C111" s="5">
        <v>65.9249</v>
      </c>
      <c r="D111" s="5">
        <v>21.7792</v>
      </c>
      <c r="E111" s="5">
        <v>162.837</v>
      </c>
      <c r="F111" s="5">
        <v>3.91</v>
      </c>
      <c r="G111" s="5">
        <v>26.5845</v>
      </c>
      <c r="H111" s="5">
        <v>26.4916</v>
      </c>
      <c r="I111" s="5">
        <v>30.9663</v>
      </c>
    </row>
    <row r="112" ht="15.75" customHeight="1">
      <c r="A112" s="4">
        <v>44572.0</v>
      </c>
      <c r="B112" s="5">
        <v>68.6278</v>
      </c>
      <c r="C112" s="5">
        <v>65.0783</v>
      </c>
      <c r="D112" s="5">
        <v>21.827</v>
      </c>
      <c r="E112" s="5">
        <v>164.145</v>
      </c>
      <c r="F112" s="5">
        <v>4.09</v>
      </c>
      <c r="G112" s="5">
        <v>27.4596</v>
      </c>
      <c r="H112" s="5">
        <v>27.3926</v>
      </c>
      <c r="I112" s="5">
        <v>30.6871</v>
      </c>
    </row>
    <row r="113" ht="15.75" customHeight="1">
      <c r="A113" s="4">
        <v>44573.0</v>
      </c>
      <c r="B113" s="5">
        <v>68.4256</v>
      </c>
      <c r="C113" s="5">
        <v>65.2037</v>
      </c>
      <c r="D113" s="5">
        <v>22.2345</v>
      </c>
      <c r="E113" s="5">
        <v>167.766</v>
      </c>
      <c r="F113" s="5">
        <v>4.15</v>
      </c>
      <c r="G113" s="5">
        <v>27.7738</v>
      </c>
      <c r="H113" s="5">
        <v>27.4446</v>
      </c>
      <c r="I113" s="5">
        <v>30.7844</v>
      </c>
    </row>
    <row r="114" ht="15.75" customHeight="1">
      <c r="A114" s="4">
        <v>44574.0</v>
      </c>
      <c r="B114" s="5">
        <v>67.9354</v>
      </c>
      <c r="C114" s="5">
        <v>65.7519</v>
      </c>
      <c r="D114" s="5">
        <v>21.9238</v>
      </c>
      <c r="E114" s="5">
        <v>167.491</v>
      </c>
      <c r="F114" s="5">
        <v>4.2</v>
      </c>
      <c r="G114" s="5">
        <v>27.5174</v>
      </c>
      <c r="H114" s="5">
        <v>27.306</v>
      </c>
      <c r="I114" s="5">
        <v>30.9349</v>
      </c>
    </row>
    <row r="115" ht="15.75" customHeight="1">
      <c r="A115" s="4">
        <v>44575.0</v>
      </c>
      <c r="B115" s="5">
        <v>69.1277</v>
      </c>
      <c r="C115" s="5">
        <v>66.0502</v>
      </c>
      <c r="D115" s="5">
        <v>21.9052</v>
      </c>
      <c r="E115" s="5">
        <v>167.234</v>
      </c>
      <c r="F115" s="5">
        <v>4.36</v>
      </c>
      <c r="G115" s="5">
        <v>27.8595</v>
      </c>
      <c r="H115" s="5">
        <v>27.9472</v>
      </c>
      <c r="I115" s="5">
        <v>30.7223</v>
      </c>
    </row>
    <row r="116" ht="15.75" customHeight="1">
      <c r="A116" s="4">
        <v>44579.0</v>
      </c>
      <c r="B116" s="5">
        <v>70.2917</v>
      </c>
      <c r="C116" s="5">
        <v>65.4244</v>
      </c>
      <c r="D116" s="5">
        <v>21.7596</v>
      </c>
      <c r="E116" s="5">
        <v>163.034</v>
      </c>
      <c r="F116" s="5">
        <v>4.17</v>
      </c>
      <c r="G116" s="5">
        <v>28.1448</v>
      </c>
      <c r="H116" s="5">
        <v>28.0596</v>
      </c>
      <c r="I116" s="5">
        <v>30.3552</v>
      </c>
    </row>
    <row r="117" ht="15.75" customHeight="1">
      <c r="A117" s="4">
        <v>44580.0</v>
      </c>
      <c r="B117" s="5">
        <v>70.32</v>
      </c>
      <c r="C117" s="5">
        <v>65.7324</v>
      </c>
      <c r="D117" s="5">
        <v>21.7977</v>
      </c>
      <c r="E117" s="5">
        <v>159.866</v>
      </c>
      <c r="F117" s="5">
        <v>4.09</v>
      </c>
      <c r="G117" s="5">
        <v>27.6119</v>
      </c>
      <c r="H117" s="5">
        <v>27.8561</v>
      </c>
      <c r="I117" s="5">
        <v>30.4924</v>
      </c>
    </row>
    <row r="118" ht="15.75" customHeight="1">
      <c r="A118" s="4">
        <v>44581.0</v>
      </c>
      <c r="B118" s="5">
        <v>70.4746</v>
      </c>
      <c r="C118" s="5">
        <v>65.3</v>
      </c>
      <c r="D118" s="5">
        <v>21.0707</v>
      </c>
      <c r="E118" s="5">
        <v>157.594</v>
      </c>
      <c r="F118" s="5">
        <v>3.98</v>
      </c>
      <c r="G118" s="5">
        <v>27.3651</v>
      </c>
      <c r="H118" s="5">
        <v>27.6003</v>
      </c>
      <c r="I118" s="5">
        <v>30.5321</v>
      </c>
    </row>
    <row r="119" ht="15.75" customHeight="1">
      <c r="A119" s="4">
        <v>44582.0</v>
      </c>
      <c r="B119" s="5">
        <v>69.4166</v>
      </c>
      <c r="C119" s="5">
        <v>65.2319</v>
      </c>
      <c r="D119" s="5">
        <v>21.061</v>
      </c>
      <c r="E119" s="5">
        <v>157.083</v>
      </c>
      <c r="F119" s="5">
        <v>3.83</v>
      </c>
      <c r="G119" s="5">
        <v>27.3554</v>
      </c>
      <c r="H119" s="5">
        <v>27.0544</v>
      </c>
      <c r="I119" s="5">
        <v>30.4746</v>
      </c>
    </row>
    <row r="120" ht="15.75" customHeight="1">
      <c r="A120" s="4">
        <v>44585.0</v>
      </c>
      <c r="B120" s="5">
        <v>70.0127</v>
      </c>
      <c r="C120" s="5">
        <v>64.8091</v>
      </c>
      <c r="D120" s="5">
        <v>21.2935</v>
      </c>
      <c r="E120" s="5">
        <v>157.259</v>
      </c>
      <c r="F120" s="5">
        <v>3.77</v>
      </c>
      <c r="G120" s="5">
        <v>26.8891</v>
      </c>
      <c r="H120" s="5">
        <v>27.2366</v>
      </c>
      <c r="I120" s="5">
        <v>30.1823</v>
      </c>
    </row>
    <row r="121" ht="15.75" customHeight="1">
      <c r="A121" s="4">
        <v>44586.0</v>
      </c>
      <c r="B121" s="5">
        <v>72.0705</v>
      </c>
      <c r="C121" s="5">
        <v>64.6935</v>
      </c>
      <c r="D121" s="5">
        <v>21.0131</v>
      </c>
      <c r="E121" s="5">
        <v>154.042</v>
      </c>
      <c r="F121" s="5">
        <v>3.93</v>
      </c>
      <c r="G121" s="5">
        <v>27.555</v>
      </c>
      <c r="H121" s="5">
        <v>28.2935</v>
      </c>
      <c r="I121" s="5">
        <v>29.709</v>
      </c>
    </row>
    <row r="122" ht="15.75" customHeight="1">
      <c r="A122" s="4">
        <v>44587.0</v>
      </c>
      <c r="B122" s="5">
        <v>71.3402</v>
      </c>
      <c r="C122" s="5">
        <v>64.4719</v>
      </c>
      <c r="D122" s="5">
        <v>20.8773</v>
      </c>
      <c r="E122" s="5">
        <v>154.829</v>
      </c>
      <c r="F122" s="5">
        <v>3.95</v>
      </c>
      <c r="G122" s="5">
        <v>27.7834</v>
      </c>
      <c r="H122" s="5">
        <v>28.2459</v>
      </c>
      <c r="I122" s="5">
        <v>29.4653</v>
      </c>
    </row>
    <row r="123" ht="15.75" customHeight="1">
      <c r="A123" s="4">
        <v>44588.0</v>
      </c>
      <c r="B123" s="5">
        <v>72.2533</v>
      </c>
      <c r="C123" s="5">
        <v>65.4438</v>
      </c>
      <c r="D123" s="5">
        <v>20.6633</v>
      </c>
      <c r="E123" s="5">
        <v>152.074</v>
      </c>
      <c r="F123" s="5">
        <v>3.97</v>
      </c>
      <c r="G123" s="5">
        <v>27.9357</v>
      </c>
      <c r="H123" s="5">
        <v>28.5538</v>
      </c>
      <c r="I123" s="5">
        <v>29.7263</v>
      </c>
    </row>
    <row r="124" ht="15.75" customHeight="1">
      <c r="A124" s="4">
        <v>44589.0</v>
      </c>
      <c r="B124" s="5">
        <v>72.408</v>
      </c>
      <c r="C124" s="5">
        <v>66.3768</v>
      </c>
      <c r="D124" s="5">
        <v>21.0131</v>
      </c>
      <c r="E124" s="5">
        <v>153.315</v>
      </c>
      <c r="F124" s="5">
        <v>4.25</v>
      </c>
      <c r="G124" s="5">
        <v>28.1921</v>
      </c>
      <c r="H124" s="5">
        <v>28.432</v>
      </c>
      <c r="I124" s="5">
        <v>30.0852</v>
      </c>
    </row>
    <row r="125" ht="15.75" customHeight="1">
      <c r="A125" s="4">
        <v>44592.0</v>
      </c>
      <c r="B125" s="5">
        <v>73.0615</v>
      </c>
      <c r="C125" s="5">
        <v>66.8481</v>
      </c>
      <c r="D125" s="5">
        <v>21.149</v>
      </c>
      <c r="E125" s="5">
        <v>155.016</v>
      </c>
      <c r="F125" s="5">
        <v>4.32</v>
      </c>
      <c r="G125" s="5">
        <v>28.4773</v>
      </c>
      <c r="H125" s="5">
        <v>28.5576</v>
      </c>
      <c r="I125" s="5">
        <v>30.656</v>
      </c>
    </row>
    <row r="126" ht="15.75" customHeight="1">
      <c r="A126" s="4">
        <v>44593.0</v>
      </c>
      <c r="B126" s="5">
        <v>77.746</v>
      </c>
      <c r="C126" s="5">
        <v>65.4049</v>
      </c>
      <c r="D126" s="5">
        <v>20.9936</v>
      </c>
      <c r="E126" s="5">
        <v>155.95</v>
      </c>
      <c r="F126" s="5">
        <v>4.37</v>
      </c>
      <c r="G126" s="5">
        <v>29.0295</v>
      </c>
      <c r="H126" s="5">
        <v>29.5759</v>
      </c>
      <c r="I126" s="5">
        <v>30.2487</v>
      </c>
    </row>
    <row r="127" ht="15.75" customHeight="1">
      <c r="A127" s="4">
        <v>44594.0</v>
      </c>
      <c r="B127" s="5">
        <v>77.5438</v>
      </c>
      <c r="C127" s="5">
        <v>66.194</v>
      </c>
      <c r="D127" s="5">
        <v>21.5652</v>
      </c>
      <c r="E127" s="5">
        <v>157.928</v>
      </c>
      <c r="F127" s="5">
        <v>4.31</v>
      </c>
      <c r="G127" s="5">
        <v>29.1818</v>
      </c>
      <c r="H127" s="5">
        <v>29.6712</v>
      </c>
      <c r="I127" s="5">
        <v>30.6961</v>
      </c>
    </row>
    <row r="128" ht="15.75" customHeight="1">
      <c r="A128" s="4">
        <v>44595.0</v>
      </c>
      <c r="B128" s="5">
        <v>76.6394</v>
      </c>
      <c r="C128" s="5">
        <v>66.6178</v>
      </c>
      <c r="D128" s="5">
        <v>21.187</v>
      </c>
      <c r="E128" s="5">
        <v>153.452</v>
      </c>
      <c r="F128" s="5">
        <v>4.16</v>
      </c>
      <c r="G128" s="5">
        <v>28.8301</v>
      </c>
      <c r="H128" s="5">
        <v>29.3895</v>
      </c>
      <c r="I128" s="5">
        <v>30.5589</v>
      </c>
    </row>
    <row r="129" ht="15.75" customHeight="1">
      <c r="A129" s="4">
        <v>44596.0</v>
      </c>
      <c r="B129" s="5">
        <v>78.3033</v>
      </c>
      <c r="C129" s="5">
        <v>66.0784</v>
      </c>
      <c r="D129" s="5">
        <v>21.1675</v>
      </c>
      <c r="E129" s="5">
        <v>147.746</v>
      </c>
      <c r="F129" s="5">
        <v>4.1</v>
      </c>
      <c r="G129" s="5">
        <v>29.0865</v>
      </c>
      <c r="H129" s="5">
        <v>29.8487</v>
      </c>
      <c r="I129" s="5">
        <v>30.3151</v>
      </c>
    </row>
    <row r="130" ht="15.75" customHeight="1">
      <c r="A130" s="4">
        <v>44599.0</v>
      </c>
      <c r="B130" s="5">
        <v>79.2466</v>
      </c>
      <c r="C130" s="5">
        <v>65.0783</v>
      </c>
      <c r="D130" s="5">
        <v>21.3131</v>
      </c>
      <c r="E130" s="5">
        <v>146.89</v>
      </c>
      <c r="F130" s="5">
        <v>4.13</v>
      </c>
      <c r="G130" s="5">
        <v>29.2098</v>
      </c>
      <c r="H130" s="5">
        <v>30.2303</v>
      </c>
      <c r="I130" s="5">
        <v>30.271</v>
      </c>
    </row>
    <row r="131" ht="15.75" customHeight="1">
      <c r="A131" s="4">
        <v>44600.0</v>
      </c>
      <c r="B131" s="5">
        <v>77.1975</v>
      </c>
      <c r="C131" s="5">
        <v>65.3087</v>
      </c>
      <c r="D131" s="5">
        <v>21.5945</v>
      </c>
      <c r="E131" s="5">
        <v>148.237</v>
      </c>
      <c r="F131" s="5">
        <v>4.05</v>
      </c>
      <c r="G131" s="5">
        <v>28.9246</v>
      </c>
      <c r="H131" s="5">
        <v>29.5801</v>
      </c>
      <c r="I131" s="5">
        <v>30.2931</v>
      </c>
    </row>
    <row r="132" ht="15.75" customHeight="1">
      <c r="A132" s="4">
        <v>44601.0</v>
      </c>
      <c r="B132" s="5">
        <v>76.828</v>
      </c>
      <c r="C132" s="5">
        <v>65.4914</v>
      </c>
      <c r="D132" s="5">
        <v>21.8075</v>
      </c>
      <c r="E132" s="5">
        <v>153.472</v>
      </c>
      <c r="F132" s="5">
        <v>4.07</v>
      </c>
      <c r="G132" s="5">
        <v>28.9823</v>
      </c>
      <c r="H132" s="5">
        <v>29.8273</v>
      </c>
      <c r="I132" s="5">
        <v>30.4261</v>
      </c>
    </row>
    <row r="133" ht="15.75" customHeight="1">
      <c r="A133" s="4">
        <v>44602.0</v>
      </c>
      <c r="B133" s="5">
        <v>76.089</v>
      </c>
      <c r="C133" s="5">
        <v>63.4426</v>
      </c>
      <c r="D133" s="5">
        <v>21.4108</v>
      </c>
      <c r="E133" s="5">
        <v>151.454</v>
      </c>
      <c r="F133" s="5">
        <v>4.11</v>
      </c>
      <c r="G133" s="5">
        <v>28.6681</v>
      </c>
      <c r="H133" s="5">
        <v>29.641</v>
      </c>
      <c r="I133" s="5">
        <v>29.6555</v>
      </c>
    </row>
    <row r="134" ht="15.75" customHeight="1">
      <c r="A134" s="4">
        <v>44603.0</v>
      </c>
      <c r="B134" s="5">
        <v>78.0047</v>
      </c>
      <c r="C134" s="5">
        <v>64.2513</v>
      </c>
      <c r="D134" s="5">
        <v>21.149</v>
      </c>
      <c r="E134" s="5">
        <v>147.411</v>
      </c>
      <c r="F134" s="5">
        <v>4.19</v>
      </c>
      <c r="G134" s="5">
        <v>29.2098</v>
      </c>
      <c r="H134" s="5">
        <v>30.503</v>
      </c>
      <c r="I134" s="5">
        <v>29.6733</v>
      </c>
    </row>
    <row r="135" ht="15.75" customHeight="1">
      <c r="A135" s="4">
        <v>44606.0</v>
      </c>
      <c r="B135" s="5">
        <v>76.8086</v>
      </c>
      <c r="C135" s="5">
        <v>63.3465</v>
      </c>
      <c r="D135" s="5">
        <v>20.9448</v>
      </c>
      <c r="E135" s="5">
        <v>148.887</v>
      </c>
      <c r="F135" s="5">
        <v>4.09</v>
      </c>
      <c r="G135" s="5">
        <v>28.6114</v>
      </c>
      <c r="H135" s="5">
        <v>29.784</v>
      </c>
      <c r="I135" s="5">
        <v>29.4212</v>
      </c>
    </row>
    <row r="136" ht="15.75" customHeight="1">
      <c r="A136" s="4">
        <v>44607.0</v>
      </c>
      <c r="B136" s="5">
        <v>75.8457</v>
      </c>
      <c r="C136" s="5">
        <v>62.5485</v>
      </c>
      <c r="D136" s="5">
        <v>21.1294</v>
      </c>
      <c r="E136" s="5">
        <v>152.183</v>
      </c>
      <c r="F136" s="5">
        <v>4.14</v>
      </c>
      <c r="G136" s="5">
        <v>28.4021</v>
      </c>
      <c r="H136" s="5">
        <v>29.4718</v>
      </c>
      <c r="I136" s="5">
        <v>29.2839</v>
      </c>
    </row>
    <row r="137" ht="15.75" customHeight="1">
      <c r="A137" s="4">
        <v>44608.0</v>
      </c>
      <c r="B137" s="5">
        <v>76.1959</v>
      </c>
      <c r="C137" s="5">
        <v>62.4037</v>
      </c>
      <c r="D137" s="5">
        <v>21.061</v>
      </c>
      <c r="E137" s="5">
        <v>153.649</v>
      </c>
      <c r="F137" s="5">
        <v>4.39</v>
      </c>
      <c r="G137" s="5">
        <v>28.5448</v>
      </c>
      <c r="H137" s="5">
        <v>29.7102</v>
      </c>
      <c r="I137" s="5">
        <v>29.3503</v>
      </c>
    </row>
    <row r="138" ht="15.75" customHeight="1">
      <c r="A138" s="4">
        <v>44609.0</v>
      </c>
      <c r="B138" s="5">
        <v>76.0791</v>
      </c>
      <c r="C138" s="5">
        <v>62.3269</v>
      </c>
      <c r="D138" s="5">
        <v>20.8382</v>
      </c>
      <c r="E138" s="5">
        <v>149.114</v>
      </c>
      <c r="F138" s="5">
        <v>4.32</v>
      </c>
      <c r="G138" s="5">
        <v>28.2403</v>
      </c>
      <c r="H138" s="5">
        <v>29.6625</v>
      </c>
      <c r="I138" s="5">
        <v>29.3681</v>
      </c>
    </row>
    <row r="139" ht="15.75" customHeight="1">
      <c r="A139" s="4">
        <v>44610.0</v>
      </c>
      <c r="B139" s="5">
        <v>75.2331</v>
      </c>
      <c r="C139" s="5">
        <v>61.9771</v>
      </c>
      <c r="D139" s="5">
        <v>20.7991</v>
      </c>
      <c r="E139" s="5">
        <v>150.058</v>
      </c>
      <c r="F139" s="5">
        <v>4.29</v>
      </c>
      <c r="G139" s="5">
        <v>28.1737</v>
      </c>
      <c r="H139" s="5">
        <v>29.4805</v>
      </c>
      <c r="I139" s="5">
        <v>29.3146</v>
      </c>
    </row>
    <row r="140" ht="15.75" customHeight="1">
      <c r="A140" s="4">
        <v>44614.0</v>
      </c>
      <c r="B140" s="5">
        <v>74.3578</v>
      </c>
      <c r="C140" s="5">
        <v>62.4825</v>
      </c>
      <c r="D140" s="5">
        <v>20.5666</v>
      </c>
      <c r="E140" s="5">
        <v>148.494</v>
      </c>
      <c r="F140" s="5">
        <v>4.46</v>
      </c>
      <c r="G140" s="5">
        <v>28.0687</v>
      </c>
      <c r="H140" s="5">
        <v>29.0041</v>
      </c>
      <c r="I140" s="5">
        <v>29.2839</v>
      </c>
    </row>
    <row r="141" ht="15.75" customHeight="1">
      <c r="A141" s="4">
        <v>44615.0</v>
      </c>
      <c r="B141" s="5">
        <v>74.6594</v>
      </c>
      <c r="C141" s="5">
        <v>61.0732</v>
      </c>
      <c r="D141" s="5">
        <v>20.1788</v>
      </c>
      <c r="E141" s="5">
        <v>146.093</v>
      </c>
      <c r="F141" s="5">
        <v>4.44</v>
      </c>
      <c r="G141" s="5">
        <v>28.6489</v>
      </c>
      <c r="H141" s="5">
        <v>29.303</v>
      </c>
      <c r="I141" s="5">
        <v>28.7878</v>
      </c>
    </row>
    <row r="142" ht="15.75" customHeight="1">
      <c r="A142" s="4">
        <v>44616.0</v>
      </c>
      <c r="B142" s="5">
        <v>73.716</v>
      </c>
      <c r="C142" s="5">
        <v>61.1121</v>
      </c>
      <c r="D142" s="5">
        <v>21.0229</v>
      </c>
      <c r="E142" s="5">
        <v>147.067</v>
      </c>
      <c r="F142" s="5">
        <v>4.31</v>
      </c>
      <c r="G142" s="5">
        <v>28.4966</v>
      </c>
      <c r="H142" s="5">
        <v>29.0734</v>
      </c>
      <c r="I142" s="5">
        <v>29.0183</v>
      </c>
    </row>
    <row r="143" ht="15.75" customHeight="1">
      <c r="A143" s="4">
        <v>44617.0</v>
      </c>
      <c r="B143" s="5">
        <v>75.6999</v>
      </c>
      <c r="C143" s="5">
        <v>63.2114</v>
      </c>
      <c r="D143" s="5">
        <v>21.2358</v>
      </c>
      <c r="E143" s="5">
        <v>150.795</v>
      </c>
      <c r="F143" s="5">
        <v>4.38</v>
      </c>
      <c r="G143" s="5">
        <v>29.1915</v>
      </c>
      <c r="H143" s="5">
        <v>29.8401</v>
      </c>
      <c r="I143" s="5">
        <v>29.9167</v>
      </c>
    </row>
    <row r="144" ht="15.75" customHeight="1">
      <c r="A144" s="4">
        <v>44620.0</v>
      </c>
      <c r="B144" s="5">
        <v>76.264</v>
      </c>
      <c r="C144" s="5">
        <v>62.949</v>
      </c>
      <c r="D144" s="5">
        <v>22.1279</v>
      </c>
      <c r="E144" s="5">
        <v>150.962</v>
      </c>
      <c r="F144" s="5">
        <v>4.2</v>
      </c>
      <c r="G144" s="5">
        <v>29.7524</v>
      </c>
      <c r="H144" s="5">
        <v>30.5765</v>
      </c>
      <c r="I144" s="5">
        <v>30.0718</v>
      </c>
    </row>
    <row r="145" ht="15.75" customHeight="1">
      <c r="A145" s="4">
        <v>44621.0</v>
      </c>
      <c r="B145" s="5">
        <v>76.9934</v>
      </c>
      <c r="C145" s="5">
        <v>62.2978</v>
      </c>
      <c r="D145" s="5">
        <v>21.2652</v>
      </c>
      <c r="E145" s="5">
        <v>143.29</v>
      </c>
      <c r="F145" s="5">
        <v>4.35</v>
      </c>
      <c r="G145" s="5">
        <v>30.1235</v>
      </c>
      <c r="H145" s="5">
        <v>30.8845</v>
      </c>
      <c r="I145" s="5">
        <v>29.8105</v>
      </c>
    </row>
    <row r="146" ht="15.75" customHeight="1">
      <c r="A146" s="4">
        <v>44622.0</v>
      </c>
      <c r="B146" s="5">
        <v>78.3159</v>
      </c>
      <c r="C146" s="5">
        <v>62.7545</v>
      </c>
      <c r="D146" s="5">
        <v>21.5456</v>
      </c>
      <c r="E146" s="5">
        <v>148.887</v>
      </c>
      <c r="F146" s="5">
        <v>4.68</v>
      </c>
      <c r="G146" s="5">
        <v>31.094</v>
      </c>
      <c r="H146" s="5">
        <v>31.5903</v>
      </c>
      <c r="I146" s="5">
        <v>30.1739</v>
      </c>
    </row>
    <row r="147" ht="15.75" customHeight="1">
      <c r="A147" s="4">
        <v>44623.0</v>
      </c>
      <c r="B147" s="5">
        <v>78.8119</v>
      </c>
      <c r="C147" s="5">
        <v>64.5331</v>
      </c>
      <c r="D147" s="5">
        <v>21.3131</v>
      </c>
      <c r="E147" s="5">
        <v>151.632</v>
      </c>
      <c r="F147" s="5">
        <v>4.55</v>
      </c>
      <c r="G147" s="5">
        <v>31.198</v>
      </c>
      <c r="H147" s="5">
        <v>31.6771</v>
      </c>
      <c r="I147" s="5">
        <v>30.705</v>
      </c>
    </row>
    <row r="148" ht="15.75" customHeight="1">
      <c r="A148" s="4">
        <v>44624.0</v>
      </c>
      <c r="B148" s="5">
        <v>81.7781</v>
      </c>
      <c r="C148" s="5">
        <v>65.68</v>
      </c>
      <c r="D148" s="5">
        <v>21.827</v>
      </c>
      <c r="E148" s="5">
        <v>146.556</v>
      </c>
      <c r="F148" s="5">
        <v>4.34</v>
      </c>
      <c r="G148" s="5">
        <v>31.8351</v>
      </c>
      <c r="H148" s="5">
        <v>32.591</v>
      </c>
      <c r="I148" s="5">
        <v>31.3819</v>
      </c>
    </row>
    <row r="149" ht="15.75" customHeight="1">
      <c r="A149" s="4">
        <v>44627.0</v>
      </c>
      <c r="B149" s="5">
        <v>84.7248</v>
      </c>
      <c r="C149" s="5">
        <v>67.2835</v>
      </c>
      <c r="D149" s="5">
        <v>21.6814</v>
      </c>
      <c r="E149" s="5">
        <v>142.65</v>
      </c>
      <c r="F149" s="5">
        <v>4.08</v>
      </c>
      <c r="G149" s="5">
        <v>31.7685</v>
      </c>
      <c r="H149" s="5">
        <v>33.0722</v>
      </c>
      <c r="I149" s="5">
        <v>31.7893</v>
      </c>
    </row>
    <row r="150" ht="15.75" customHeight="1">
      <c r="A150" s="4">
        <v>44628.0</v>
      </c>
      <c r="B150" s="5">
        <v>85.3667</v>
      </c>
      <c r="C150" s="5">
        <v>65.9132</v>
      </c>
      <c r="D150" s="5">
        <v>21.9628</v>
      </c>
      <c r="E150" s="5">
        <v>143.054</v>
      </c>
      <c r="F150" s="5">
        <v>4.38</v>
      </c>
      <c r="G150" s="5">
        <v>31.255</v>
      </c>
      <c r="H150" s="5">
        <v>33.5917</v>
      </c>
      <c r="I150" s="5">
        <v>31.2982</v>
      </c>
    </row>
    <row r="151" ht="15.75" customHeight="1">
      <c r="A151" s="4">
        <v>44629.0</v>
      </c>
      <c r="B151" s="5">
        <v>80.5138</v>
      </c>
      <c r="C151" s="5">
        <v>65.2329</v>
      </c>
      <c r="D151" s="5">
        <v>22.0498</v>
      </c>
      <c r="E151" s="5">
        <v>145.906</v>
      </c>
      <c r="F151" s="5">
        <v>4.65</v>
      </c>
      <c r="G151" s="5">
        <v>30.9128</v>
      </c>
      <c r="H151" s="5">
        <v>32.5654</v>
      </c>
      <c r="I151" s="5">
        <v>31.0767</v>
      </c>
    </row>
    <row r="152" ht="15.75" customHeight="1">
      <c r="A152" s="4">
        <v>44630.0</v>
      </c>
      <c r="B152" s="5">
        <v>83.0131</v>
      </c>
      <c r="C152" s="5">
        <v>66.681</v>
      </c>
      <c r="D152" s="5">
        <v>21.9628</v>
      </c>
      <c r="E152" s="5">
        <v>145.798</v>
      </c>
      <c r="F152" s="5">
        <v>4.82</v>
      </c>
      <c r="G152" s="5">
        <v>31.3127</v>
      </c>
      <c r="H152" s="5">
        <v>33.5615</v>
      </c>
      <c r="I152" s="5">
        <v>31.2849</v>
      </c>
    </row>
    <row r="153" ht="15.75" customHeight="1">
      <c r="A153" s="4">
        <v>44631.0</v>
      </c>
      <c r="B153" s="5">
        <v>82.5853</v>
      </c>
      <c r="C153" s="5">
        <v>66.7587</v>
      </c>
      <c r="D153" s="5">
        <v>21.7499</v>
      </c>
      <c r="E153" s="5">
        <v>144.539</v>
      </c>
      <c r="F153" s="5">
        <v>4.66</v>
      </c>
      <c r="G153" s="5">
        <v>30.7442</v>
      </c>
      <c r="H153" s="5">
        <v>33.293</v>
      </c>
      <c r="I153" s="5">
        <v>31.1788</v>
      </c>
    </row>
    <row r="154" ht="15.75" customHeight="1">
      <c r="A154" s="4">
        <v>44634.0</v>
      </c>
      <c r="B154" s="5">
        <v>79.6289</v>
      </c>
      <c r="C154" s="5">
        <v>66.7296</v>
      </c>
      <c r="D154" s="5">
        <v>21.7401</v>
      </c>
      <c r="E154" s="5">
        <v>146.053</v>
      </c>
      <c r="F154" s="5">
        <v>4.5</v>
      </c>
      <c r="G154" s="5">
        <v>29.9442</v>
      </c>
      <c r="H154" s="5">
        <v>32.2967</v>
      </c>
      <c r="I154" s="5">
        <v>31.143</v>
      </c>
    </row>
    <row r="155" ht="15.75" customHeight="1">
      <c r="A155" s="4">
        <v>44635.0</v>
      </c>
      <c r="B155" s="5">
        <v>75.097</v>
      </c>
      <c r="C155" s="5">
        <v>66.7296</v>
      </c>
      <c r="D155" s="5">
        <v>21.6531</v>
      </c>
      <c r="E155" s="5">
        <v>147.835</v>
      </c>
      <c r="F155" s="5">
        <v>4.34</v>
      </c>
      <c r="G155" s="5">
        <v>29.9152</v>
      </c>
      <c r="H155" s="5">
        <v>31.1142</v>
      </c>
      <c r="I155" s="5">
        <v>31.5415</v>
      </c>
    </row>
    <row r="156" ht="15.75" customHeight="1">
      <c r="A156" s="4">
        <v>44636.0</v>
      </c>
      <c r="B156" s="5">
        <v>74.8149</v>
      </c>
      <c r="C156" s="5">
        <v>66.5935</v>
      </c>
      <c r="D156" s="5">
        <v>21.9052</v>
      </c>
      <c r="E156" s="5">
        <v>150.855</v>
      </c>
      <c r="F156" s="5">
        <v>4.31</v>
      </c>
      <c r="G156" s="5">
        <v>30.1272</v>
      </c>
      <c r="H156" s="5">
        <v>30.9712</v>
      </c>
      <c r="I156" s="5">
        <v>31.484</v>
      </c>
    </row>
    <row r="157" ht="15.75" customHeight="1">
      <c r="A157" s="4">
        <v>44637.0</v>
      </c>
      <c r="B157" s="5">
        <v>76.8086</v>
      </c>
      <c r="C157" s="5">
        <v>66.4865</v>
      </c>
      <c r="D157" s="5">
        <v>21.6335</v>
      </c>
      <c r="E157" s="5">
        <v>152.183</v>
      </c>
      <c r="F157" s="5">
        <v>4.48</v>
      </c>
      <c r="G157" s="5">
        <v>30.3875</v>
      </c>
      <c r="H157" s="5">
        <v>32.0365</v>
      </c>
      <c r="I157" s="5">
        <v>31.617</v>
      </c>
    </row>
    <row r="158" ht="15.75" customHeight="1">
      <c r="A158" s="4">
        <v>44638.0</v>
      </c>
      <c r="B158" s="5">
        <v>76.5071</v>
      </c>
      <c r="C158" s="5">
        <v>66.1172</v>
      </c>
      <c r="D158" s="5">
        <v>21.7303</v>
      </c>
      <c r="E158" s="5">
        <v>153.058</v>
      </c>
      <c r="F158" s="5">
        <v>4.38</v>
      </c>
      <c r="G158" s="5">
        <v>30.3201</v>
      </c>
      <c r="H158" s="5">
        <v>32.0064</v>
      </c>
      <c r="I158" s="5">
        <v>31.3468</v>
      </c>
    </row>
    <row r="159" ht="15.75" customHeight="1">
      <c r="A159" s="4">
        <v>44641.0</v>
      </c>
      <c r="B159" s="5">
        <v>79.94</v>
      </c>
      <c r="C159" s="5">
        <v>66.9531</v>
      </c>
      <c r="D159" s="5">
        <v>21.5447</v>
      </c>
      <c r="E159" s="5">
        <v>152.094</v>
      </c>
      <c r="F159" s="5">
        <v>4.57</v>
      </c>
      <c r="G159" s="5">
        <v>31.3224</v>
      </c>
      <c r="H159" s="5">
        <v>33.2966</v>
      </c>
      <c r="I159" s="5">
        <v>31.5562</v>
      </c>
    </row>
    <row r="160" ht="15.75" customHeight="1">
      <c r="A160" s="4">
        <v>44642.0</v>
      </c>
      <c r="B160" s="5">
        <v>79.59</v>
      </c>
      <c r="C160" s="5">
        <v>66.8851</v>
      </c>
      <c r="D160" s="5">
        <v>21.8769</v>
      </c>
      <c r="E160" s="5">
        <v>152.734</v>
      </c>
      <c r="F160" s="5">
        <v>4.53</v>
      </c>
      <c r="G160" s="5">
        <v>30.9562</v>
      </c>
      <c r="H160" s="5">
        <v>33.0515</v>
      </c>
      <c r="I160" s="5">
        <v>31.6007</v>
      </c>
    </row>
    <row r="161" ht="15.75" customHeight="1">
      <c r="A161" s="4">
        <v>44643.0</v>
      </c>
      <c r="B161" s="5">
        <v>80.8445</v>
      </c>
      <c r="C161" s="5">
        <v>66.8559</v>
      </c>
      <c r="D161" s="5">
        <v>21.3004</v>
      </c>
      <c r="E161" s="5">
        <v>149.959</v>
      </c>
      <c r="F161" s="5">
        <v>4.65</v>
      </c>
      <c r="G161" s="5">
        <v>31.5247</v>
      </c>
      <c r="H161" s="5">
        <v>33.6202</v>
      </c>
      <c r="I161" s="5">
        <v>31.6454</v>
      </c>
    </row>
    <row r="162" ht="15.75" customHeight="1">
      <c r="A162" s="4">
        <v>44644.0</v>
      </c>
      <c r="B162" s="5">
        <v>81.0876</v>
      </c>
      <c r="C162" s="5">
        <v>67.3516</v>
      </c>
      <c r="D162" s="5">
        <v>21.5447</v>
      </c>
      <c r="E162" s="5">
        <v>150.717</v>
      </c>
      <c r="F162" s="5">
        <v>4.79</v>
      </c>
      <c r="G162" s="5">
        <v>31.7368</v>
      </c>
      <c r="H162" s="5">
        <v>33.7033</v>
      </c>
      <c r="I162" s="5">
        <v>31.9707</v>
      </c>
    </row>
    <row r="163" ht="15.75" customHeight="1">
      <c r="A163" s="4">
        <v>44645.0</v>
      </c>
      <c r="B163" s="5">
        <v>82.8576</v>
      </c>
      <c r="C163" s="5">
        <v>68.9357</v>
      </c>
      <c r="D163" s="5">
        <v>22.2189</v>
      </c>
      <c r="E163" s="5">
        <v>151.681</v>
      </c>
      <c r="F163" s="5">
        <v>4.79</v>
      </c>
      <c r="G163" s="5">
        <v>32.6524</v>
      </c>
      <c r="H163" s="5">
        <v>34.4424</v>
      </c>
      <c r="I163" s="5">
        <v>32.434</v>
      </c>
    </row>
    <row r="164" ht="15.75" customHeight="1">
      <c r="A164" s="4">
        <v>44648.0</v>
      </c>
      <c r="B164" s="5">
        <v>80.5333</v>
      </c>
      <c r="C164" s="5">
        <v>69.0038</v>
      </c>
      <c r="D164" s="5">
        <v>22.5804</v>
      </c>
      <c r="E164" s="5">
        <v>151.71</v>
      </c>
      <c r="F164" s="5">
        <v>4.76</v>
      </c>
      <c r="G164" s="5">
        <v>32.0934</v>
      </c>
      <c r="H164" s="5">
        <v>33.5895</v>
      </c>
      <c r="I164" s="5">
        <v>32.6437</v>
      </c>
    </row>
    <row r="165" ht="15.75" customHeight="1">
      <c r="A165" s="4">
        <v>44649.0</v>
      </c>
      <c r="B165" s="5">
        <v>80.1053</v>
      </c>
      <c r="C165" s="5">
        <v>70.034</v>
      </c>
      <c r="D165" s="5">
        <v>22.6195</v>
      </c>
      <c r="E165" s="5">
        <v>154.976</v>
      </c>
      <c r="F165" s="5">
        <v>4.81</v>
      </c>
      <c r="G165" s="5">
        <v>32.2283</v>
      </c>
      <c r="H165" s="5">
        <v>33.502</v>
      </c>
      <c r="I165" s="5">
        <v>32.9466</v>
      </c>
    </row>
    <row r="166" ht="15.75" customHeight="1">
      <c r="A166" s="4">
        <v>44650.0</v>
      </c>
      <c r="B166" s="5">
        <v>81.4766</v>
      </c>
      <c r="C166" s="5">
        <v>70.4615</v>
      </c>
      <c r="D166" s="5">
        <v>22.5706</v>
      </c>
      <c r="E166" s="5">
        <v>152.941</v>
      </c>
      <c r="F166" s="5">
        <v>4.88</v>
      </c>
      <c r="G166" s="5">
        <v>32.4307</v>
      </c>
      <c r="H166" s="5">
        <v>33.8913</v>
      </c>
      <c r="I166" s="5">
        <v>33.2186</v>
      </c>
    </row>
    <row r="167" ht="15.75" customHeight="1">
      <c r="A167" s="4">
        <v>44651.0</v>
      </c>
      <c r="B167" s="5">
        <v>80.3193</v>
      </c>
      <c r="C167" s="5">
        <v>70.4713</v>
      </c>
      <c r="D167" s="5">
        <v>22.7171</v>
      </c>
      <c r="E167" s="5">
        <v>149.301</v>
      </c>
      <c r="F167" s="5">
        <v>4.83</v>
      </c>
      <c r="G167" s="5">
        <v>32.1994</v>
      </c>
      <c r="H167" s="5">
        <v>33.432</v>
      </c>
      <c r="I167" s="5">
        <v>33.1828</v>
      </c>
    </row>
    <row r="168" ht="15.75" customHeight="1">
      <c r="A168" s="4">
        <v>44652.0</v>
      </c>
      <c r="B168" s="5">
        <v>80.8348</v>
      </c>
      <c r="C168" s="5">
        <v>72.036</v>
      </c>
      <c r="D168" s="5">
        <v>22.9028</v>
      </c>
      <c r="E168" s="5">
        <v>149.349</v>
      </c>
      <c r="F168" s="5">
        <v>5.05</v>
      </c>
      <c r="G168" s="5">
        <v>32.6042</v>
      </c>
      <c r="H168" s="5">
        <v>33.7033</v>
      </c>
      <c r="I168" s="5">
        <v>33.6464</v>
      </c>
    </row>
    <row r="169" ht="15.75" customHeight="1">
      <c r="A169" s="4">
        <v>44655.0</v>
      </c>
      <c r="B169" s="5">
        <v>80.8736</v>
      </c>
      <c r="C169" s="5">
        <v>71.0642</v>
      </c>
      <c r="D169" s="5">
        <v>22.7953</v>
      </c>
      <c r="E169" s="5">
        <v>148.474</v>
      </c>
      <c r="F169" s="5">
        <v>5.31</v>
      </c>
      <c r="G169" s="5">
        <v>32.5078</v>
      </c>
      <c r="H169" s="5">
        <v>33.7469</v>
      </c>
      <c r="I169" s="5">
        <v>33.3878</v>
      </c>
    </row>
    <row r="170" ht="15.75" customHeight="1">
      <c r="A170" s="4">
        <v>44656.0</v>
      </c>
      <c r="B170" s="5">
        <v>80.4555</v>
      </c>
      <c r="C170" s="5">
        <v>72.2595</v>
      </c>
      <c r="D170" s="5">
        <v>23.0396</v>
      </c>
      <c r="E170" s="5">
        <v>144.234</v>
      </c>
      <c r="F170" s="5">
        <v>5.19</v>
      </c>
      <c r="G170" s="5">
        <v>31.7849</v>
      </c>
      <c r="H170" s="5">
        <v>33.2178</v>
      </c>
      <c r="I170" s="5">
        <v>33.5972</v>
      </c>
    </row>
    <row r="171" ht="15.75" customHeight="1">
      <c r="A171" s="4">
        <v>44657.0</v>
      </c>
      <c r="B171" s="5">
        <v>81.3501</v>
      </c>
      <c r="C171" s="5">
        <v>74.3589</v>
      </c>
      <c r="D171" s="5">
        <v>23.45</v>
      </c>
      <c r="E171" s="5">
        <v>142.513</v>
      </c>
      <c r="F171" s="5">
        <v>5.07</v>
      </c>
      <c r="G171" s="5">
        <v>32.1898</v>
      </c>
      <c r="H171" s="5">
        <v>33.4145</v>
      </c>
      <c r="I171" s="5">
        <v>34.2658</v>
      </c>
    </row>
    <row r="172" ht="15.75" customHeight="1">
      <c r="A172" s="4">
        <v>44658.0</v>
      </c>
      <c r="B172" s="5">
        <v>82.7117</v>
      </c>
      <c r="C172" s="5">
        <v>73.63</v>
      </c>
      <c r="D172" s="5">
        <v>23.5672</v>
      </c>
      <c r="E172" s="5">
        <v>143.505</v>
      </c>
      <c r="F172" s="5">
        <v>5.13</v>
      </c>
      <c r="G172" s="5">
        <v>32.4307</v>
      </c>
      <c r="H172" s="5">
        <v>33.852</v>
      </c>
      <c r="I172" s="5">
        <v>34.181</v>
      </c>
    </row>
    <row r="173" ht="15.75" customHeight="1">
      <c r="A173" s="4">
        <v>44659.0</v>
      </c>
      <c r="B173" s="5">
        <v>84.4524</v>
      </c>
      <c r="C173" s="5">
        <v>74.3394</v>
      </c>
      <c r="D173" s="5">
        <v>23.9483</v>
      </c>
      <c r="E173" s="5">
        <v>142.827</v>
      </c>
      <c r="F173" s="5">
        <v>5.14</v>
      </c>
      <c r="G173" s="5">
        <v>33.1728</v>
      </c>
      <c r="H173" s="5">
        <v>34.7837</v>
      </c>
      <c r="I173" s="5">
        <v>34.2969</v>
      </c>
    </row>
    <row r="174" ht="15.75" customHeight="1">
      <c r="A174" s="4">
        <v>44662.0</v>
      </c>
      <c r="B174" s="5">
        <v>81.5446</v>
      </c>
      <c r="C174" s="5">
        <v>72.3859</v>
      </c>
      <c r="D174" s="5">
        <v>23.45</v>
      </c>
      <c r="E174" s="5">
        <v>139.965</v>
      </c>
      <c r="F174" s="5">
        <v>5.03</v>
      </c>
      <c r="G174" s="5">
        <v>33.1535</v>
      </c>
      <c r="H174" s="5">
        <v>33.7383</v>
      </c>
      <c r="I174" s="5">
        <v>33.829</v>
      </c>
    </row>
    <row r="175" ht="15.75" customHeight="1">
      <c r="A175" s="4">
        <v>44663.0</v>
      </c>
      <c r="B175" s="5">
        <v>83.2465</v>
      </c>
      <c r="C175" s="5">
        <v>73.4162</v>
      </c>
      <c r="D175" s="5">
        <v>23.4988</v>
      </c>
      <c r="E175" s="5">
        <v>138.538</v>
      </c>
      <c r="F175" s="5">
        <v>5.07</v>
      </c>
      <c r="G175" s="5">
        <v>33.5294</v>
      </c>
      <c r="H175" s="5">
        <v>34.298</v>
      </c>
      <c r="I175" s="5">
        <v>33.9583</v>
      </c>
    </row>
    <row r="176" ht="15.75" customHeight="1">
      <c r="A176" s="4">
        <v>44664.0</v>
      </c>
      <c r="B176" s="5">
        <v>84.4233</v>
      </c>
      <c r="C176" s="5">
        <v>73.2412</v>
      </c>
      <c r="D176" s="5">
        <v>23.2545</v>
      </c>
      <c r="E176" s="5">
        <v>139.471</v>
      </c>
      <c r="F176" s="5">
        <v>5.14</v>
      </c>
      <c r="G176" s="5">
        <v>33.78</v>
      </c>
      <c r="H176" s="5">
        <v>34.8099</v>
      </c>
      <c r="I176" s="5">
        <v>33.8915</v>
      </c>
    </row>
    <row r="177" ht="15.75" customHeight="1">
      <c r="A177" s="4">
        <v>44665.0</v>
      </c>
      <c r="B177" s="5">
        <v>85.4153</v>
      </c>
      <c r="C177" s="5">
        <v>73.8535</v>
      </c>
      <c r="D177" s="5">
        <v>23.4793</v>
      </c>
      <c r="E177" s="5">
        <v>137.643</v>
      </c>
      <c r="F177" s="5">
        <v>5.18</v>
      </c>
      <c r="G177" s="5">
        <v>34.2329</v>
      </c>
      <c r="H177" s="5">
        <v>34.9235</v>
      </c>
      <c r="I177" s="5">
        <v>33.9094</v>
      </c>
    </row>
    <row r="178" ht="15.75" customHeight="1">
      <c r="A178" s="4">
        <v>44669.0</v>
      </c>
      <c r="B178" s="5">
        <v>86.1154</v>
      </c>
      <c r="C178" s="5">
        <v>73.6979</v>
      </c>
      <c r="D178" s="5">
        <v>24.2707</v>
      </c>
      <c r="E178" s="5">
        <v>138.38</v>
      </c>
      <c r="F178" s="5">
        <v>5.23</v>
      </c>
      <c r="G178" s="5">
        <v>34.0305</v>
      </c>
      <c r="H178" s="5">
        <v>35.4353</v>
      </c>
      <c r="I178" s="5">
        <v>33.7265</v>
      </c>
    </row>
    <row r="179" ht="15.75" customHeight="1">
      <c r="A179" s="4">
        <v>44670.0</v>
      </c>
      <c r="B179" s="5">
        <v>85.3472</v>
      </c>
      <c r="C179" s="5">
        <v>74.1256</v>
      </c>
      <c r="D179" s="5">
        <v>24.2513</v>
      </c>
      <c r="E179" s="5">
        <v>143.407</v>
      </c>
      <c r="F179" s="5">
        <v>5.14</v>
      </c>
      <c r="G179" s="5">
        <v>34.127</v>
      </c>
      <c r="H179" s="5">
        <v>35.1466</v>
      </c>
      <c r="I179" s="5">
        <v>33.9448</v>
      </c>
    </row>
    <row r="180" ht="15.75" customHeight="1">
      <c r="A180" s="4">
        <v>44671.0</v>
      </c>
      <c r="B180" s="5">
        <v>85.5417</v>
      </c>
      <c r="C180" s="5">
        <v>74.3492</v>
      </c>
      <c r="D180" s="5">
        <v>25.6582</v>
      </c>
      <c r="E180" s="5">
        <v>146.959</v>
      </c>
      <c r="F180" s="5">
        <v>5.07</v>
      </c>
      <c r="G180" s="5">
        <v>34.6184</v>
      </c>
      <c r="H180" s="5">
        <v>35.282</v>
      </c>
      <c r="I180" s="5">
        <v>34.2212</v>
      </c>
    </row>
    <row r="181" ht="15.75" customHeight="1">
      <c r="A181" s="4">
        <v>44672.0</v>
      </c>
      <c r="B181" s="5">
        <v>84.6372</v>
      </c>
      <c r="C181" s="5">
        <v>74.3103</v>
      </c>
      <c r="D181" s="5">
        <v>25.1501</v>
      </c>
      <c r="E181" s="5">
        <v>147.519</v>
      </c>
      <c r="F181" s="5">
        <v>4.77</v>
      </c>
      <c r="G181" s="5">
        <v>34.3872</v>
      </c>
      <c r="H181" s="5">
        <v>34.1626</v>
      </c>
      <c r="I181" s="5">
        <v>33.6553</v>
      </c>
    </row>
    <row r="182" ht="15.75" customHeight="1">
      <c r="A182" s="4">
        <v>44673.0</v>
      </c>
      <c r="B182" s="5">
        <v>82.7894</v>
      </c>
      <c r="C182" s="5">
        <v>73.7758</v>
      </c>
      <c r="D182" s="5">
        <v>24.7691</v>
      </c>
      <c r="E182" s="5">
        <v>143.673</v>
      </c>
      <c r="F182" s="5">
        <v>4.64</v>
      </c>
      <c r="G182" s="5">
        <v>33.8282</v>
      </c>
      <c r="H182" s="5">
        <v>33.3271</v>
      </c>
      <c r="I182" s="5">
        <v>33.0891</v>
      </c>
    </row>
    <row r="183" ht="15.75" customHeight="1">
      <c r="A183" s="4">
        <v>44676.0</v>
      </c>
      <c r="B183" s="5">
        <v>79.9984</v>
      </c>
      <c r="C183" s="5">
        <v>72.8621</v>
      </c>
      <c r="D183" s="5">
        <v>24.4369</v>
      </c>
      <c r="E183" s="5">
        <v>144.686</v>
      </c>
      <c r="F183" s="5">
        <v>4.47</v>
      </c>
      <c r="G183" s="5">
        <v>32.6716</v>
      </c>
      <c r="H183" s="5">
        <v>32.2249</v>
      </c>
      <c r="I183" s="5">
        <v>32.8618</v>
      </c>
    </row>
    <row r="184" ht="15.75" customHeight="1">
      <c r="A184" s="4">
        <v>44677.0</v>
      </c>
      <c r="B184" s="5">
        <v>80.0276</v>
      </c>
      <c r="C184" s="5">
        <v>71.6667</v>
      </c>
      <c r="D184" s="5">
        <v>24.3293</v>
      </c>
      <c r="E184" s="5">
        <v>141.45</v>
      </c>
      <c r="F184" s="5">
        <v>4.15</v>
      </c>
      <c r="G184" s="5">
        <v>33.0667</v>
      </c>
      <c r="H184" s="5">
        <v>32.2687</v>
      </c>
      <c r="I184" s="5">
        <v>32.5323</v>
      </c>
    </row>
    <row r="185" ht="15.75" customHeight="1">
      <c r="A185" s="4">
        <v>44678.0</v>
      </c>
      <c r="B185" s="5">
        <v>82.313</v>
      </c>
      <c r="C185" s="5">
        <v>71.4141</v>
      </c>
      <c r="D185" s="5">
        <v>24.3098</v>
      </c>
      <c r="E185" s="5">
        <v>143.348</v>
      </c>
      <c r="F185" s="5">
        <v>4.19</v>
      </c>
      <c r="G185" s="5">
        <v>33.0764</v>
      </c>
      <c r="H185" s="5">
        <v>32.7411</v>
      </c>
      <c r="I185" s="5">
        <v>32.3763</v>
      </c>
    </row>
    <row r="186" ht="15.75" customHeight="1">
      <c r="A186" s="4">
        <v>44679.0</v>
      </c>
      <c r="B186" s="5">
        <v>84.8025</v>
      </c>
      <c r="C186" s="5">
        <v>73.455</v>
      </c>
      <c r="D186" s="5">
        <v>24.554</v>
      </c>
      <c r="E186" s="5">
        <v>145.483</v>
      </c>
      <c r="F186" s="5">
        <v>4.33</v>
      </c>
      <c r="G186" s="5">
        <v>33.568</v>
      </c>
      <c r="H186" s="5">
        <v>33.734</v>
      </c>
      <c r="I186" s="5">
        <v>32.7372</v>
      </c>
    </row>
    <row r="187" ht="15.75" customHeight="1">
      <c r="A187" s="4">
        <v>44680.0</v>
      </c>
      <c r="B187" s="5">
        <v>82.9062</v>
      </c>
      <c r="C187" s="5">
        <v>71.3265</v>
      </c>
      <c r="D187" s="5">
        <v>24.4466</v>
      </c>
      <c r="E187" s="5">
        <v>142.67</v>
      </c>
      <c r="F187" s="5">
        <v>4.24</v>
      </c>
      <c r="G187" s="5">
        <v>33.0475</v>
      </c>
      <c r="H187" s="5">
        <v>32.8679</v>
      </c>
      <c r="I187" s="5">
        <v>31.7568</v>
      </c>
    </row>
    <row r="188" ht="15.75" customHeight="1">
      <c r="A188" s="4">
        <v>44683.0</v>
      </c>
      <c r="B188" s="5">
        <v>84.0343</v>
      </c>
      <c r="C188" s="5">
        <v>71.1516</v>
      </c>
      <c r="D188" s="5">
        <v>24.1242</v>
      </c>
      <c r="E188" s="5">
        <v>144.125</v>
      </c>
      <c r="F188" s="5">
        <v>4.14</v>
      </c>
      <c r="G188" s="5">
        <v>33.1535</v>
      </c>
      <c r="H188" s="5">
        <v>33.3926</v>
      </c>
      <c r="I188" s="5">
        <v>31.4314</v>
      </c>
    </row>
    <row r="189" ht="15.75" customHeight="1">
      <c r="A189" s="4">
        <v>44684.0</v>
      </c>
      <c r="B189" s="5">
        <v>85.7654</v>
      </c>
      <c r="C189" s="5">
        <v>71.0642</v>
      </c>
      <c r="D189" s="5">
        <v>24.6714</v>
      </c>
      <c r="E189" s="5">
        <v>144.205</v>
      </c>
      <c r="F189" s="5">
        <v>4.26</v>
      </c>
      <c r="G189" s="5">
        <v>34.0305</v>
      </c>
      <c r="H189" s="5">
        <v>34.3288</v>
      </c>
      <c r="I189" s="5">
        <v>31.5518</v>
      </c>
    </row>
    <row r="190" ht="15.75" customHeight="1">
      <c r="A190" s="4">
        <v>44685.0</v>
      </c>
      <c r="B190" s="5">
        <v>89.1788</v>
      </c>
      <c r="C190" s="5">
        <v>72.4733</v>
      </c>
      <c r="D190" s="5">
        <v>25.326</v>
      </c>
      <c r="E190" s="5">
        <v>147.5</v>
      </c>
      <c r="F190" s="5">
        <v>4.4</v>
      </c>
      <c r="G190" s="5">
        <v>35.5533</v>
      </c>
      <c r="H190" s="5">
        <v>35.7545</v>
      </c>
      <c r="I190" s="5">
        <v>32.2559</v>
      </c>
    </row>
    <row r="191" ht="15.75" customHeight="1">
      <c r="A191" s="4">
        <v>44686.0</v>
      </c>
      <c r="B191" s="5">
        <v>87.8271</v>
      </c>
      <c r="C191" s="5">
        <v>71.9778</v>
      </c>
      <c r="D191" s="5">
        <v>24.8276</v>
      </c>
      <c r="E191" s="5">
        <v>145.975</v>
      </c>
      <c r="F191" s="5">
        <v>4.14</v>
      </c>
      <c r="G191" s="5">
        <v>34.6088</v>
      </c>
      <c r="H191" s="5">
        <v>35.2166</v>
      </c>
      <c r="I191" s="5">
        <v>31.9262</v>
      </c>
    </row>
    <row r="192" ht="15.75" customHeight="1">
      <c r="A192" s="4">
        <v>44687.0</v>
      </c>
      <c r="B192" s="5">
        <v>89.1691</v>
      </c>
      <c r="C192" s="5">
        <v>72.5706</v>
      </c>
      <c r="D192" s="5">
        <v>26.0099</v>
      </c>
      <c r="E192" s="5">
        <v>144.903</v>
      </c>
      <c r="F192" s="5">
        <v>4.12</v>
      </c>
      <c r="G192" s="5">
        <v>35.3413</v>
      </c>
      <c r="H192" s="5">
        <v>36.2662</v>
      </c>
      <c r="I192" s="5">
        <v>32.1801</v>
      </c>
    </row>
    <row r="193" ht="15.75" customHeight="1">
      <c r="A193" s="4">
        <v>44690.0</v>
      </c>
      <c r="B193" s="5">
        <v>82.1379</v>
      </c>
      <c r="C193" s="5">
        <v>72.1429</v>
      </c>
      <c r="D193" s="5">
        <v>23.577</v>
      </c>
      <c r="E193" s="5">
        <v>145.562</v>
      </c>
      <c r="F193" s="5">
        <v>3.88</v>
      </c>
      <c r="G193" s="5">
        <v>33.4812</v>
      </c>
      <c r="H193" s="5">
        <v>33.2658</v>
      </c>
      <c r="I193" s="5">
        <v>31.9396</v>
      </c>
    </row>
    <row r="194" ht="15.75" customHeight="1">
      <c r="A194" s="4">
        <v>44691.0</v>
      </c>
      <c r="B194" s="5">
        <v>82.6825</v>
      </c>
      <c r="C194" s="5">
        <v>71.1419</v>
      </c>
      <c r="D194" s="5">
        <v>23.88</v>
      </c>
      <c r="E194" s="5">
        <v>138.695</v>
      </c>
      <c r="F194" s="5">
        <v>3.92</v>
      </c>
      <c r="G194" s="5">
        <v>32.9415</v>
      </c>
      <c r="H194" s="5">
        <v>33.5676</v>
      </c>
      <c r="I194" s="5">
        <v>31.5518</v>
      </c>
    </row>
    <row r="195" ht="15.75" customHeight="1">
      <c r="A195" s="4">
        <v>44692.0</v>
      </c>
      <c r="B195" s="5">
        <v>84.4038</v>
      </c>
      <c r="C195" s="5">
        <v>71.8999</v>
      </c>
      <c r="D195" s="5">
        <v>23.7333</v>
      </c>
      <c r="E195" s="5">
        <v>138.528</v>
      </c>
      <c r="F195" s="5">
        <v>4.06</v>
      </c>
      <c r="G195" s="5">
        <v>33.2114</v>
      </c>
      <c r="H195" s="5">
        <v>34.0182</v>
      </c>
      <c r="I195" s="5">
        <v>31.779</v>
      </c>
    </row>
    <row r="196" ht="15.75" customHeight="1">
      <c r="A196" s="4">
        <v>44693.0</v>
      </c>
      <c r="B196" s="5">
        <v>84.787</v>
      </c>
      <c r="C196" s="5">
        <v>71.9972</v>
      </c>
      <c r="D196" s="5">
        <v>22.8735</v>
      </c>
      <c r="E196" s="5">
        <v>140.259</v>
      </c>
      <c r="F196" s="5">
        <v>4.04</v>
      </c>
      <c r="G196" s="5">
        <v>33.3655</v>
      </c>
      <c r="H196" s="5">
        <v>34.1626</v>
      </c>
      <c r="I196" s="5">
        <v>31.4582</v>
      </c>
    </row>
    <row r="197" ht="15.75" customHeight="1">
      <c r="A197" s="4">
        <v>44694.0</v>
      </c>
      <c r="B197" s="5">
        <v>87.3021</v>
      </c>
      <c r="C197" s="5">
        <v>72.2424</v>
      </c>
      <c r="D197" s="5">
        <v>24.0167</v>
      </c>
      <c r="E197" s="5">
        <v>139.843</v>
      </c>
      <c r="F197" s="5">
        <v>4.25</v>
      </c>
      <c r="G197" s="5">
        <v>33.5294</v>
      </c>
      <c r="H197" s="5">
        <v>35.3302</v>
      </c>
      <c r="I197" s="5">
        <v>31.8326</v>
      </c>
    </row>
    <row r="198" ht="15.75" customHeight="1">
      <c r="A198" s="4">
        <v>44697.0</v>
      </c>
      <c r="B198" s="5">
        <v>89.3555</v>
      </c>
      <c r="C198" s="5">
        <v>72.831</v>
      </c>
      <c r="D198" s="5">
        <v>24.4271</v>
      </c>
      <c r="E198" s="5">
        <v>137.518</v>
      </c>
      <c r="F198" s="5">
        <v>4.42</v>
      </c>
      <c r="G198" s="5">
        <v>34.1558</v>
      </c>
      <c r="H198" s="5">
        <v>36.2619</v>
      </c>
      <c r="I198" s="5">
        <v>31.9305</v>
      </c>
    </row>
    <row r="199" ht="15.75" customHeight="1">
      <c r="A199" s="4">
        <v>44698.0</v>
      </c>
      <c r="B199" s="5">
        <v>90.4951</v>
      </c>
      <c r="C199" s="5">
        <v>72.7328</v>
      </c>
      <c r="D199" s="5">
        <v>24.6714</v>
      </c>
      <c r="E199" s="5">
        <v>141.872</v>
      </c>
      <c r="F199" s="5">
        <v>4.49</v>
      </c>
      <c r="G199" s="5">
        <v>34.5992</v>
      </c>
      <c r="H199" s="5">
        <v>36.6817</v>
      </c>
      <c r="I199" s="5">
        <v>32.2604</v>
      </c>
    </row>
    <row r="200" ht="15.75" customHeight="1">
      <c r="A200" s="4">
        <v>44699.0</v>
      </c>
      <c r="B200" s="5">
        <v>89.0607</v>
      </c>
      <c r="C200" s="5">
        <v>72.4091</v>
      </c>
      <c r="D200" s="5">
        <v>24.6517</v>
      </c>
      <c r="E200" s="5">
        <v>135.085</v>
      </c>
      <c r="F200" s="5">
        <v>4.26</v>
      </c>
      <c r="G200" s="5">
        <v>33.9534</v>
      </c>
      <c r="H200" s="5">
        <v>35.7413</v>
      </c>
      <c r="I200" s="5">
        <v>31.9483</v>
      </c>
    </row>
    <row r="201" ht="15.75" customHeight="1">
      <c r="A201" s="4">
        <v>44700.0</v>
      </c>
      <c r="B201" s="5">
        <v>89.5422</v>
      </c>
      <c r="C201" s="5">
        <v>71.9285</v>
      </c>
      <c r="D201" s="5">
        <v>25.4823</v>
      </c>
      <c r="E201" s="5">
        <v>134.649</v>
      </c>
      <c r="F201" s="5">
        <v>4.37</v>
      </c>
      <c r="G201" s="5">
        <v>33.7511</v>
      </c>
      <c r="H201" s="5">
        <v>35.6102</v>
      </c>
      <c r="I201" s="5">
        <v>31.8816</v>
      </c>
    </row>
    <row r="202" ht="15.75" customHeight="1">
      <c r="A202" s="4">
        <v>44701.0</v>
      </c>
      <c r="B202" s="5">
        <v>90.2496</v>
      </c>
      <c r="C202" s="5">
        <v>72.007</v>
      </c>
      <c r="D202" s="5">
        <v>24.6517</v>
      </c>
      <c r="E202" s="5">
        <v>132.729</v>
      </c>
      <c r="F202" s="5">
        <v>4.34</v>
      </c>
      <c r="G202" s="5">
        <v>34.098</v>
      </c>
      <c r="H202" s="5">
        <v>35.7631</v>
      </c>
      <c r="I202" s="5">
        <v>31.9707</v>
      </c>
    </row>
    <row r="203" ht="15.75" customHeight="1">
      <c r="A203" s="4">
        <v>44704.0</v>
      </c>
      <c r="B203" s="5">
        <v>92.2439</v>
      </c>
      <c r="C203" s="5">
        <v>72.7328</v>
      </c>
      <c r="D203" s="5">
        <v>25.1404</v>
      </c>
      <c r="E203" s="5">
        <v>135.322</v>
      </c>
      <c r="F203" s="5">
        <v>4.5</v>
      </c>
      <c r="G203" s="5">
        <v>34.7149</v>
      </c>
      <c r="H203" s="5">
        <v>36.7081</v>
      </c>
      <c r="I203" s="5">
        <v>32.3539</v>
      </c>
    </row>
    <row r="204" ht="15.75" customHeight="1">
      <c r="A204" s="4">
        <v>44705.0</v>
      </c>
      <c r="B204" s="5">
        <v>92.745</v>
      </c>
      <c r="C204" s="5">
        <v>74.2434</v>
      </c>
      <c r="D204" s="5">
        <v>24.8961</v>
      </c>
      <c r="E204" s="5">
        <v>132.422</v>
      </c>
      <c r="F204" s="5">
        <v>4.43</v>
      </c>
      <c r="G204" s="5">
        <v>34.898</v>
      </c>
      <c r="H204" s="5">
        <v>36.8479</v>
      </c>
      <c r="I204" s="5">
        <v>33.0001</v>
      </c>
    </row>
    <row r="205" ht="15.75" customHeight="1">
      <c r="A205" s="4">
        <v>44706.0</v>
      </c>
      <c r="B205" s="5">
        <v>94.6117</v>
      </c>
      <c r="C205" s="5">
        <v>74.2434</v>
      </c>
      <c r="D205" s="5">
        <v>25.5018</v>
      </c>
      <c r="E205" s="5">
        <v>132.67</v>
      </c>
      <c r="F205" s="5">
        <v>4.5</v>
      </c>
      <c r="G205" s="5">
        <v>35.3606</v>
      </c>
      <c r="H205" s="5">
        <v>37.6089</v>
      </c>
      <c r="I205" s="5">
        <v>32.9779</v>
      </c>
    </row>
    <row r="206" ht="15.75" customHeight="1">
      <c r="A206" s="4">
        <v>44707.0</v>
      </c>
      <c r="B206" s="5">
        <v>94.9458</v>
      </c>
      <c r="C206" s="5">
        <v>73.8511</v>
      </c>
      <c r="D206" s="5">
        <v>25.3357</v>
      </c>
      <c r="E206" s="5">
        <v>134.847</v>
      </c>
      <c r="F206" s="5">
        <v>4.54</v>
      </c>
      <c r="G206" s="5">
        <v>35.5823</v>
      </c>
      <c r="H206" s="5">
        <v>38.0243</v>
      </c>
      <c r="I206" s="5">
        <v>33.0715</v>
      </c>
    </row>
    <row r="207" ht="15.75" customHeight="1">
      <c r="A207" s="4">
        <v>44708.0</v>
      </c>
      <c r="B207" s="5">
        <v>95.879</v>
      </c>
      <c r="C207" s="5">
        <v>74.6162</v>
      </c>
      <c r="D207" s="5">
        <v>25.707</v>
      </c>
      <c r="E207" s="5">
        <v>138.35</v>
      </c>
      <c r="F207" s="5">
        <v>4.66</v>
      </c>
      <c r="G207" s="5">
        <v>36.1026</v>
      </c>
      <c r="H207" s="5">
        <v>38.7198</v>
      </c>
      <c r="I207" s="5">
        <v>33.5884</v>
      </c>
    </row>
    <row r="208" ht="15.75" customHeight="1">
      <c r="A208" s="4">
        <v>44712.0</v>
      </c>
      <c r="B208" s="5">
        <v>94.3169</v>
      </c>
      <c r="C208" s="5">
        <v>74.214</v>
      </c>
      <c r="D208" s="5">
        <v>25.7656</v>
      </c>
      <c r="E208" s="5">
        <v>137.142</v>
      </c>
      <c r="F208" s="5">
        <v>4.5</v>
      </c>
      <c r="G208" s="5">
        <v>35.7171</v>
      </c>
      <c r="H208" s="5">
        <v>38.1381</v>
      </c>
      <c r="I208" s="5">
        <v>33.125</v>
      </c>
    </row>
    <row r="209" ht="15.75" customHeight="1">
      <c r="A209" s="4">
        <v>44713.0</v>
      </c>
      <c r="B209" s="5">
        <v>96.1247</v>
      </c>
      <c r="C209" s="5">
        <v>74.1061</v>
      </c>
      <c r="D209" s="5">
        <v>25.3064</v>
      </c>
      <c r="E209" s="5">
        <v>136.272</v>
      </c>
      <c r="F209" s="5">
        <v>4.4</v>
      </c>
      <c r="G209" s="5">
        <v>36.0738</v>
      </c>
      <c r="H209" s="5">
        <v>38.7592</v>
      </c>
      <c r="I209" s="5">
        <v>33.0715</v>
      </c>
    </row>
    <row r="210" ht="15.75" customHeight="1">
      <c r="A210" s="4">
        <v>44714.0</v>
      </c>
      <c r="B210" s="5">
        <v>95.9576</v>
      </c>
      <c r="C210" s="5">
        <v>74.4984</v>
      </c>
      <c r="D210" s="5">
        <v>25.3846</v>
      </c>
      <c r="E210" s="5">
        <v>139.339</v>
      </c>
      <c r="F210" s="5">
        <v>4.37</v>
      </c>
      <c r="G210" s="5">
        <v>36.3726</v>
      </c>
      <c r="H210" s="5">
        <v>38.6366</v>
      </c>
      <c r="I210" s="5">
        <v>33.2942</v>
      </c>
    </row>
    <row r="211" ht="15.75" customHeight="1">
      <c r="A211" s="4">
        <v>44715.0</v>
      </c>
      <c r="B211" s="5">
        <v>97.3528</v>
      </c>
      <c r="C211" s="5">
        <v>73.8216</v>
      </c>
      <c r="D211" s="5">
        <v>25.2575</v>
      </c>
      <c r="E211" s="5">
        <v>138.874</v>
      </c>
      <c r="F211" s="5">
        <v>4.44</v>
      </c>
      <c r="G211" s="5">
        <v>36.1509</v>
      </c>
      <c r="H211" s="5">
        <v>39.1485</v>
      </c>
      <c r="I211" s="5">
        <v>33.1338</v>
      </c>
    </row>
    <row r="212" ht="15.75" customHeight="1">
      <c r="A212" s="4">
        <v>44718.0</v>
      </c>
      <c r="B212" s="5">
        <v>97.1072</v>
      </c>
      <c r="C212" s="5">
        <v>73.9099</v>
      </c>
      <c r="D212" s="5">
        <v>25.883</v>
      </c>
      <c r="E212" s="5">
        <v>139.873</v>
      </c>
      <c r="F212" s="5">
        <v>4.36</v>
      </c>
      <c r="G212" s="5">
        <v>36.0544</v>
      </c>
      <c r="H212" s="5">
        <v>39.1046</v>
      </c>
      <c r="I212" s="5">
        <v>33.2809</v>
      </c>
    </row>
    <row r="213" ht="15.75" customHeight="1">
      <c r="A213" s="4">
        <v>44719.0</v>
      </c>
      <c r="B213" s="5">
        <v>101.557</v>
      </c>
      <c r="C213" s="5">
        <v>74.2434</v>
      </c>
      <c r="D213" s="5">
        <v>26.7623</v>
      </c>
      <c r="E213" s="5">
        <v>143.88</v>
      </c>
      <c r="F213" s="5">
        <v>4.38</v>
      </c>
      <c r="G213" s="5">
        <v>36.4496</v>
      </c>
      <c r="H213" s="5">
        <v>40.2725</v>
      </c>
      <c r="I213" s="5">
        <v>33.4814</v>
      </c>
    </row>
    <row r="214" ht="15.75" customHeight="1">
      <c r="A214" s="4">
        <v>44720.0</v>
      </c>
      <c r="B214" s="5">
        <v>102.757</v>
      </c>
      <c r="C214" s="5">
        <v>73.2036</v>
      </c>
      <c r="D214" s="5">
        <v>26.2249</v>
      </c>
      <c r="E214" s="5">
        <v>142.96</v>
      </c>
      <c r="F214" s="5">
        <v>4.39</v>
      </c>
      <c r="G214" s="5">
        <v>36.1316</v>
      </c>
      <c r="H214" s="5">
        <v>40.3599</v>
      </c>
      <c r="I214" s="5">
        <v>32.8264</v>
      </c>
    </row>
    <row r="215" ht="15.75" customHeight="1">
      <c r="A215" s="4">
        <v>44721.0</v>
      </c>
      <c r="B215" s="5">
        <v>100.536</v>
      </c>
      <c r="C215" s="5">
        <v>71.4969</v>
      </c>
      <c r="D215" s="5">
        <v>25.5996</v>
      </c>
      <c r="E215" s="5">
        <v>141.001</v>
      </c>
      <c r="F215" s="5">
        <v>4.14</v>
      </c>
      <c r="G215" s="5">
        <v>34.6937</v>
      </c>
      <c r="H215" s="5">
        <v>39.4677</v>
      </c>
      <c r="I215" s="5">
        <v>32.0375</v>
      </c>
    </row>
    <row r="216" ht="15.75" customHeight="1">
      <c r="A216" s="4">
        <v>44722.0</v>
      </c>
      <c r="B216" s="5">
        <v>98.6988</v>
      </c>
      <c r="C216" s="5">
        <v>70.7613</v>
      </c>
      <c r="D216" s="5">
        <v>24.857</v>
      </c>
      <c r="E216" s="5">
        <v>135.589</v>
      </c>
      <c r="F216" s="5">
        <v>4.05</v>
      </c>
      <c r="G216" s="5">
        <v>34.0114</v>
      </c>
      <c r="H216" s="5">
        <v>38.7985</v>
      </c>
      <c r="I216" s="5">
        <v>31.7923</v>
      </c>
    </row>
    <row r="217" ht="15.75" customHeight="1">
      <c r="A217" s="4">
        <v>44725.0</v>
      </c>
      <c r="B217" s="5">
        <v>94.1696</v>
      </c>
      <c r="C217" s="5">
        <v>67.4361</v>
      </c>
      <c r="D217" s="5">
        <v>22.9615</v>
      </c>
      <c r="E217" s="5">
        <v>131.452</v>
      </c>
      <c r="F217" s="5">
        <v>3.88</v>
      </c>
      <c r="G217" s="5">
        <v>32.2859</v>
      </c>
      <c r="H217" s="5">
        <v>36.7735</v>
      </c>
      <c r="I217" s="5">
        <v>30.3306</v>
      </c>
    </row>
    <row r="218" ht="15.75" customHeight="1">
      <c r="A218" s="4">
        <v>44726.0</v>
      </c>
      <c r="B218" s="5">
        <v>94.4152</v>
      </c>
      <c r="C218" s="5">
        <v>65.5037</v>
      </c>
      <c r="D218" s="5">
        <v>22.4338</v>
      </c>
      <c r="E218" s="5">
        <v>129.147</v>
      </c>
      <c r="F218" s="5">
        <v>3.72</v>
      </c>
      <c r="G218" s="5">
        <v>31.5255</v>
      </c>
      <c r="H218" s="5">
        <v>36.8435</v>
      </c>
      <c r="I218" s="5">
        <v>29.5642</v>
      </c>
    </row>
    <row r="219" ht="15.75" customHeight="1">
      <c r="A219" s="4">
        <v>44727.0</v>
      </c>
      <c r="B219" s="5">
        <v>93.2264</v>
      </c>
      <c r="C219" s="5">
        <v>65.2977</v>
      </c>
      <c r="D219" s="5">
        <v>22.9615</v>
      </c>
      <c r="E219" s="5">
        <v>129.632</v>
      </c>
      <c r="F219" s="5">
        <v>3.75</v>
      </c>
      <c r="G219" s="5">
        <v>30.9505</v>
      </c>
      <c r="H219" s="5">
        <v>36.0299</v>
      </c>
      <c r="I219" s="5">
        <v>29.7558</v>
      </c>
    </row>
    <row r="220" ht="15.75" customHeight="1">
      <c r="A220" s="4">
        <v>44728.0</v>
      </c>
      <c r="B220" s="5">
        <v>89.7878</v>
      </c>
      <c r="C220" s="5">
        <v>65.0132</v>
      </c>
      <c r="D220" s="5">
        <v>22.0038</v>
      </c>
      <c r="E220" s="5">
        <v>124.784</v>
      </c>
      <c r="F220" s="5">
        <v>3.52</v>
      </c>
      <c r="G220" s="5">
        <v>29.6832</v>
      </c>
      <c r="H220" s="5">
        <v>34.0007</v>
      </c>
      <c r="I220" s="5">
        <v>29.1808</v>
      </c>
    </row>
    <row r="221" ht="15.75" customHeight="1">
      <c r="A221" s="4">
        <v>44729.0</v>
      </c>
      <c r="B221" s="5">
        <v>84.6102</v>
      </c>
      <c r="C221" s="5">
        <v>64.1403</v>
      </c>
      <c r="D221" s="5">
        <v>21.9062</v>
      </c>
      <c r="E221" s="5">
        <v>124.2</v>
      </c>
      <c r="F221" s="5">
        <v>3.42</v>
      </c>
      <c r="G221" s="5">
        <v>28.991</v>
      </c>
      <c r="H221" s="5">
        <v>32.1418</v>
      </c>
      <c r="I221" s="5">
        <v>28.9091</v>
      </c>
    </row>
    <row r="222" ht="15.75" customHeight="1">
      <c r="A222" s="4">
        <v>44733.0</v>
      </c>
      <c r="B222" s="5">
        <v>89.8762</v>
      </c>
      <c r="C222" s="5">
        <v>65.8666</v>
      </c>
      <c r="D222" s="5">
        <v>22.4252</v>
      </c>
      <c r="E222" s="5">
        <v>124.814</v>
      </c>
      <c r="F222" s="5">
        <v>3.54</v>
      </c>
      <c r="G222" s="5">
        <v>30.151</v>
      </c>
      <c r="H222" s="5">
        <v>33.8069</v>
      </c>
      <c r="I222" s="5">
        <v>29.4593</v>
      </c>
    </row>
    <row r="223" ht="15.75" customHeight="1">
      <c r="A223" s="4">
        <v>44734.0</v>
      </c>
      <c r="B223" s="5">
        <v>86.3196</v>
      </c>
      <c r="C223" s="5">
        <v>66.3963</v>
      </c>
      <c r="D223" s="5">
        <v>22.3661</v>
      </c>
      <c r="E223" s="5">
        <v>124.892</v>
      </c>
      <c r="F223" s="5">
        <v>3.47</v>
      </c>
      <c r="G223" s="5">
        <v>29.8001</v>
      </c>
      <c r="H223" s="5">
        <v>32.4537</v>
      </c>
      <c r="I223" s="5">
        <v>29.7694</v>
      </c>
    </row>
    <row r="224" ht="15.75" customHeight="1">
      <c r="A224" s="4">
        <v>44735.0</v>
      </c>
      <c r="B224" s="5">
        <v>83.7161</v>
      </c>
      <c r="C224" s="5">
        <v>67.9559</v>
      </c>
      <c r="D224" s="5">
        <v>23.0555</v>
      </c>
      <c r="E224" s="5">
        <v>125.556</v>
      </c>
      <c r="F224" s="5">
        <v>3.23</v>
      </c>
      <c r="G224" s="5">
        <v>29.6442</v>
      </c>
      <c r="H224" s="5">
        <v>31.2508</v>
      </c>
      <c r="I224" s="5">
        <v>30.4701</v>
      </c>
    </row>
    <row r="225" ht="15.75" customHeight="1">
      <c r="A225" s="4">
        <v>44736.0</v>
      </c>
      <c r="B225" s="5">
        <v>85.3765</v>
      </c>
      <c r="C225" s="5">
        <v>68.4954</v>
      </c>
      <c r="D225" s="5">
        <v>23.0358</v>
      </c>
      <c r="E225" s="5">
        <v>130.444</v>
      </c>
      <c r="F225" s="5">
        <v>3.22</v>
      </c>
      <c r="G225" s="5">
        <v>29.2933</v>
      </c>
      <c r="H225" s="5">
        <v>31.662</v>
      </c>
      <c r="I225" s="5">
        <v>31.0002</v>
      </c>
    </row>
    <row r="226" ht="15.75" customHeight="1">
      <c r="A226" s="4">
        <v>44739.0</v>
      </c>
      <c r="B226" s="5">
        <v>87.4692</v>
      </c>
      <c r="C226" s="5">
        <v>69.025</v>
      </c>
      <c r="D226" s="5">
        <v>23.3903</v>
      </c>
      <c r="E226" s="5">
        <v>130.859</v>
      </c>
      <c r="F226" s="5">
        <v>3.38</v>
      </c>
      <c r="G226" s="5">
        <v>29.8197</v>
      </c>
      <c r="H226" s="5">
        <v>32.5908</v>
      </c>
      <c r="I226" s="5">
        <v>31.2517</v>
      </c>
    </row>
    <row r="227" ht="15.75" customHeight="1">
      <c r="A227" s="4">
        <v>44740.0</v>
      </c>
      <c r="B227" s="5">
        <v>89.8958</v>
      </c>
      <c r="C227" s="5">
        <v>69.2703</v>
      </c>
      <c r="D227" s="5">
        <v>22.8979</v>
      </c>
      <c r="E227" s="5">
        <v>127.96</v>
      </c>
      <c r="F227" s="5">
        <v>3.43</v>
      </c>
      <c r="G227" s="5">
        <v>30.9407</v>
      </c>
      <c r="H227" s="5">
        <v>33.4709</v>
      </c>
      <c r="I227" s="5">
        <v>31.135</v>
      </c>
    </row>
    <row r="228" ht="15.75" customHeight="1">
      <c r="A228" s="4">
        <v>44741.0</v>
      </c>
      <c r="B228" s="5">
        <v>86.575</v>
      </c>
      <c r="C228" s="5">
        <v>69.3193</v>
      </c>
      <c r="D228" s="5">
        <v>22.5434</v>
      </c>
      <c r="E228" s="5">
        <v>125.932</v>
      </c>
      <c r="F228" s="5">
        <v>3.34</v>
      </c>
      <c r="G228" s="5">
        <v>30.7164</v>
      </c>
      <c r="H228" s="5">
        <v>32.3078</v>
      </c>
      <c r="I228" s="5">
        <v>31.1573</v>
      </c>
    </row>
    <row r="229" ht="15.75" customHeight="1">
      <c r="A229" s="4">
        <v>44742.0</v>
      </c>
      <c r="B229" s="5">
        <v>84.1386</v>
      </c>
      <c r="C229" s="5">
        <v>69.9471</v>
      </c>
      <c r="D229" s="5">
        <v>22.504</v>
      </c>
      <c r="E229" s="5">
        <v>124.665</v>
      </c>
      <c r="F229" s="5">
        <v>3.26</v>
      </c>
      <c r="G229" s="5">
        <v>30.4241</v>
      </c>
      <c r="H229" s="5">
        <v>31.6266</v>
      </c>
      <c r="I229" s="5">
        <v>31.5032</v>
      </c>
    </row>
    <row r="230" ht="15.75" customHeight="1">
      <c r="A230" s="4">
        <v>44743.0</v>
      </c>
      <c r="B230" s="5">
        <v>86.0151</v>
      </c>
      <c r="C230" s="5">
        <v>71.7422</v>
      </c>
      <c r="D230" s="5">
        <v>22.9964</v>
      </c>
      <c r="E230" s="5">
        <v>126.03</v>
      </c>
      <c r="F230" s="5">
        <v>3.32</v>
      </c>
      <c r="G230" s="5">
        <v>30.502</v>
      </c>
      <c r="H230" s="5">
        <v>32.0998</v>
      </c>
      <c r="I230" s="5">
        <v>32.2759</v>
      </c>
    </row>
    <row r="231" ht="15.75" customHeight="1">
      <c r="A231" s="4">
        <v>44747.0</v>
      </c>
      <c r="B231" s="5">
        <v>83.3231</v>
      </c>
      <c r="C231" s="5">
        <v>69.4665</v>
      </c>
      <c r="D231" s="5">
        <v>21.332</v>
      </c>
      <c r="E231" s="5">
        <v>125.348</v>
      </c>
      <c r="F231" s="5">
        <v>3.13</v>
      </c>
      <c r="G231" s="5">
        <v>29.4005</v>
      </c>
      <c r="H231" s="5">
        <v>30.8261</v>
      </c>
      <c r="I231" s="5">
        <v>31.1753</v>
      </c>
    </row>
    <row r="232" ht="15.75" customHeight="1">
      <c r="A232" s="4">
        <v>44748.0</v>
      </c>
      <c r="B232" s="5">
        <v>81.8199</v>
      </c>
      <c r="C232" s="5">
        <v>70.104</v>
      </c>
      <c r="D232" s="5">
        <v>21.3715</v>
      </c>
      <c r="E232" s="5">
        <v>126.654</v>
      </c>
      <c r="F232" s="5">
        <v>3.09</v>
      </c>
      <c r="G232" s="5">
        <v>28.9716</v>
      </c>
      <c r="H232" s="5">
        <v>30.2997</v>
      </c>
      <c r="I232" s="5">
        <v>31.4988</v>
      </c>
    </row>
    <row r="233" ht="15.75" customHeight="1">
      <c r="A233" s="4">
        <v>44749.0</v>
      </c>
      <c r="B233" s="5">
        <v>84.4333</v>
      </c>
      <c r="C233" s="5">
        <v>69.9275</v>
      </c>
      <c r="D233" s="5">
        <v>21.8933</v>
      </c>
      <c r="E233" s="5">
        <v>128.227</v>
      </c>
      <c r="F233" s="5">
        <v>3.12</v>
      </c>
      <c r="G233" s="5">
        <v>30.3947</v>
      </c>
      <c r="H233" s="5">
        <v>31.3922</v>
      </c>
      <c r="I233" s="5">
        <v>31.4673</v>
      </c>
    </row>
    <row r="234" ht="15.75" customHeight="1">
      <c r="A234" s="4">
        <v>44750.0</v>
      </c>
      <c r="B234" s="5">
        <v>84.5709</v>
      </c>
      <c r="C234" s="5">
        <v>69.8294</v>
      </c>
      <c r="D234" s="5">
        <v>21.7456</v>
      </c>
      <c r="E234" s="5">
        <v>126.476</v>
      </c>
      <c r="F234" s="5">
        <v>3.17</v>
      </c>
      <c r="G234" s="5">
        <v>30.5313</v>
      </c>
      <c r="H234" s="5">
        <v>31.3789</v>
      </c>
      <c r="I234" s="5">
        <v>31.364</v>
      </c>
    </row>
    <row r="235" ht="15.75" customHeight="1">
      <c r="A235" s="4">
        <v>44753.0</v>
      </c>
      <c r="B235" s="5">
        <v>84.1386</v>
      </c>
      <c r="C235" s="5">
        <v>70.3983</v>
      </c>
      <c r="D235" s="5">
        <v>21.7555</v>
      </c>
      <c r="E235" s="5">
        <v>126.506</v>
      </c>
      <c r="F235" s="5">
        <v>3.05</v>
      </c>
      <c r="G235" s="5">
        <v>30.9601</v>
      </c>
      <c r="H235" s="5">
        <v>31.0782</v>
      </c>
      <c r="I235" s="5">
        <v>31.5616</v>
      </c>
    </row>
    <row r="236" ht="15.75" customHeight="1">
      <c r="A236" s="4">
        <v>44754.0</v>
      </c>
      <c r="B236" s="5">
        <v>83.0186</v>
      </c>
      <c r="C236" s="5">
        <v>70.6043</v>
      </c>
      <c r="D236" s="5">
        <v>22.179</v>
      </c>
      <c r="E236" s="5">
        <v>125.546</v>
      </c>
      <c r="F236" s="5">
        <v>3.0</v>
      </c>
      <c r="G236" s="5">
        <v>30.1706</v>
      </c>
      <c r="H236" s="5">
        <v>30.4723</v>
      </c>
      <c r="I236" s="5">
        <v>31.4089</v>
      </c>
    </row>
    <row r="237" ht="15.75" customHeight="1">
      <c r="A237" s="4">
        <v>44755.0</v>
      </c>
      <c r="B237" s="5">
        <v>83.3526</v>
      </c>
      <c r="C237" s="5">
        <v>69.8392</v>
      </c>
      <c r="D237" s="5">
        <v>22.3859</v>
      </c>
      <c r="E237" s="5">
        <v>124.398</v>
      </c>
      <c r="F237" s="5">
        <v>3.01</v>
      </c>
      <c r="G237" s="5">
        <v>30.3557</v>
      </c>
      <c r="H237" s="5">
        <v>30.4236</v>
      </c>
      <c r="I237" s="5">
        <v>31.2787</v>
      </c>
    </row>
    <row r="238" ht="15.75" customHeight="1">
      <c r="A238" s="4">
        <v>44756.0</v>
      </c>
      <c r="B238" s="5">
        <v>81.6824</v>
      </c>
      <c r="C238" s="5">
        <v>70.4866</v>
      </c>
      <c r="D238" s="5">
        <v>22.5828</v>
      </c>
      <c r="E238" s="5">
        <v>123.725</v>
      </c>
      <c r="F238" s="5">
        <v>2.93</v>
      </c>
      <c r="G238" s="5">
        <v>30.3655</v>
      </c>
      <c r="H238" s="5">
        <v>29.8487</v>
      </c>
      <c r="I238" s="5">
        <v>31.2787</v>
      </c>
    </row>
    <row r="239" ht="15.75" customHeight="1">
      <c r="A239" s="4">
        <v>44757.0</v>
      </c>
      <c r="B239" s="5">
        <v>83.0579</v>
      </c>
      <c r="C239" s="5">
        <v>70.9476</v>
      </c>
      <c r="D239" s="5">
        <v>22.238</v>
      </c>
      <c r="E239" s="5">
        <v>127.633</v>
      </c>
      <c r="F239" s="5">
        <v>2.97</v>
      </c>
      <c r="G239" s="5">
        <v>30.5898</v>
      </c>
      <c r="H239" s="5">
        <v>30.3352</v>
      </c>
      <c r="I239" s="5">
        <v>31.3371</v>
      </c>
    </row>
    <row r="240" ht="15.75" customHeight="1">
      <c r="A240" s="4">
        <v>44760.0</v>
      </c>
      <c r="B240" s="5">
        <v>84.5905</v>
      </c>
      <c r="C240" s="5">
        <v>70.3198</v>
      </c>
      <c r="D240" s="5">
        <v>22.4744</v>
      </c>
      <c r="E240" s="5">
        <v>125.546</v>
      </c>
      <c r="F240" s="5">
        <v>2.99</v>
      </c>
      <c r="G240" s="5">
        <v>31.1064</v>
      </c>
      <c r="H240" s="5">
        <v>31.0297</v>
      </c>
      <c r="I240" s="5">
        <v>30.9013</v>
      </c>
    </row>
    <row r="241" ht="15.75" customHeight="1">
      <c r="A241" s="4">
        <v>44761.0</v>
      </c>
      <c r="B241" s="5">
        <v>86.7225</v>
      </c>
      <c r="C241" s="5">
        <v>70.3787</v>
      </c>
      <c r="D241" s="5">
        <v>23.2722</v>
      </c>
      <c r="E241" s="5">
        <v>130.908</v>
      </c>
      <c r="F241" s="5">
        <v>3.06</v>
      </c>
      <c r="G241" s="5">
        <v>31.5353</v>
      </c>
      <c r="H241" s="5">
        <v>31.9848</v>
      </c>
      <c r="I241" s="5">
        <v>31.0991</v>
      </c>
    </row>
    <row r="242" ht="15.75" customHeight="1">
      <c r="A242" s="4">
        <v>44762.0</v>
      </c>
      <c r="B242" s="5">
        <v>87.6755</v>
      </c>
      <c r="C242" s="5">
        <v>69.5842</v>
      </c>
      <c r="D242" s="5">
        <v>23.282</v>
      </c>
      <c r="E242" s="5">
        <v>132.442</v>
      </c>
      <c r="F242" s="5">
        <v>2.99</v>
      </c>
      <c r="G242" s="5">
        <v>31.6815</v>
      </c>
      <c r="H242" s="5">
        <v>32.2945</v>
      </c>
      <c r="I242" s="5">
        <v>30.6858</v>
      </c>
    </row>
    <row r="243" ht="15.75" customHeight="1">
      <c r="A243" s="4">
        <v>44763.0</v>
      </c>
      <c r="B243" s="5">
        <v>86.2116</v>
      </c>
      <c r="C243" s="5">
        <v>69.4959</v>
      </c>
      <c r="D243" s="5">
        <v>23.0062</v>
      </c>
      <c r="E243" s="5">
        <v>135.896</v>
      </c>
      <c r="F243" s="5">
        <v>2.91</v>
      </c>
      <c r="G243" s="5">
        <v>31.5938</v>
      </c>
      <c r="H243" s="5">
        <v>31.7283</v>
      </c>
      <c r="I243" s="5">
        <v>30.7667</v>
      </c>
    </row>
    <row r="244" ht="15.75" customHeight="1">
      <c r="A244" s="4">
        <v>44764.0</v>
      </c>
      <c r="B244" s="5">
        <v>85.5534</v>
      </c>
      <c r="C244" s="5">
        <v>70.565</v>
      </c>
      <c r="D244" s="5">
        <v>22.6517</v>
      </c>
      <c r="E244" s="5">
        <v>135.213</v>
      </c>
      <c r="F244" s="5">
        <v>2.91</v>
      </c>
      <c r="G244" s="5">
        <v>31.5255</v>
      </c>
      <c r="H244" s="5">
        <v>31.4674</v>
      </c>
      <c r="I244" s="5">
        <v>31.1888</v>
      </c>
    </row>
    <row r="245" ht="15.75" customHeight="1">
      <c r="A245" s="4">
        <v>44767.0</v>
      </c>
      <c r="B245" s="5">
        <v>88.4024</v>
      </c>
      <c r="C245" s="5">
        <v>71.3008</v>
      </c>
      <c r="D245" s="5">
        <v>23.0062</v>
      </c>
      <c r="E245" s="5">
        <v>135.658</v>
      </c>
      <c r="F245" s="5">
        <v>3.14</v>
      </c>
      <c r="G245" s="5">
        <v>32.6076</v>
      </c>
      <c r="H245" s="5">
        <v>32.6217</v>
      </c>
      <c r="I245" s="5">
        <v>31.5797</v>
      </c>
    </row>
    <row r="246" ht="15.75" customHeight="1">
      <c r="A246" s="4">
        <v>44768.0</v>
      </c>
      <c r="B246" s="5">
        <v>88.0586</v>
      </c>
      <c r="C246" s="5">
        <v>72.105</v>
      </c>
      <c r="D246" s="5">
        <v>23.3903</v>
      </c>
      <c r="E246" s="5">
        <v>137.676</v>
      </c>
      <c r="F246" s="5">
        <v>3.2</v>
      </c>
      <c r="G246" s="5">
        <v>32.6953</v>
      </c>
      <c r="H246" s="5">
        <v>32.3254</v>
      </c>
      <c r="I246" s="5">
        <v>31.7682</v>
      </c>
    </row>
    <row r="247" ht="15.75" customHeight="1">
      <c r="A247" s="4">
        <v>44769.0</v>
      </c>
      <c r="B247" s="5">
        <v>89.9646</v>
      </c>
      <c r="C247" s="5">
        <v>71.8598</v>
      </c>
      <c r="D247" s="5">
        <v>23.4692</v>
      </c>
      <c r="E247" s="5">
        <v>140.181</v>
      </c>
      <c r="F247" s="5">
        <v>3.35</v>
      </c>
      <c r="G247" s="5">
        <v>32.939</v>
      </c>
      <c r="H247" s="5">
        <v>33.0551</v>
      </c>
      <c r="I247" s="5">
        <v>31.7953</v>
      </c>
    </row>
    <row r="248" ht="15.75" customHeight="1">
      <c r="A248" s="4">
        <v>44770.0</v>
      </c>
      <c r="B248" s="5">
        <v>91.0158</v>
      </c>
      <c r="C248" s="5">
        <v>74.3906</v>
      </c>
      <c r="D248" s="5">
        <v>24.4441</v>
      </c>
      <c r="E248" s="5">
        <v>144.722</v>
      </c>
      <c r="F248" s="5">
        <v>3.48</v>
      </c>
      <c r="G248" s="5">
        <v>32.9293</v>
      </c>
      <c r="H248" s="5">
        <v>33.2409</v>
      </c>
      <c r="I248" s="5">
        <v>32.9363</v>
      </c>
    </row>
    <row r="249" ht="15.75" customHeight="1">
      <c r="A249" s="4">
        <v>44771.0</v>
      </c>
      <c r="B249" s="5">
        <v>95.2307</v>
      </c>
      <c r="C249" s="5">
        <v>75.4205</v>
      </c>
      <c r="D249" s="5">
        <v>25.4585</v>
      </c>
      <c r="E249" s="5">
        <v>146.829</v>
      </c>
      <c r="F249" s="5">
        <v>3.71</v>
      </c>
      <c r="G249" s="5">
        <v>33.2315</v>
      </c>
      <c r="H249" s="5">
        <v>34.6826</v>
      </c>
      <c r="I249" s="5">
        <v>33.2194</v>
      </c>
    </row>
    <row r="250" ht="15.75" customHeight="1">
      <c r="A250" s="4">
        <v>44774.0</v>
      </c>
      <c r="B250" s="5">
        <v>92.8235</v>
      </c>
      <c r="C250" s="5">
        <v>75.2144</v>
      </c>
      <c r="D250" s="5">
        <v>24.976</v>
      </c>
      <c r="E250" s="5">
        <v>145.949</v>
      </c>
      <c r="F250" s="5">
        <v>3.65</v>
      </c>
      <c r="G250" s="5">
        <v>33.1437</v>
      </c>
      <c r="H250" s="5">
        <v>33.9662</v>
      </c>
      <c r="I250" s="5">
        <v>33.2553</v>
      </c>
    </row>
    <row r="251" ht="15.75" customHeight="1">
      <c r="A251" s="4">
        <v>44775.0</v>
      </c>
      <c r="B251" s="5">
        <v>92.4208</v>
      </c>
      <c r="C251" s="5">
        <v>74.4788</v>
      </c>
      <c r="D251" s="5">
        <v>24.8775</v>
      </c>
      <c r="E251" s="5">
        <v>144.85</v>
      </c>
      <c r="F251" s="5">
        <v>3.66</v>
      </c>
      <c r="G251" s="5">
        <v>32.0325</v>
      </c>
      <c r="H251" s="5">
        <v>33.8866</v>
      </c>
      <c r="I251" s="5">
        <v>33.1878</v>
      </c>
    </row>
    <row r="252" ht="15.75" customHeight="1">
      <c r="A252" s="4">
        <v>44776.0</v>
      </c>
      <c r="B252" s="5">
        <v>89.4242</v>
      </c>
      <c r="C252" s="5">
        <v>75.7834</v>
      </c>
      <c r="D252" s="5">
        <v>25.0744</v>
      </c>
      <c r="E252" s="5">
        <v>147.136</v>
      </c>
      <c r="F252" s="5">
        <v>3.72</v>
      </c>
      <c r="G252" s="5">
        <v>31.8082</v>
      </c>
      <c r="H252" s="5">
        <v>32.9136</v>
      </c>
      <c r="I252" s="5">
        <v>33.3944</v>
      </c>
    </row>
    <row r="253" ht="15.75" customHeight="1">
      <c r="A253" s="4">
        <v>44777.0</v>
      </c>
      <c r="B253" s="5">
        <v>85.6614</v>
      </c>
      <c r="C253" s="5">
        <v>76.4798</v>
      </c>
      <c r="D253" s="5">
        <v>25.232</v>
      </c>
      <c r="E253" s="5">
        <v>147.146</v>
      </c>
      <c r="F253" s="5">
        <v>3.66</v>
      </c>
      <c r="G253" s="5">
        <v>31.1064</v>
      </c>
      <c r="H253" s="5">
        <v>31.693</v>
      </c>
      <c r="I253" s="5">
        <v>33.4663</v>
      </c>
    </row>
    <row r="254" ht="15.75" customHeight="1">
      <c r="A254" s="4">
        <v>44778.0</v>
      </c>
      <c r="B254" s="5">
        <v>86.8993</v>
      </c>
      <c r="C254" s="5">
        <v>75.7932</v>
      </c>
      <c r="D254" s="5">
        <v>24.2275</v>
      </c>
      <c r="E254" s="5">
        <v>147.087</v>
      </c>
      <c r="F254" s="5">
        <v>3.75</v>
      </c>
      <c r="G254" s="5">
        <v>31.4086</v>
      </c>
      <c r="H254" s="5">
        <v>32.3211</v>
      </c>
      <c r="I254" s="5">
        <v>33.345</v>
      </c>
    </row>
    <row r="255" ht="15.75" customHeight="1">
      <c r="A255" s="4">
        <v>44781.0</v>
      </c>
      <c r="B255" s="5">
        <v>87.3906</v>
      </c>
      <c r="C255" s="5">
        <v>75.7147</v>
      </c>
      <c r="D255" s="5">
        <v>24.3555</v>
      </c>
      <c r="E255" s="5">
        <v>146.375</v>
      </c>
      <c r="F255" s="5">
        <v>4.0</v>
      </c>
      <c r="G255" s="5">
        <v>31.6328</v>
      </c>
      <c r="H255" s="5">
        <v>32.489</v>
      </c>
      <c r="I255" s="5">
        <v>33.3944</v>
      </c>
    </row>
    <row r="256" ht="15.75" customHeight="1">
      <c r="A256" s="4">
        <v>44782.0</v>
      </c>
      <c r="B256" s="5">
        <v>89.0018</v>
      </c>
      <c r="C256" s="5">
        <v>76.7544</v>
      </c>
      <c r="D256" s="5">
        <v>24.4147</v>
      </c>
      <c r="E256" s="5">
        <v>144.87</v>
      </c>
      <c r="F256" s="5">
        <v>3.91</v>
      </c>
      <c r="G256" s="5">
        <v>32.0032</v>
      </c>
      <c r="H256" s="5">
        <v>33.0596</v>
      </c>
      <c r="I256" s="5">
        <v>33.7673</v>
      </c>
    </row>
    <row r="257" ht="15.75" customHeight="1">
      <c r="A257" s="4">
        <v>44783.0</v>
      </c>
      <c r="B257" s="5">
        <v>89.8467</v>
      </c>
      <c r="C257" s="5">
        <v>76.7937</v>
      </c>
      <c r="D257" s="5">
        <v>24.7888</v>
      </c>
      <c r="E257" s="5">
        <v>147.769</v>
      </c>
      <c r="F257" s="5">
        <v>3.91</v>
      </c>
      <c r="G257" s="5">
        <v>32.1884</v>
      </c>
      <c r="H257" s="5">
        <v>33.2983</v>
      </c>
      <c r="I257" s="5">
        <v>33.9155</v>
      </c>
    </row>
    <row r="258" ht="15.75" customHeight="1">
      <c r="A258" s="4">
        <v>44784.0</v>
      </c>
      <c r="B258" s="5">
        <v>92.4458</v>
      </c>
      <c r="C258" s="5">
        <v>76.4112</v>
      </c>
      <c r="D258" s="5">
        <v>24.9563</v>
      </c>
      <c r="E258" s="5">
        <v>148.685</v>
      </c>
      <c r="F258" s="5">
        <v>4.09</v>
      </c>
      <c r="G258" s="5">
        <v>33.0853</v>
      </c>
      <c r="H258" s="5">
        <v>34.444</v>
      </c>
      <c r="I258" s="5">
        <v>33.9111</v>
      </c>
    </row>
    <row r="259" ht="15.75" customHeight="1">
      <c r="A259" s="4">
        <v>44785.0</v>
      </c>
      <c r="B259" s="5">
        <v>93.2493</v>
      </c>
      <c r="C259" s="5">
        <v>77.3017</v>
      </c>
      <c r="D259" s="5">
        <v>25.4881</v>
      </c>
      <c r="E259" s="5">
        <v>151.659</v>
      </c>
      <c r="F259" s="5">
        <v>4.41</v>
      </c>
      <c r="G259" s="5">
        <v>33.2997</v>
      </c>
      <c r="H259" s="5">
        <v>34.7048</v>
      </c>
      <c r="I259" s="5">
        <v>34.4635</v>
      </c>
    </row>
    <row r="260" ht="15.75" customHeight="1">
      <c r="A260" s="4">
        <v>44788.0</v>
      </c>
      <c r="B260" s="5">
        <v>91.5827</v>
      </c>
      <c r="C260" s="5">
        <v>77.5491</v>
      </c>
      <c r="D260" s="5">
        <v>25.5768</v>
      </c>
      <c r="E260" s="5">
        <v>151.64</v>
      </c>
      <c r="F260" s="5">
        <v>4.64</v>
      </c>
      <c r="G260" s="5">
        <v>32.7831</v>
      </c>
      <c r="H260" s="5">
        <v>34.0282</v>
      </c>
      <c r="I260" s="5">
        <v>34.7511</v>
      </c>
    </row>
    <row r="261" ht="15.75" customHeight="1">
      <c r="A261" s="4">
        <v>44789.0</v>
      </c>
      <c r="B261" s="5">
        <v>90.7296</v>
      </c>
      <c r="C261" s="5">
        <v>78.2418</v>
      </c>
      <c r="D261" s="5">
        <v>25.4389</v>
      </c>
      <c r="E261" s="5">
        <v>152.316</v>
      </c>
      <c r="F261" s="5">
        <v>4.61</v>
      </c>
      <c r="G261" s="5">
        <v>33.4557</v>
      </c>
      <c r="H261" s="5">
        <v>33.9485</v>
      </c>
      <c r="I261" s="5">
        <v>34.8498</v>
      </c>
    </row>
    <row r="262" ht="15.75" customHeight="1">
      <c r="A262" s="4">
        <v>44790.0</v>
      </c>
      <c r="B262" s="5">
        <v>91.4637</v>
      </c>
      <c r="C262" s="5">
        <v>78.4199</v>
      </c>
      <c r="D262" s="5">
        <v>25.1434</v>
      </c>
      <c r="E262" s="5">
        <v>151.212</v>
      </c>
      <c r="F262" s="5">
        <v>4.64</v>
      </c>
      <c r="G262" s="5">
        <v>33.4362</v>
      </c>
      <c r="H262" s="5">
        <v>34.2316</v>
      </c>
      <c r="I262" s="5">
        <v>34.7915</v>
      </c>
    </row>
    <row r="263" ht="15.75" customHeight="1">
      <c r="A263" s="4">
        <v>44791.0</v>
      </c>
      <c r="B263" s="5">
        <v>93.6263</v>
      </c>
      <c r="C263" s="5">
        <v>78.885</v>
      </c>
      <c r="D263" s="5">
        <v>25.4487</v>
      </c>
      <c r="E263" s="5">
        <v>152.565</v>
      </c>
      <c r="F263" s="5">
        <v>4.85</v>
      </c>
      <c r="G263" s="5">
        <v>34.3525</v>
      </c>
      <c r="H263" s="5">
        <v>35.1515</v>
      </c>
      <c r="I263" s="5">
        <v>34.9218</v>
      </c>
    </row>
    <row r="264" ht="15.75" customHeight="1">
      <c r="A264" s="4">
        <v>44792.0</v>
      </c>
      <c r="B264" s="5">
        <v>93.3287</v>
      </c>
      <c r="C264" s="5">
        <v>79.3204</v>
      </c>
      <c r="D264" s="5">
        <v>24.8677</v>
      </c>
      <c r="E264" s="5">
        <v>150.068</v>
      </c>
      <c r="F264" s="5">
        <v>4.65</v>
      </c>
      <c r="G264" s="5">
        <v>34.0504</v>
      </c>
      <c r="H264" s="5">
        <v>35.1426</v>
      </c>
      <c r="I264" s="5">
        <v>34.9037</v>
      </c>
    </row>
    <row r="265" ht="15.75" customHeight="1">
      <c r="A265" s="4">
        <v>44795.0</v>
      </c>
      <c r="B265" s="5">
        <v>93.2592</v>
      </c>
      <c r="C265" s="5">
        <v>78.2814</v>
      </c>
      <c r="D265" s="5">
        <v>24.3555</v>
      </c>
      <c r="E265" s="5">
        <v>145.999</v>
      </c>
      <c r="F265" s="5">
        <v>4.77</v>
      </c>
      <c r="G265" s="5">
        <v>33.8164</v>
      </c>
      <c r="H265" s="5">
        <v>35.0764</v>
      </c>
      <c r="I265" s="5">
        <v>34.4277</v>
      </c>
    </row>
    <row r="266" ht="15.75" customHeight="1">
      <c r="A266" s="4">
        <v>44796.0</v>
      </c>
      <c r="B266" s="5">
        <v>97.2174</v>
      </c>
      <c r="C266" s="5">
        <v>77.9647</v>
      </c>
      <c r="D266" s="5">
        <v>24.0995</v>
      </c>
      <c r="E266" s="5">
        <v>145.561</v>
      </c>
      <c r="F266" s="5">
        <v>5.17</v>
      </c>
      <c r="G266" s="5">
        <v>34.2355</v>
      </c>
      <c r="H266" s="5">
        <v>36.3412</v>
      </c>
      <c r="I266" s="5">
        <v>34.2211</v>
      </c>
    </row>
    <row r="267" ht="15.75" customHeight="1">
      <c r="A267" s="4">
        <v>44797.0</v>
      </c>
      <c r="B267" s="5">
        <v>97.7927</v>
      </c>
      <c r="C267" s="5">
        <v>78.0439</v>
      </c>
      <c r="D267" s="5">
        <v>24.8086</v>
      </c>
      <c r="E267" s="5">
        <v>144.775</v>
      </c>
      <c r="F267" s="5">
        <v>5.3</v>
      </c>
      <c r="G267" s="5">
        <v>34.684</v>
      </c>
      <c r="H267" s="5">
        <v>36.7879</v>
      </c>
      <c r="I267" s="5">
        <v>34.3288</v>
      </c>
    </row>
    <row r="268" ht="15.75" customHeight="1">
      <c r="A268" s="4">
        <v>44798.0</v>
      </c>
      <c r="B268" s="5">
        <v>98.2987</v>
      </c>
      <c r="C268" s="5">
        <v>78.2913</v>
      </c>
      <c r="D268" s="5">
        <v>25.2616</v>
      </c>
      <c r="E268" s="5">
        <v>147.292</v>
      </c>
      <c r="F268" s="5">
        <v>5.58</v>
      </c>
      <c r="G268" s="5">
        <v>34.7035</v>
      </c>
      <c r="H268" s="5">
        <v>37.071</v>
      </c>
      <c r="I268" s="5">
        <v>34.5401</v>
      </c>
    </row>
    <row r="269" ht="15.75" customHeight="1">
      <c r="A269" s="4">
        <v>44799.0</v>
      </c>
      <c r="B269" s="5">
        <v>97.0884</v>
      </c>
      <c r="C269" s="5">
        <v>77.3809</v>
      </c>
      <c r="D269" s="5">
        <v>24.5525</v>
      </c>
      <c r="E269" s="5">
        <v>140.358</v>
      </c>
      <c r="F269" s="5">
        <v>5.51</v>
      </c>
      <c r="G269" s="5">
        <v>34.1478</v>
      </c>
      <c r="H269" s="5">
        <v>36.6376</v>
      </c>
      <c r="I269" s="5">
        <v>34.0098</v>
      </c>
    </row>
    <row r="270" ht="15.75" customHeight="1">
      <c r="A270" s="4">
        <v>44802.0</v>
      </c>
      <c r="B270" s="5">
        <v>99.3204</v>
      </c>
      <c r="C270" s="5">
        <v>77.8559</v>
      </c>
      <c r="D270" s="5">
        <v>24.3654</v>
      </c>
      <c r="E270" s="5">
        <v>139.99</v>
      </c>
      <c r="F270" s="5">
        <v>5.88</v>
      </c>
      <c r="G270" s="5">
        <v>34.3525</v>
      </c>
      <c r="H270" s="5">
        <v>37.1904</v>
      </c>
      <c r="I270" s="5">
        <v>34.1132</v>
      </c>
    </row>
    <row r="271" ht="15.75" customHeight="1">
      <c r="A271" s="4">
        <v>44803.0</v>
      </c>
      <c r="B271" s="5">
        <v>95.5409</v>
      </c>
      <c r="C271" s="5">
        <v>76.7674</v>
      </c>
      <c r="D271" s="5">
        <v>23.8138</v>
      </c>
      <c r="E271" s="5">
        <v>138.527</v>
      </c>
      <c r="F271" s="5">
        <v>5.51</v>
      </c>
      <c r="G271" s="5">
        <v>33.4557</v>
      </c>
      <c r="H271" s="5">
        <v>35.9299</v>
      </c>
      <c r="I271" s="5">
        <v>33.6145</v>
      </c>
    </row>
    <row r="272" ht="15.75" customHeight="1">
      <c r="A272" s="4">
        <v>44804.0</v>
      </c>
      <c r="B272" s="5">
        <v>94.8266</v>
      </c>
      <c r="C272" s="5">
        <v>76.2627</v>
      </c>
      <c r="D272" s="5">
        <v>24.3752</v>
      </c>
      <c r="E272" s="5">
        <v>135.94</v>
      </c>
      <c r="F272" s="5">
        <v>5.49</v>
      </c>
      <c r="G272" s="5">
        <v>33.173</v>
      </c>
      <c r="H272" s="5">
        <v>35.6026</v>
      </c>
      <c r="I272" s="5">
        <v>33.3944</v>
      </c>
    </row>
    <row r="273" ht="15.75" customHeight="1">
      <c r="A273" s="4">
        <v>44805.0</v>
      </c>
      <c r="B273" s="5">
        <v>93.1204</v>
      </c>
      <c r="C273" s="5">
        <v>77.9449</v>
      </c>
      <c r="D273" s="5">
        <v>24.582</v>
      </c>
      <c r="E273" s="5">
        <v>138.059</v>
      </c>
      <c r="F273" s="5">
        <v>5.62</v>
      </c>
      <c r="G273" s="5">
        <v>32.7343</v>
      </c>
      <c r="H273" s="5">
        <v>34.727</v>
      </c>
      <c r="I273" s="5">
        <v>33.875</v>
      </c>
    </row>
    <row r="274" ht="15.75" customHeight="1">
      <c r="A274" s="4">
        <v>44806.0</v>
      </c>
      <c r="B274" s="5">
        <v>94.8266</v>
      </c>
      <c r="C274" s="5">
        <v>77.0544</v>
      </c>
      <c r="D274" s="5">
        <v>24.582</v>
      </c>
      <c r="E274" s="5">
        <v>136.597</v>
      </c>
      <c r="F274" s="5">
        <v>5.82</v>
      </c>
      <c r="G274" s="5">
        <v>32.8708</v>
      </c>
      <c r="H274" s="5">
        <v>35.3637</v>
      </c>
      <c r="I274" s="5">
        <v>33.5114</v>
      </c>
    </row>
    <row r="275" ht="15.75" customHeight="1">
      <c r="A275" s="4">
        <v>44810.0</v>
      </c>
      <c r="B275" s="5">
        <v>94.1917</v>
      </c>
      <c r="C275" s="5">
        <v>76.9653</v>
      </c>
      <c r="D275" s="5">
        <v>23.9714</v>
      </c>
      <c r="E275" s="5">
        <v>137.751</v>
      </c>
      <c r="F275" s="5">
        <v>6.02</v>
      </c>
      <c r="G275" s="5">
        <v>32.3346</v>
      </c>
      <c r="H275" s="5">
        <v>35.0365</v>
      </c>
      <c r="I275" s="5">
        <v>33.5967</v>
      </c>
    </row>
    <row r="276" ht="15.75" customHeight="1">
      <c r="A276" s="4">
        <v>44811.0</v>
      </c>
      <c r="B276" s="5">
        <v>93.3882</v>
      </c>
      <c r="C276" s="5">
        <v>78.9147</v>
      </c>
      <c r="D276" s="5">
        <v>24.2668</v>
      </c>
      <c r="E276" s="5">
        <v>140.547</v>
      </c>
      <c r="F276" s="5">
        <v>6.6</v>
      </c>
      <c r="G276" s="5">
        <v>32.4516</v>
      </c>
      <c r="H276" s="5">
        <v>34.6296</v>
      </c>
      <c r="I276" s="5">
        <v>34.6477</v>
      </c>
    </row>
    <row r="277" ht="15.75" customHeight="1">
      <c r="A277" s="4">
        <v>44812.0</v>
      </c>
      <c r="B277" s="5">
        <v>94.1521</v>
      </c>
      <c r="C277" s="5">
        <v>78.5782</v>
      </c>
      <c r="D277" s="5">
        <v>24.523</v>
      </c>
      <c r="E277" s="5">
        <v>142.507</v>
      </c>
      <c r="F277" s="5">
        <v>6.77</v>
      </c>
      <c r="G277" s="5">
        <v>31.5975</v>
      </c>
      <c r="H277" s="5">
        <v>34.7799</v>
      </c>
      <c r="I277" s="5">
        <v>34.6209</v>
      </c>
    </row>
    <row r="278" ht="15.75" customHeight="1">
      <c r="A278" s="4">
        <v>44813.0</v>
      </c>
      <c r="B278" s="5">
        <v>95.7294</v>
      </c>
      <c r="C278" s="5">
        <v>78.6871</v>
      </c>
      <c r="D278" s="5">
        <v>24.8677</v>
      </c>
      <c r="E278" s="5">
        <v>144.964</v>
      </c>
      <c r="F278" s="5">
        <v>6.97</v>
      </c>
      <c r="G278" s="5">
        <v>32.3578</v>
      </c>
      <c r="H278" s="5">
        <v>35.6468</v>
      </c>
      <c r="I278" s="5">
        <v>34.7602</v>
      </c>
    </row>
    <row r="279" ht="15.75" customHeight="1">
      <c r="A279" s="4">
        <v>44816.0</v>
      </c>
      <c r="B279" s="5">
        <v>96.8305</v>
      </c>
      <c r="C279" s="5">
        <v>79.3105</v>
      </c>
      <c r="D279" s="5">
        <v>25.3995</v>
      </c>
      <c r="E279" s="5">
        <v>146.854</v>
      </c>
      <c r="F279" s="5">
        <v>7.02</v>
      </c>
      <c r="G279" s="5">
        <v>33.444</v>
      </c>
      <c r="H279" s="5">
        <v>36.3014</v>
      </c>
      <c r="I279" s="5">
        <v>35.0925</v>
      </c>
    </row>
    <row r="280" ht="15.75" customHeight="1">
      <c r="A280" s="4">
        <v>44817.0</v>
      </c>
      <c r="B280" s="5">
        <v>94.5687</v>
      </c>
      <c r="C280" s="5">
        <v>77.4106</v>
      </c>
      <c r="D280" s="5">
        <v>24.6017</v>
      </c>
      <c r="E280" s="5">
        <v>141.78</v>
      </c>
      <c r="F280" s="5">
        <v>7.11</v>
      </c>
      <c r="G280" s="5">
        <v>32.3776</v>
      </c>
      <c r="H280" s="5">
        <v>35.3859</v>
      </c>
      <c r="I280" s="5">
        <v>34.1581</v>
      </c>
    </row>
    <row r="281" ht="15.75" customHeight="1">
      <c r="A281" s="4">
        <v>44818.0</v>
      </c>
      <c r="B281" s="5">
        <v>96.89</v>
      </c>
      <c r="C281" s="5">
        <v>78.598</v>
      </c>
      <c r="D281" s="5">
        <v>24.976</v>
      </c>
      <c r="E281" s="5">
        <v>142.367</v>
      </c>
      <c r="F281" s="5">
        <v>7.3</v>
      </c>
      <c r="G281" s="5">
        <v>33.0293</v>
      </c>
      <c r="H281" s="5">
        <v>36.3854</v>
      </c>
      <c r="I281" s="5">
        <v>34.4366</v>
      </c>
    </row>
    <row r="282" ht="15.75" customHeight="1">
      <c r="A282" s="4">
        <v>44819.0</v>
      </c>
      <c r="B282" s="5">
        <v>94.0727</v>
      </c>
      <c r="C282" s="5">
        <v>76.4804</v>
      </c>
      <c r="D282" s="5">
        <v>24.9858</v>
      </c>
      <c r="E282" s="5">
        <v>140.387</v>
      </c>
      <c r="F282" s="5">
        <v>6.67</v>
      </c>
      <c r="G282" s="5">
        <v>32.4171</v>
      </c>
      <c r="H282" s="5">
        <v>35.4478</v>
      </c>
      <c r="I282" s="5">
        <v>33.5787</v>
      </c>
    </row>
    <row r="283" ht="15.75" customHeight="1">
      <c r="A283" s="4">
        <v>44820.0</v>
      </c>
      <c r="B283" s="5">
        <v>92.4656</v>
      </c>
      <c r="C283" s="5">
        <v>76.4409</v>
      </c>
      <c r="D283" s="5">
        <v>24.9267</v>
      </c>
      <c r="E283" s="5">
        <v>137.562</v>
      </c>
      <c r="F283" s="5">
        <v>6.97</v>
      </c>
      <c r="G283" s="5">
        <v>31.2914</v>
      </c>
      <c r="H283" s="5">
        <v>34.6916</v>
      </c>
      <c r="I283" s="5">
        <v>33.4529</v>
      </c>
    </row>
    <row r="284" ht="15.75" customHeight="1">
      <c r="A284" s="4">
        <v>44823.0</v>
      </c>
      <c r="B284" s="5">
        <v>92.4557</v>
      </c>
      <c r="C284" s="5">
        <v>77.4502</v>
      </c>
      <c r="D284" s="5">
        <v>25.232</v>
      </c>
      <c r="E284" s="5">
        <v>139.502</v>
      </c>
      <c r="F284" s="5">
        <v>7.21</v>
      </c>
      <c r="G284" s="5">
        <v>31.6568</v>
      </c>
      <c r="H284" s="5">
        <v>34.7139</v>
      </c>
      <c r="I284" s="5">
        <v>33.9006</v>
      </c>
    </row>
    <row r="285" ht="15.75" customHeight="1">
      <c r="A285" s="4">
        <v>44824.0</v>
      </c>
      <c r="B285" s="5">
        <v>91.7018</v>
      </c>
      <c r="C285" s="5">
        <v>76.4112</v>
      </c>
      <c r="D285" s="5">
        <v>24.7103</v>
      </c>
      <c r="E285" s="5">
        <v>138.467</v>
      </c>
      <c r="F285" s="5">
        <v>7.16</v>
      </c>
      <c r="G285" s="5">
        <v>31.4297</v>
      </c>
      <c r="H285" s="5">
        <v>34.4723</v>
      </c>
      <c r="I285" s="5">
        <v>33.4076</v>
      </c>
    </row>
    <row r="286" ht="15.75" customHeight="1">
      <c r="A286" s="4">
        <v>44825.0</v>
      </c>
      <c r="B286" s="5">
        <v>90.2237</v>
      </c>
      <c r="C286" s="5">
        <v>75.3326</v>
      </c>
      <c r="D286" s="5">
        <v>24.244</v>
      </c>
      <c r="E286" s="5">
        <v>137.124</v>
      </c>
      <c r="F286" s="5">
        <v>6.82</v>
      </c>
      <c r="G286" s="5">
        <v>31.0742</v>
      </c>
      <c r="H286" s="5">
        <v>33.9672</v>
      </c>
      <c r="I286" s="5">
        <v>32.9509</v>
      </c>
    </row>
    <row r="287" ht="15.75" customHeight="1">
      <c r="A287" s="4">
        <v>44826.0</v>
      </c>
      <c r="B287" s="5">
        <v>89.8467</v>
      </c>
      <c r="C287" s="5">
        <v>75.1446</v>
      </c>
      <c r="D287" s="5">
        <v>23.8671</v>
      </c>
      <c r="E287" s="5">
        <v>134.438</v>
      </c>
      <c r="F287" s="5">
        <v>6.92</v>
      </c>
      <c r="G287" s="5">
        <v>30.7681</v>
      </c>
      <c r="H287" s="5">
        <v>33.8466</v>
      </c>
      <c r="I287" s="5">
        <v>32.8333</v>
      </c>
    </row>
    <row r="288" ht="15.75" customHeight="1">
      <c r="A288" s="4">
        <v>44827.0</v>
      </c>
      <c r="B288" s="5">
        <v>85.0652</v>
      </c>
      <c r="C288" s="5">
        <v>74.2045</v>
      </c>
      <c r="D288" s="5">
        <v>23.1826</v>
      </c>
      <c r="E288" s="5">
        <v>133.453</v>
      </c>
      <c r="F288" s="5">
        <v>6.23</v>
      </c>
      <c r="G288" s="5">
        <v>28.7834</v>
      </c>
      <c r="H288" s="5">
        <v>31.5126</v>
      </c>
      <c r="I288" s="5">
        <v>32.4534</v>
      </c>
    </row>
    <row r="289" ht="15.75" customHeight="1">
      <c r="A289" s="4">
        <v>44830.0</v>
      </c>
      <c r="B289" s="5">
        <v>83.3093</v>
      </c>
      <c r="C289" s="5">
        <v>72.3838</v>
      </c>
      <c r="D289" s="5">
        <v>22.2898</v>
      </c>
      <c r="E289" s="5">
        <v>132.846</v>
      </c>
      <c r="F289" s="5">
        <v>6.25</v>
      </c>
      <c r="G289" s="5">
        <v>28.0625</v>
      </c>
      <c r="H289" s="5">
        <v>30.739</v>
      </c>
      <c r="I289" s="5">
        <v>31.671</v>
      </c>
    </row>
    <row r="290" ht="15.75" customHeight="1">
      <c r="A290" s="4">
        <v>44831.0</v>
      </c>
      <c r="B290" s="5">
        <v>85.0553</v>
      </c>
      <c r="C290" s="5">
        <v>70.9688</v>
      </c>
      <c r="D290" s="5">
        <v>21.8434</v>
      </c>
      <c r="E290" s="5">
        <v>130.628</v>
      </c>
      <c r="F290" s="5">
        <v>6.21</v>
      </c>
      <c r="G290" s="5">
        <v>28.181</v>
      </c>
      <c r="H290" s="5">
        <v>31.0834</v>
      </c>
      <c r="I290" s="5">
        <v>31.1372</v>
      </c>
    </row>
    <row r="291" ht="15.75" customHeight="1">
      <c r="A291" s="4">
        <v>44832.0</v>
      </c>
      <c r="B291" s="5">
        <v>88.1504</v>
      </c>
      <c r="C291" s="5">
        <v>71.7604</v>
      </c>
      <c r="D291" s="5">
        <v>22.1212</v>
      </c>
      <c r="E291" s="5">
        <v>133.224</v>
      </c>
      <c r="F291" s="5">
        <v>6.39</v>
      </c>
      <c r="G291" s="5">
        <v>29.0401</v>
      </c>
      <c r="H291" s="5">
        <v>32.4605</v>
      </c>
      <c r="I291" s="5">
        <v>31.472</v>
      </c>
    </row>
    <row r="292" ht="15.75" customHeight="1">
      <c r="A292" s="4">
        <v>44833.0</v>
      </c>
      <c r="B292" s="5">
        <v>87.9718</v>
      </c>
      <c r="C292" s="5">
        <v>68.6533</v>
      </c>
      <c r="D292" s="5">
        <v>21.2086</v>
      </c>
      <c r="E292" s="5">
        <v>133.463</v>
      </c>
      <c r="F292" s="5">
        <v>6.22</v>
      </c>
      <c r="G292" s="5">
        <v>28.5958</v>
      </c>
      <c r="H292" s="5">
        <v>32.4605</v>
      </c>
      <c r="I292" s="5">
        <v>30.2102</v>
      </c>
    </row>
    <row r="293" ht="15.75" customHeight="1">
      <c r="A293" s="4">
        <v>44834.0</v>
      </c>
      <c r="B293" s="5">
        <v>86.6127</v>
      </c>
      <c r="C293" s="5">
        <v>67.2877</v>
      </c>
      <c r="D293" s="5">
        <v>20.8316</v>
      </c>
      <c r="E293" s="5">
        <v>132.677</v>
      </c>
      <c r="F293" s="5">
        <v>6.21</v>
      </c>
      <c r="G293" s="5">
        <v>28.2699</v>
      </c>
      <c r="H293" s="5">
        <v>32.2011</v>
      </c>
      <c r="I293" s="5">
        <v>29.6269</v>
      </c>
    </row>
    <row r="294" ht="15.75" customHeight="1">
      <c r="A294" s="4">
        <v>44837.0</v>
      </c>
      <c r="B294" s="5">
        <v>91.1859</v>
      </c>
      <c r="C294" s="5">
        <v>68.9996</v>
      </c>
      <c r="D294" s="5">
        <v>21.2978</v>
      </c>
      <c r="E294" s="5">
        <v>137.084</v>
      </c>
      <c r="F294" s="5">
        <v>6.82</v>
      </c>
      <c r="G294" s="5">
        <v>29.0598</v>
      </c>
      <c r="H294" s="5">
        <v>34.0209</v>
      </c>
      <c r="I294" s="5">
        <v>30.4952</v>
      </c>
    </row>
    <row r="295" ht="15.75" customHeight="1">
      <c r="A295" s="4">
        <v>44838.0</v>
      </c>
      <c r="B295" s="5">
        <v>94.5092</v>
      </c>
      <c r="C295" s="5">
        <v>69.9496</v>
      </c>
      <c r="D295" s="5">
        <v>22.7561</v>
      </c>
      <c r="E295" s="5">
        <v>142.745</v>
      </c>
      <c r="F295" s="5">
        <v>6.93</v>
      </c>
      <c r="G295" s="5">
        <v>30.3237</v>
      </c>
      <c r="H295" s="5">
        <v>35.4829</v>
      </c>
      <c r="I295" s="5">
        <v>31.1419</v>
      </c>
    </row>
    <row r="296" ht="15.75" customHeight="1">
      <c r="A296" s="4">
        <v>44839.0</v>
      </c>
      <c r="B296" s="5">
        <v>98.3284</v>
      </c>
      <c r="C296" s="5">
        <v>68.0101</v>
      </c>
      <c r="D296" s="5">
        <v>22.7065</v>
      </c>
      <c r="E296" s="5">
        <v>143.76</v>
      </c>
      <c r="F296" s="5">
        <v>7.4</v>
      </c>
      <c r="G296" s="5">
        <v>30.0769</v>
      </c>
      <c r="H296" s="5">
        <v>36.2163</v>
      </c>
      <c r="I296" s="5">
        <v>30.4499</v>
      </c>
    </row>
    <row r="297" ht="15.75" customHeight="1">
      <c r="A297" s="4">
        <v>44840.0</v>
      </c>
      <c r="B297" s="5">
        <v>101.245</v>
      </c>
      <c r="C297" s="5">
        <v>65.0415</v>
      </c>
      <c r="D297" s="5">
        <v>22.4684</v>
      </c>
      <c r="E297" s="5">
        <v>141.721</v>
      </c>
      <c r="F297" s="5">
        <v>7.21</v>
      </c>
      <c r="G297" s="5">
        <v>29.7313</v>
      </c>
      <c r="H297" s="5">
        <v>36.8601</v>
      </c>
      <c r="I297" s="5">
        <v>29.4459</v>
      </c>
    </row>
    <row r="298" ht="15.75" customHeight="1">
      <c r="A298" s="4">
        <v>44841.0</v>
      </c>
      <c r="B298" s="5">
        <v>100.223</v>
      </c>
      <c r="C298" s="5">
        <v>63.4484</v>
      </c>
      <c r="D298" s="5">
        <v>21.7938</v>
      </c>
      <c r="E298" s="5">
        <v>136.129</v>
      </c>
      <c r="F298" s="5">
        <v>7.19</v>
      </c>
      <c r="G298" s="5">
        <v>29.4153</v>
      </c>
      <c r="H298" s="5">
        <v>36.5738</v>
      </c>
      <c r="I298" s="5">
        <v>28.8354</v>
      </c>
    </row>
    <row r="299" ht="15.75" customHeight="1">
      <c r="A299" s="4">
        <v>44844.0</v>
      </c>
      <c r="B299" s="5">
        <v>98.0507</v>
      </c>
      <c r="C299" s="5">
        <v>63.3197</v>
      </c>
      <c r="D299" s="5">
        <v>21.5062</v>
      </c>
      <c r="E299" s="5">
        <v>135.682</v>
      </c>
      <c r="F299" s="5">
        <v>6.88</v>
      </c>
      <c r="G299" s="5">
        <v>28.9808</v>
      </c>
      <c r="H299" s="5">
        <v>35.8227</v>
      </c>
      <c r="I299" s="5">
        <v>28.8852</v>
      </c>
    </row>
    <row r="300" ht="15.75" customHeight="1">
      <c r="A300" s="4">
        <v>44845.0</v>
      </c>
      <c r="B300" s="5">
        <v>97.2174</v>
      </c>
      <c r="C300" s="5">
        <v>62.9734</v>
      </c>
      <c r="D300" s="5">
        <v>21.6252</v>
      </c>
      <c r="E300" s="5">
        <v>135.721</v>
      </c>
      <c r="F300" s="5">
        <v>6.73</v>
      </c>
      <c r="G300" s="5">
        <v>29.3758</v>
      </c>
      <c r="H300" s="5">
        <v>35.5365</v>
      </c>
      <c r="I300" s="5">
        <v>28.7811</v>
      </c>
    </row>
    <row r="301" ht="15.75" customHeight="1">
      <c r="A301" s="4">
        <v>44846.0</v>
      </c>
      <c r="B301" s="5">
        <v>97.6439</v>
      </c>
      <c r="C301" s="5">
        <v>60.8558</v>
      </c>
      <c r="D301" s="5">
        <v>21.2681</v>
      </c>
      <c r="E301" s="5">
        <v>134.756</v>
      </c>
      <c r="F301" s="5">
        <v>6.6</v>
      </c>
      <c r="G301" s="5">
        <v>28.9907</v>
      </c>
      <c r="H301" s="5">
        <v>35.8227</v>
      </c>
      <c r="I301" s="5">
        <v>27.8223</v>
      </c>
    </row>
    <row r="302" ht="15.75" customHeight="1">
      <c r="A302" s="4">
        <v>44847.0</v>
      </c>
      <c r="B302" s="5">
        <v>101.056</v>
      </c>
      <c r="C302" s="5">
        <v>63.3791</v>
      </c>
      <c r="D302" s="5">
        <v>21.5062</v>
      </c>
      <c r="E302" s="5">
        <v>137.393</v>
      </c>
      <c r="F302" s="5">
        <v>6.87</v>
      </c>
      <c r="G302" s="5">
        <v>30.0275</v>
      </c>
      <c r="H302" s="5">
        <v>37.2848</v>
      </c>
      <c r="I302" s="5">
        <v>28.5188</v>
      </c>
    </row>
    <row r="303" ht="15.75" customHeight="1">
      <c r="A303" s="4">
        <v>44848.0</v>
      </c>
      <c r="B303" s="5">
        <v>98.3979</v>
      </c>
      <c r="C303" s="5">
        <v>62.8448</v>
      </c>
      <c r="D303" s="5">
        <v>21.2482</v>
      </c>
      <c r="E303" s="5">
        <v>133.622</v>
      </c>
      <c r="F303" s="5">
        <v>6.66</v>
      </c>
      <c r="G303" s="5">
        <v>29.0401</v>
      </c>
      <c r="H303" s="5">
        <v>35.8942</v>
      </c>
      <c r="I303" s="5">
        <v>28.1073</v>
      </c>
    </row>
    <row r="304" ht="15.75" customHeight="1">
      <c r="A304" s="4">
        <v>44851.0</v>
      </c>
      <c r="B304" s="5">
        <v>99.8165</v>
      </c>
      <c r="C304" s="5">
        <v>63.6067</v>
      </c>
      <c r="D304" s="5">
        <v>21.8534</v>
      </c>
      <c r="E304" s="5">
        <v>137.512</v>
      </c>
      <c r="F304" s="5">
        <v>7.07</v>
      </c>
      <c r="G304" s="5">
        <v>29.5832</v>
      </c>
      <c r="H304" s="5">
        <v>36.3414</v>
      </c>
      <c r="I304" s="5">
        <v>28.6953</v>
      </c>
    </row>
    <row r="305" ht="15.75" customHeight="1">
      <c r="A305" s="4">
        <v>44852.0</v>
      </c>
      <c r="B305" s="5">
        <v>99.995</v>
      </c>
      <c r="C305" s="5">
        <v>64.7051</v>
      </c>
      <c r="D305" s="5">
        <v>22.3791</v>
      </c>
      <c r="E305" s="5">
        <v>139.92</v>
      </c>
      <c r="F305" s="5">
        <v>6.94</v>
      </c>
      <c r="G305" s="5">
        <v>30.0571</v>
      </c>
      <c r="H305" s="5">
        <v>36.6588</v>
      </c>
      <c r="I305" s="5">
        <v>29.2197</v>
      </c>
    </row>
    <row r="306" ht="15.75" customHeight="1">
      <c r="A306" s="4">
        <v>44853.0</v>
      </c>
      <c r="B306" s="5">
        <v>102.961</v>
      </c>
      <c r="C306" s="5">
        <v>64.0124</v>
      </c>
      <c r="D306" s="5">
        <v>22.022</v>
      </c>
      <c r="E306" s="5">
        <v>138.288</v>
      </c>
      <c r="F306" s="5">
        <v>7.04</v>
      </c>
      <c r="G306" s="5">
        <v>30.4916</v>
      </c>
      <c r="H306" s="5">
        <v>37.7409</v>
      </c>
      <c r="I306" s="5">
        <v>28.84</v>
      </c>
    </row>
    <row r="307" ht="15.75" customHeight="1">
      <c r="A307" s="4">
        <v>44854.0</v>
      </c>
      <c r="B307" s="5">
        <v>103.1</v>
      </c>
      <c r="C307" s="5">
        <v>62.8349</v>
      </c>
      <c r="D307" s="5">
        <v>21.3474</v>
      </c>
      <c r="E307" s="5">
        <v>134.567</v>
      </c>
      <c r="F307" s="5">
        <v>7.05</v>
      </c>
      <c r="G307" s="5">
        <v>30.5113</v>
      </c>
      <c r="H307" s="5">
        <v>37.7768</v>
      </c>
      <c r="I307" s="5">
        <v>28.1119</v>
      </c>
    </row>
    <row r="308" ht="15.75" customHeight="1">
      <c r="A308" s="4">
        <v>44855.0</v>
      </c>
      <c r="B308" s="5">
        <v>105.015</v>
      </c>
      <c r="C308" s="5">
        <v>63.8244</v>
      </c>
      <c r="D308" s="5">
        <v>21.5756</v>
      </c>
      <c r="E308" s="5">
        <v>138.617</v>
      </c>
      <c r="F308" s="5">
        <v>7.17</v>
      </c>
      <c r="G308" s="5">
        <v>31.1236</v>
      </c>
      <c r="H308" s="5">
        <v>38.8677</v>
      </c>
      <c r="I308" s="5">
        <v>28.632</v>
      </c>
    </row>
    <row r="309" ht="15.75" customHeight="1">
      <c r="A309" s="4">
        <v>44858.0</v>
      </c>
      <c r="B309" s="5">
        <v>105.749</v>
      </c>
      <c r="C309" s="5">
        <v>63.9135</v>
      </c>
      <c r="D309" s="5">
        <v>21.3177</v>
      </c>
      <c r="E309" s="5">
        <v>140.845</v>
      </c>
      <c r="F309" s="5">
        <v>7.39</v>
      </c>
      <c r="G309" s="5">
        <v>30.7088</v>
      </c>
      <c r="H309" s="5">
        <v>39.0509</v>
      </c>
      <c r="I309" s="5">
        <v>28.8716</v>
      </c>
    </row>
    <row r="310" ht="15.75" customHeight="1">
      <c r="A310" s="4">
        <v>44859.0</v>
      </c>
      <c r="B310" s="5">
        <v>105.034</v>
      </c>
      <c r="C310" s="5">
        <v>65.0316</v>
      </c>
      <c r="D310" s="5">
        <v>21.8137</v>
      </c>
      <c r="E310" s="5">
        <v>145.302</v>
      </c>
      <c r="F310" s="5">
        <v>7.63</v>
      </c>
      <c r="G310" s="5">
        <v>31.4494</v>
      </c>
      <c r="H310" s="5">
        <v>39.0912</v>
      </c>
      <c r="I310" s="5">
        <v>29.4505</v>
      </c>
    </row>
    <row r="311" ht="15.75" customHeight="1">
      <c r="A311" s="4">
        <v>44860.0</v>
      </c>
      <c r="B311" s="5">
        <v>106.284</v>
      </c>
      <c r="C311" s="5">
        <v>64.9525</v>
      </c>
      <c r="D311" s="5">
        <v>21.7244</v>
      </c>
      <c r="E311" s="5">
        <v>144.775</v>
      </c>
      <c r="F311" s="5">
        <v>7.78</v>
      </c>
      <c r="G311" s="5">
        <v>31.7456</v>
      </c>
      <c r="H311" s="5">
        <v>39.6232</v>
      </c>
      <c r="I311" s="5">
        <v>29.4369</v>
      </c>
    </row>
    <row r="312" ht="15.75" customHeight="1">
      <c r="A312" s="4">
        <v>44861.0</v>
      </c>
      <c r="B312" s="5">
        <v>106.691</v>
      </c>
      <c r="C312" s="5">
        <v>64.4874</v>
      </c>
      <c r="D312" s="5">
        <v>21.8038</v>
      </c>
      <c r="E312" s="5">
        <v>145.939</v>
      </c>
      <c r="F312" s="5">
        <v>7.87</v>
      </c>
      <c r="G312" s="5">
        <v>32.0912</v>
      </c>
      <c r="H312" s="5">
        <v>39.7662</v>
      </c>
      <c r="I312" s="5">
        <v>29.6721</v>
      </c>
    </row>
    <row r="313" ht="15.75" customHeight="1">
      <c r="A313" s="4">
        <v>44862.0</v>
      </c>
      <c r="B313" s="5">
        <v>109.816</v>
      </c>
      <c r="C313" s="5">
        <v>65.6451</v>
      </c>
      <c r="D313" s="5">
        <v>22.7957</v>
      </c>
      <c r="E313" s="5">
        <v>149.511</v>
      </c>
      <c r="F313" s="5">
        <v>7.64</v>
      </c>
      <c r="G313" s="5">
        <v>32.2591</v>
      </c>
      <c r="H313" s="5">
        <v>39.9048</v>
      </c>
      <c r="I313" s="5">
        <v>30.4861</v>
      </c>
    </row>
    <row r="314" ht="15.75" customHeight="1">
      <c r="A314" s="4">
        <v>44865.0</v>
      </c>
      <c r="B314" s="5">
        <v>109.925</v>
      </c>
      <c r="C314" s="5">
        <v>64.7941</v>
      </c>
      <c r="D314" s="5">
        <v>22.7858</v>
      </c>
      <c r="E314" s="5">
        <v>149.302</v>
      </c>
      <c r="F314" s="5">
        <v>7.64</v>
      </c>
      <c r="G314" s="5">
        <v>32.3183</v>
      </c>
      <c r="H314" s="5">
        <v>40.2402</v>
      </c>
      <c r="I314" s="5">
        <v>30.2012</v>
      </c>
    </row>
    <row r="315" ht="15.75" customHeight="1">
      <c r="A315" s="4">
        <v>44866.0</v>
      </c>
      <c r="B315" s="5">
        <v>111.016</v>
      </c>
      <c r="C315" s="5">
        <v>64.8436</v>
      </c>
      <c r="D315" s="5">
        <v>22.6866</v>
      </c>
      <c r="E315" s="5">
        <v>150.864</v>
      </c>
      <c r="F315" s="5">
        <v>8.26</v>
      </c>
      <c r="G315" s="5">
        <v>33.0194</v>
      </c>
      <c r="H315" s="5">
        <v>40.6291</v>
      </c>
      <c r="I315" s="5">
        <v>30.3187</v>
      </c>
    </row>
    <row r="316" ht="15.75" customHeight="1">
      <c r="A316" s="4">
        <v>44867.0</v>
      </c>
      <c r="B316" s="5">
        <v>108.735</v>
      </c>
      <c r="C316" s="5">
        <v>64.1213</v>
      </c>
      <c r="D316" s="5">
        <v>22.6866</v>
      </c>
      <c r="E316" s="5">
        <v>149.839</v>
      </c>
      <c r="F316" s="5">
        <v>7.93</v>
      </c>
      <c r="G316" s="5">
        <v>32.6244</v>
      </c>
      <c r="H316" s="5">
        <v>39.65</v>
      </c>
      <c r="I316" s="5">
        <v>30.0249</v>
      </c>
    </row>
    <row r="317" ht="15.75" customHeight="1">
      <c r="A317" s="4">
        <v>44868.0</v>
      </c>
      <c r="B317" s="5">
        <v>110.213</v>
      </c>
      <c r="C317" s="5">
        <v>64.1707</v>
      </c>
      <c r="D317" s="5">
        <v>23.0437</v>
      </c>
      <c r="E317" s="5">
        <v>153.798</v>
      </c>
      <c r="F317" s="5">
        <v>8.12</v>
      </c>
      <c r="G317" s="5">
        <v>32.733</v>
      </c>
      <c r="H317" s="5">
        <v>40.3833</v>
      </c>
      <c r="I317" s="5">
        <v>30.1561</v>
      </c>
    </row>
    <row r="318" ht="15.75" customHeight="1">
      <c r="A318" s="4">
        <v>44869.0</v>
      </c>
      <c r="B318" s="5">
        <v>111.413</v>
      </c>
      <c r="C318" s="5">
        <v>64.2301</v>
      </c>
      <c r="D318" s="5">
        <v>22.6668</v>
      </c>
      <c r="E318" s="5">
        <v>157.877</v>
      </c>
      <c r="F318" s="5">
        <v>8.04</v>
      </c>
      <c r="G318" s="5">
        <v>33.1181</v>
      </c>
      <c r="H318" s="5">
        <v>40.8751</v>
      </c>
      <c r="I318" s="5">
        <v>30.3413</v>
      </c>
    </row>
    <row r="319" ht="15.75" customHeight="1">
      <c r="A319" s="4">
        <v>44872.0</v>
      </c>
      <c r="B319" s="5">
        <v>112.732</v>
      </c>
      <c r="C319" s="5">
        <v>62.6963</v>
      </c>
      <c r="D319" s="5">
        <v>23.6389</v>
      </c>
      <c r="E319" s="5">
        <v>157.589</v>
      </c>
      <c r="F319" s="5">
        <v>7.93</v>
      </c>
      <c r="G319" s="5">
        <v>33.4144</v>
      </c>
      <c r="H319" s="5">
        <v>41.577</v>
      </c>
      <c r="I319" s="5">
        <v>29.7625</v>
      </c>
    </row>
    <row r="320" ht="15.75" customHeight="1">
      <c r="A320" s="4">
        <v>44873.0</v>
      </c>
      <c r="B320" s="5">
        <v>113.09</v>
      </c>
      <c r="C320" s="5">
        <v>63.2802</v>
      </c>
      <c r="D320" s="5">
        <v>23.9266</v>
      </c>
      <c r="E320" s="5">
        <v>157.38</v>
      </c>
      <c r="F320" s="5">
        <v>7.75</v>
      </c>
      <c r="G320" s="5">
        <v>33.5329</v>
      </c>
      <c r="H320" s="5">
        <v>41.6173</v>
      </c>
      <c r="I320" s="5">
        <v>29.9705</v>
      </c>
    </row>
    <row r="321" ht="15.75" customHeight="1">
      <c r="A321" s="4">
        <v>44874.0</v>
      </c>
      <c r="B321" s="5">
        <v>108.03</v>
      </c>
      <c r="C321" s="5">
        <v>62.7755</v>
      </c>
      <c r="D321" s="5">
        <v>23.3612</v>
      </c>
      <c r="E321" s="5">
        <v>156.3</v>
      </c>
      <c r="F321" s="5">
        <v>7.12</v>
      </c>
      <c r="G321" s="5">
        <v>32.2591</v>
      </c>
      <c r="H321" s="5">
        <v>39.583</v>
      </c>
      <c r="I321" s="5">
        <v>29.7355</v>
      </c>
    </row>
    <row r="322" ht="15.75" customHeight="1">
      <c r="A322" s="4">
        <v>44875.0</v>
      </c>
      <c r="B322" s="5">
        <v>109.618</v>
      </c>
      <c r="C322" s="5">
        <v>65.0217</v>
      </c>
      <c r="D322" s="5">
        <v>24.3928</v>
      </c>
      <c r="E322" s="5">
        <v>162.13</v>
      </c>
      <c r="F322" s="5">
        <v>7.19</v>
      </c>
      <c r="G322" s="5">
        <v>33.1971</v>
      </c>
      <c r="H322" s="5">
        <v>40.4638</v>
      </c>
      <c r="I322" s="5">
        <v>31.1372</v>
      </c>
    </row>
    <row r="323" ht="15.75" customHeight="1">
      <c r="A323" s="4">
        <v>44876.0</v>
      </c>
      <c r="B323" s="5">
        <v>113.04</v>
      </c>
      <c r="C323" s="5">
        <v>64.4082</v>
      </c>
      <c r="D323" s="5">
        <v>23.8968</v>
      </c>
      <c r="E323" s="5">
        <v>161.6</v>
      </c>
      <c r="F323" s="5">
        <v>7.65</v>
      </c>
      <c r="G323" s="5">
        <v>33.6514</v>
      </c>
      <c r="H323" s="5">
        <v>41.6398</v>
      </c>
      <c r="I323" s="5">
        <v>30.789</v>
      </c>
    </row>
    <row r="324" ht="15.75" customHeight="1">
      <c r="A324" s="4">
        <v>44879.0</v>
      </c>
      <c r="B324" s="5">
        <v>113.37</v>
      </c>
      <c r="C324" s="5">
        <v>63.864</v>
      </c>
      <c r="D324" s="5">
        <v>22.766</v>
      </c>
      <c r="E324" s="5">
        <v>161.65</v>
      </c>
      <c r="F324" s="5">
        <v>8.04</v>
      </c>
      <c r="G324" s="5">
        <v>33.3453</v>
      </c>
      <c r="H324" s="5">
        <v>41.6263</v>
      </c>
      <c r="I324" s="5">
        <v>30.4227</v>
      </c>
    </row>
    <row r="325" ht="15.75" customHeight="1">
      <c r="A325" s="4">
        <v>44880.0</v>
      </c>
      <c r="B325" s="5">
        <v>114.13</v>
      </c>
      <c r="C325" s="5">
        <v>65.1998</v>
      </c>
      <c r="D325" s="5">
        <v>22.518</v>
      </c>
      <c r="E325" s="5">
        <v>162.39</v>
      </c>
      <c r="F325" s="5">
        <v>8.08</v>
      </c>
      <c r="G325" s="5">
        <v>33.4736</v>
      </c>
      <c r="H325" s="5">
        <v>42.0645</v>
      </c>
      <c r="I325" s="5">
        <v>30.7574</v>
      </c>
    </row>
    <row r="326" ht="15.75" customHeight="1">
      <c r="A326" s="4">
        <v>44881.0</v>
      </c>
      <c r="B326" s="5">
        <v>112.91</v>
      </c>
      <c r="C326" s="5">
        <v>65.1405</v>
      </c>
      <c r="D326" s="5">
        <v>22.6469</v>
      </c>
      <c r="E326" s="5">
        <v>161.74</v>
      </c>
      <c r="F326" s="5">
        <v>7.64</v>
      </c>
      <c r="G326" s="5">
        <v>33.3453</v>
      </c>
      <c r="H326" s="5">
        <v>41.206</v>
      </c>
      <c r="I326" s="5">
        <v>31.0333</v>
      </c>
    </row>
    <row r="327" ht="15.75" customHeight="1">
      <c r="A327" s="4">
        <v>44882.0</v>
      </c>
      <c r="B327" s="5">
        <v>113.06</v>
      </c>
      <c r="C327" s="5">
        <v>64.24</v>
      </c>
      <c r="D327" s="5">
        <v>22.2799</v>
      </c>
      <c r="E327" s="5">
        <v>162.63</v>
      </c>
      <c r="F327" s="5">
        <v>7.39</v>
      </c>
      <c r="G327" s="5">
        <v>32.6837</v>
      </c>
      <c r="H327" s="5">
        <v>41.2954</v>
      </c>
      <c r="I327" s="5">
        <v>30.4906</v>
      </c>
    </row>
    <row r="328" ht="15.75" customHeight="1">
      <c r="A328" s="4">
        <v>44883.0</v>
      </c>
      <c r="B328" s="5">
        <v>112.08</v>
      </c>
      <c r="C328" s="5">
        <v>65.57</v>
      </c>
      <c r="D328" s="5">
        <v>22.7263</v>
      </c>
      <c r="E328" s="5">
        <v>165.01</v>
      </c>
      <c r="F328" s="5">
        <v>7.36</v>
      </c>
      <c r="G328" s="5">
        <v>32.9799</v>
      </c>
      <c r="H328" s="5">
        <v>40.9691</v>
      </c>
      <c r="I328" s="5">
        <v>31.1372</v>
      </c>
    </row>
    <row r="329" ht="15.75" customHeight="1">
      <c r="A329" s="4">
        <v>44886.0</v>
      </c>
      <c r="B329" s="5">
        <v>110.97</v>
      </c>
      <c r="C329" s="5">
        <v>65.73</v>
      </c>
      <c r="D329" s="5">
        <v>22.6965</v>
      </c>
      <c r="E329" s="5">
        <v>164.55</v>
      </c>
      <c r="F329" s="5">
        <v>7.27</v>
      </c>
      <c r="G329" s="5">
        <v>32.733</v>
      </c>
      <c r="H329" s="5">
        <v>40.4147</v>
      </c>
      <c r="I329" s="5">
        <v>31.2775</v>
      </c>
    </row>
    <row r="330" ht="15.75" customHeight="1">
      <c r="A330" s="4">
        <v>44887.0</v>
      </c>
      <c r="B330" s="5">
        <v>114.18</v>
      </c>
      <c r="C330" s="5">
        <v>65.95</v>
      </c>
      <c r="D330" s="5">
        <v>23.2421</v>
      </c>
      <c r="E330" s="5">
        <v>166.48</v>
      </c>
      <c r="F330" s="5">
        <v>7.48</v>
      </c>
      <c r="G330" s="5">
        <v>33.7797</v>
      </c>
      <c r="H330" s="5">
        <v>41.6799</v>
      </c>
      <c r="I330" s="5">
        <v>31.5443</v>
      </c>
    </row>
    <row r="331" ht="15.75" customHeight="1">
      <c r="A331" s="4">
        <v>44888.0</v>
      </c>
      <c r="B331" s="5">
        <v>113.61</v>
      </c>
      <c r="C331" s="5">
        <v>66.36</v>
      </c>
      <c r="D331" s="5">
        <v>23.8076</v>
      </c>
      <c r="E331" s="5">
        <v>165.36</v>
      </c>
      <c r="F331" s="5">
        <v>7.66</v>
      </c>
      <c r="G331" s="5">
        <v>33.4045</v>
      </c>
      <c r="H331" s="5">
        <v>41.2283</v>
      </c>
      <c r="I331" s="5">
        <v>31.8972</v>
      </c>
    </row>
    <row r="332" ht="15.75" customHeight="1">
      <c r="A332" s="4">
        <v>44890.0</v>
      </c>
      <c r="B332" s="5">
        <v>113.21</v>
      </c>
      <c r="C332" s="5">
        <v>66.91</v>
      </c>
      <c r="D332" s="5">
        <v>23.8869</v>
      </c>
      <c r="E332" s="5">
        <v>166.11</v>
      </c>
      <c r="F332" s="5">
        <v>8.22</v>
      </c>
      <c r="G332" s="5">
        <v>33.4736</v>
      </c>
      <c r="H332" s="5">
        <v>41.0763</v>
      </c>
      <c r="I332" s="5">
        <v>32.0825</v>
      </c>
    </row>
    <row r="333" ht="15.75" customHeight="1">
      <c r="A333" s="4">
        <v>44893.0</v>
      </c>
      <c r="B333" s="5">
        <v>109.81</v>
      </c>
      <c r="C333" s="5">
        <v>65.84</v>
      </c>
      <c r="D333" s="5">
        <v>23.5992</v>
      </c>
      <c r="E333" s="5">
        <v>162.55</v>
      </c>
      <c r="F333" s="5">
        <v>8.28</v>
      </c>
      <c r="G333" s="5">
        <v>33.0589</v>
      </c>
      <c r="H333" s="5">
        <v>39.9495</v>
      </c>
      <c r="I333" s="5">
        <v>31.7525</v>
      </c>
    </row>
    <row r="334" ht="15.75" customHeight="1">
      <c r="A334" s="4">
        <v>44894.0</v>
      </c>
      <c r="B334" s="5">
        <v>110.54</v>
      </c>
      <c r="C334" s="5">
        <v>65.73</v>
      </c>
      <c r="D334" s="5">
        <v>24.0357</v>
      </c>
      <c r="E334" s="5">
        <v>162.15</v>
      </c>
      <c r="F334" s="5">
        <v>8.6</v>
      </c>
      <c r="G334" s="5">
        <v>33.8883</v>
      </c>
      <c r="H334" s="5">
        <v>40.5533</v>
      </c>
      <c r="I334" s="5">
        <v>31.5172</v>
      </c>
    </row>
    <row r="335" ht="15.75" customHeight="1">
      <c r="A335" s="4">
        <v>44895.0</v>
      </c>
      <c r="B335" s="5">
        <v>111.34</v>
      </c>
      <c r="C335" s="5">
        <v>67.64</v>
      </c>
      <c r="D335" s="5">
        <v>24.1349</v>
      </c>
      <c r="E335" s="5">
        <v>163.45</v>
      </c>
      <c r="F335" s="5">
        <v>8.39</v>
      </c>
      <c r="G335" s="5">
        <v>34.2636</v>
      </c>
      <c r="H335" s="5">
        <v>40.7544</v>
      </c>
      <c r="I335" s="5">
        <v>32.304</v>
      </c>
    </row>
    <row r="336" ht="15.75" customHeight="1">
      <c r="A336" s="4">
        <v>44896.0</v>
      </c>
      <c r="B336" s="5">
        <v>110.8</v>
      </c>
      <c r="C336" s="5">
        <v>67.72</v>
      </c>
      <c r="D336" s="5">
        <v>24.3333</v>
      </c>
      <c r="E336" s="5">
        <v>163.36</v>
      </c>
      <c r="F336" s="5">
        <v>8.38</v>
      </c>
      <c r="G336" s="5">
        <v>34.4808</v>
      </c>
      <c r="H336" s="5">
        <v>40.6203</v>
      </c>
      <c r="I336" s="5">
        <v>32.277</v>
      </c>
    </row>
    <row r="337" ht="15.75" customHeight="1">
      <c r="A337" s="4">
        <v>44897.0</v>
      </c>
      <c r="B337" s="5">
        <v>109.86</v>
      </c>
      <c r="C337" s="5">
        <v>67.34</v>
      </c>
      <c r="D337" s="5">
        <v>23.7976</v>
      </c>
      <c r="E337" s="5">
        <v>163.31</v>
      </c>
      <c r="F337" s="5">
        <v>8.26</v>
      </c>
      <c r="G337" s="5">
        <v>34.5203</v>
      </c>
      <c r="H337" s="5">
        <v>40.3788</v>
      </c>
      <c r="I337" s="5">
        <v>32.1232</v>
      </c>
    </row>
    <row r="338" ht="15.75" customHeight="1">
      <c r="A338" s="4">
        <v>44900.0</v>
      </c>
      <c r="B338" s="5">
        <v>106.85</v>
      </c>
      <c r="C338" s="5">
        <v>67.48</v>
      </c>
      <c r="D338" s="5">
        <v>23.2521</v>
      </c>
      <c r="E338" s="5">
        <v>160.36</v>
      </c>
      <c r="F338" s="5">
        <v>7.78</v>
      </c>
      <c r="G338" s="5">
        <v>33.7402</v>
      </c>
      <c r="H338" s="5">
        <v>39.1806</v>
      </c>
      <c r="I338" s="5">
        <v>31.9423</v>
      </c>
    </row>
    <row r="339" ht="15.75" customHeight="1">
      <c r="A339" s="4">
        <v>44901.0</v>
      </c>
      <c r="B339" s="5">
        <v>103.88</v>
      </c>
      <c r="C339" s="5">
        <v>68.48</v>
      </c>
      <c r="D339" s="5">
        <v>23.5298</v>
      </c>
      <c r="E339" s="5">
        <v>157.81</v>
      </c>
      <c r="F339" s="5">
        <v>7.65</v>
      </c>
      <c r="G339" s="5">
        <v>33.049</v>
      </c>
      <c r="H339" s="5">
        <v>38.1478</v>
      </c>
      <c r="I339" s="5">
        <v>32.1414</v>
      </c>
    </row>
    <row r="340" ht="15.75" customHeight="1">
      <c r="A340" s="4">
        <v>44902.0</v>
      </c>
      <c r="B340" s="5">
        <v>103.65</v>
      </c>
      <c r="C340" s="5">
        <v>68.5</v>
      </c>
      <c r="D340" s="5">
        <v>23.4504</v>
      </c>
      <c r="E340" s="5">
        <v>157.27</v>
      </c>
      <c r="F340" s="5">
        <v>7.78</v>
      </c>
      <c r="G340" s="5">
        <v>33.365</v>
      </c>
      <c r="H340" s="5">
        <v>38.0584</v>
      </c>
      <c r="I340" s="5">
        <v>31.9921</v>
      </c>
    </row>
    <row r="341" ht="15.75" customHeight="1">
      <c r="A341" s="4">
        <v>44903.0</v>
      </c>
      <c r="B341" s="5">
        <v>104.42</v>
      </c>
      <c r="C341" s="5">
        <v>68.68</v>
      </c>
      <c r="D341" s="5">
        <v>23.4008</v>
      </c>
      <c r="E341" s="5">
        <v>158.75</v>
      </c>
      <c r="F341" s="5">
        <v>7.4</v>
      </c>
      <c r="G341" s="5">
        <v>32.91</v>
      </c>
      <c r="H341" s="5">
        <v>37.8885</v>
      </c>
      <c r="I341" s="5">
        <v>32.2001</v>
      </c>
    </row>
    <row r="342" ht="15.75" customHeight="1">
      <c r="A342" s="4">
        <v>44904.0</v>
      </c>
      <c r="B342" s="5">
        <v>103.54</v>
      </c>
      <c r="C342" s="5">
        <v>68.36</v>
      </c>
      <c r="D342" s="5">
        <v>23.6687</v>
      </c>
      <c r="E342" s="5">
        <v>158.28</v>
      </c>
      <c r="F342" s="5">
        <v>7.38</v>
      </c>
      <c r="G342" s="5">
        <v>32.59</v>
      </c>
      <c r="H342" s="5">
        <v>36.9673</v>
      </c>
      <c r="I342" s="5">
        <v>32.0329</v>
      </c>
    </row>
    <row r="343" ht="15.75" customHeight="1">
      <c r="A343" s="4">
        <v>44907.0</v>
      </c>
      <c r="B343" s="5">
        <v>106.09</v>
      </c>
      <c r="C343" s="5">
        <v>71.03</v>
      </c>
      <c r="D343" s="5">
        <v>24.0258</v>
      </c>
      <c r="E343" s="5">
        <v>160.83</v>
      </c>
      <c r="F343" s="5">
        <v>7.49</v>
      </c>
      <c r="G343" s="5">
        <v>33.19</v>
      </c>
      <c r="H343" s="5">
        <v>37.9376</v>
      </c>
      <c r="I343" s="5">
        <v>32.7654</v>
      </c>
    </row>
    <row r="344" ht="15.75" customHeight="1">
      <c r="A344" s="4">
        <v>44908.0</v>
      </c>
      <c r="B344" s="5">
        <v>107.25</v>
      </c>
      <c r="C344" s="5">
        <v>71.21</v>
      </c>
      <c r="D344" s="5">
        <v>24.0952</v>
      </c>
      <c r="E344" s="5">
        <v>163.64</v>
      </c>
      <c r="F344" s="5">
        <v>7.51</v>
      </c>
      <c r="G344" s="5">
        <v>33.79</v>
      </c>
      <c r="H344" s="5">
        <v>38.6575</v>
      </c>
      <c r="I344" s="5">
        <v>32.865</v>
      </c>
    </row>
    <row r="345" ht="15.75" customHeight="1">
      <c r="A345" s="4">
        <v>44909.0</v>
      </c>
      <c r="B345" s="5">
        <v>106.46</v>
      </c>
      <c r="C345" s="5">
        <v>71.11</v>
      </c>
      <c r="D345" s="5">
        <v>24.1548</v>
      </c>
      <c r="E345" s="5">
        <v>161.36</v>
      </c>
      <c r="F345" s="5">
        <v>7.39</v>
      </c>
      <c r="G345" s="5">
        <v>33.72</v>
      </c>
      <c r="H345" s="5">
        <v>38.4205</v>
      </c>
      <c r="I345" s="5">
        <v>32.8243</v>
      </c>
    </row>
    <row r="346" ht="15.75" customHeight="1">
      <c r="A346" s="4">
        <v>44910.0</v>
      </c>
      <c r="B346" s="5">
        <v>105.44</v>
      </c>
      <c r="C346" s="5">
        <v>70.37</v>
      </c>
      <c r="D346" s="5">
        <v>24.1349</v>
      </c>
      <c r="E346" s="5">
        <v>155.38</v>
      </c>
      <c r="F346" s="5">
        <v>7.47</v>
      </c>
      <c r="G346" s="5">
        <v>33.5</v>
      </c>
      <c r="H346" s="5">
        <v>38.188</v>
      </c>
      <c r="I346" s="5">
        <v>32.4263</v>
      </c>
    </row>
    <row r="347" ht="15.75" customHeight="1">
      <c r="A347" s="4">
        <v>44911.0</v>
      </c>
      <c r="B347" s="5">
        <v>104.7</v>
      </c>
      <c r="C347" s="5">
        <v>69.43</v>
      </c>
      <c r="D347" s="5">
        <v>23.877</v>
      </c>
      <c r="E347" s="5">
        <v>154.5</v>
      </c>
      <c r="F347" s="5">
        <v>7.47</v>
      </c>
      <c r="G347" s="5">
        <v>32.35</v>
      </c>
      <c r="H347" s="5">
        <v>37.7185</v>
      </c>
      <c r="I347" s="5">
        <v>31.8744</v>
      </c>
    </row>
    <row r="348" ht="15.75" customHeight="1">
      <c r="A348" s="4">
        <v>44914.0</v>
      </c>
      <c r="B348" s="5">
        <v>105.17</v>
      </c>
      <c r="C348" s="5">
        <v>68.91</v>
      </c>
      <c r="D348" s="5">
        <v>23.86</v>
      </c>
      <c r="E348" s="5">
        <v>154.5</v>
      </c>
      <c r="F348" s="5">
        <v>7.94</v>
      </c>
      <c r="G348" s="5">
        <v>32.07</v>
      </c>
      <c r="H348" s="5">
        <v>37.7139</v>
      </c>
      <c r="I348" s="5">
        <v>31.7478</v>
      </c>
    </row>
    <row r="349" ht="15.75" customHeight="1">
      <c r="A349" s="4">
        <v>44915.0</v>
      </c>
      <c r="B349" s="5">
        <v>106.69</v>
      </c>
      <c r="C349" s="5">
        <v>69.47</v>
      </c>
      <c r="D349" s="5">
        <v>23.82</v>
      </c>
      <c r="E349" s="5">
        <v>155.91</v>
      </c>
      <c r="F349" s="5">
        <v>8.47</v>
      </c>
      <c r="G349" s="5">
        <v>32.35</v>
      </c>
      <c r="H349" s="5">
        <v>38.2829</v>
      </c>
      <c r="I349" s="5">
        <v>31.7569</v>
      </c>
    </row>
    <row r="350" ht="15.75" customHeight="1">
      <c r="A350" s="4">
        <v>44916.0</v>
      </c>
      <c r="B350" s="5">
        <v>108.06</v>
      </c>
      <c r="C350" s="5">
        <v>70.73</v>
      </c>
      <c r="D350" s="5">
        <v>24.17</v>
      </c>
      <c r="E350" s="5">
        <v>158.12</v>
      </c>
      <c r="F350" s="5">
        <v>8.68</v>
      </c>
      <c r="G350" s="5">
        <v>32.97</v>
      </c>
      <c r="H350" s="5">
        <v>39.0102</v>
      </c>
      <c r="I350" s="5">
        <v>32.1992</v>
      </c>
    </row>
    <row r="351" ht="15.75" customHeight="1">
      <c r="A351" s="4">
        <v>44917.0</v>
      </c>
      <c r="B351" s="5">
        <v>105.88</v>
      </c>
      <c r="C351" s="5">
        <v>70.76</v>
      </c>
      <c r="D351" s="5">
        <v>23.55</v>
      </c>
      <c r="E351" s="5">
        <v>156.11</v>
      </c>
      <c r="F351" s="5">
        <v>8.86</v>
      </c>
      <c r="G351" s="5">
        <v>32.57</v>
      </c>
      <c r="H351" s="5">
        <v>38.1113</v>
      </c>
      <c r="I351" s="5">
        <v>32.0033</v>
      </c>
    </row>
    <row r="352" ht="15.75" customHeight="1">
      <c r="A352" s="4">
        <v>44918.0</v>
      </c>
      <c r="B352" s="5">
        <v>108.68</v>
      </c>
      <c r="C352" s="5">
        <v>71.74</v>
      </c>
      <c r="D352" s="5">
        <v>23.87</v>
      </c>
      <c r="E352" s="5">
        <v>156.8</v>
      </c>
      <c r="F352" s="5">
        <v>9.09</v>
      </c>
      <c r="G352" s="5">
        <v>33.32</v>
      </c>
      <c r="H352" s="5">
        <v>39.3265</v>
      </c>
      <c r="I352" s="5">
        <v>32.3315</v>
      </c>
    </row>
    <row r="353" ht="15.75" customHeight="1">
      <c r="A353" s="4">
        <v>44922.0</v>
      </c>
      <c r="B353" s="5">
        <v>110.19</v>
      </c>
      <c r="C353" s="5">
        <v>72.27</v>
      </c>
      <c r="D353" s="5">
        <v>23.69</v>
      </c>
      <c r="E353" s="5">
        <v>157.34</v>
      </c>
      <c r="F353" s="5">
        <v>8.84</v>
      </c>
      <c r="G353" s="5">
        <v>33.41</v>
      </c>
      <c r="H353" s="5">
        <v>39.7466</v>
      </c>
      <c r="I353" s="5">
        <v>32.5321</v>
      </c>
    </row>
    <row r="354" ht="15.75" customHeight="1">
      <c r="A354" s="4">
        <v>44923.0</v>
      </c>
      <c r="B354" s="5">
        <v>108.38</v>
      </c>
      <c r="C354" s="5">
        <v>71.65</v>
      </c>
      <c r="D354" s="5">
        <v>23.66</v>
      </c>
      <c r="E354" s="5">
        <v>155.75</v>
      </c>
      <c r="F354" s="5">
        <v>9.09</v>
      </c>
      <c r="G354" s="5">
        <v>32.72</v>
      </c>
      <c r="H354" s="5">
        <v>38.8567</v>
      </c>
      <c r="I354" s="5">
        <v>32.222</v>
      </c>
    </row>
    <row r="355" ht="15.75" customHeight="1">
      <c r="A355" s="4">
        <v>44924.0</v>
      </c>
      <c r="B355" s="5">
        <v>109.2</v>
      </c>
      <c r="C355" s="5">
        <v>72.19</v>
      </c>
      <c r="D355" s="5">
        <v>24.07</v>
      </c>
      <c r="E355" s="5">
        <v>157.35</v>
      </c>
      <c r="F355" s="5">
        <v>9.05</v>
      </c>
      <c r="G355" s="5">
        <v>32.97</v>
      </c>
      <c r="H355" s="5">
        <v>39.2632</v>
      </c>
      <c r="I355" s="5">
        <v>32.4545</v>
      </c>
    </row>
    <row r="356" ht="15.75" customHeight="1">
      <c r="A356" s="4">
        <v>44925.0</v>
      </c>
      <c r="B356" s="5">
        <v>110.3</v>
      </c>
      <c r="C356" s="5">
        <v>71.41</v>
      </c>
      <c r="D356" s="5">
        <v>23.2</v>
      </c>
      <c r="E356" s="5">
        <v>156.95</v>
      </c>
      <c r="F356" s="5">
        <v>9.19</v>
      </c>
      <c r="G356" s="5">
        <v>32.9</v>
      </c>
      <c r="H356" s="5">
        <v>39.5117</v>
      </c>
      <c r="I356" s="5">
        <v>32.1445</v>
      </c>
    </row>
    <row r="357" ht="15.75" customHeight="1">
      <c r="A357" s="4">
        <v>44929.0</v>
      </c>
      <c r="B357" s="5">
        <v>106.51</v>
      </c>
      <c r="C357" s="5">
        <v>71.9</v>
      </c>
      <c r="D357" s="5">
        <v>22.27</v>
      </c>
      <c r="E357" s="5">
        <v>157.75</v>
      </c>
      <c r="F357" s="5">
        <v>8.71</v>
      </c>
      <c r="G357" s="5">
        <v>32.15</v>
      </c>
      <c r="H357" s="5">
        <v>38.125</v>
      </c>
      <c r="I357" s="5">
        <v>32.1445</v>
      </c>
    </row>
    <row r="358" ht="15.75" customHeight="1">
      <c r="A358" s="4">
        <v>44930.0</v>
      </c>
      <c r="B358" s="5">
        <v>106.82</v>
      </c>
      <c r="C358" s="5">
        <v>72.51</v>
      </c>
      <c r="D358" s="5">
        <v>22.75</v>
      </c>
      <c r="E358" s="5">
        <v>158.82</v>
      </c>
      <c r="F358" s="5">
        <v>8.71</v>
      </c>
      <c r="G358" s="5">
        <v>32.35</v>
      </c>
      <c r="H358" s="5">
        <v>38.1204</v>
      </c>
      <c r="I358" s="5">
        <v>32.4363</v>
      </c>
    </row>
    <row r="359" ht="15.75" customHeight="1">
      <c r="A359" s="4">
        <v>44931.0</v>
      </c>
      <c r="B359" s="5">
        <v>109.21</v>
      </c>
      <c r="C359" s="5">
        <v>70.38</v>
      </c>
      <c r="D359" s="5">
        <v>22.32</v>
      </c>
      <c r="E359" s="5">
        <v>157.2</v>
      </c>
      <c r="F359" s="5">
        <v>9.35</v>
      </c>
      <c r="G359" s="5">
        <v>32.02</v>
      </c>
      <c r="H359" s="5">
        <v>38.816</v>
      </c>
      <c r="I359" s="5">
        <v>31.7343</v>
      </c>
    </row>
    <row r="360" ht="15.75" customHeight="1">
      <c r="A360" s="4">
        <v>44932.0</v>
      </c>
      <c r="B360" s="5">
        <v>110.53</v>
      </c>
      <c r="C360" s="5">
        <v>71.63</v>
      </c>
      <c r="D360" s="5">
        <v>22.51</v>
      </c>
      <c r="E360" s="5">
        <v>161.1</v>
      </c>
      <c r="F360" s="5">
        <v>9.45</v>
      </c>
      <c r="G360" s="5">
        <v>32.56</v>
      </c>
      <c r="H360" s="5">
        <v>39.5522</v>
      </c>
      <c r="I360" s="5">
        <v>32.3725</v>
      </c>
    </row>
    <row r="361" ht="15.75" customHeight="1">
      <c r="A361" s="4">
        <v>44935.0</v>
      </c>
      <c r="B361" s="5">
        <v>108.47</v>
      </c>
      <c r="C361" s="5">
        <v>71.5</v>
      </c>
      <c r="D361" s="5">
        <v>22.53</v>
      </c>
      <c r="E361" s="5">
        <v>160.88</v>
      </c>
      <c r="F361" s="5">
        <v>9.75</v>
      </c>
      <c r="G361" s="5">
        <v>32.63</v>
      </c>
      <c r="H361" s="5">
        <v>39.4123</v>
      </c>
      <c r="I361" s="5">
        <v>32.5915</v>
      </c>
    </row>
    <row r="362" ht="15.75" customHeight="1">
      <c r="A362" s="4">
        <v>44936.0</v>
      </c>
      <c r="B362" s="5">
        <v>110.09</v>
      </c>
      <c r="C362" s="5">
        <v>71.11</v>
      </c>
      <c r="D362" s="5">
        <v>22.4</v>
      </c>
      <c r="E362" s="5">
        <v>160.41</v>
      </c>
      <c r="F362" s="5">
        <v>9.72</v>
      </c>
      <c r="G362" s="5">
        <v>32.14</v>
      </c>
      <c r="H362" s="5">
        <v>39.6923</v>
      </c>
      <c r="I362" s="5">
        <v>32.6006</v>
      </c>
    </row>
    <row r="363" ht="15.75" customHeight="1">
      <c r="A363" s="4">
        <v>44937.0</v>
      </c>
      <c r="B363" s="5">
        <v>111.37</v>
      </c>
      <c r="C363" s="5">
        <v>71.56</v>
      </c>
      <c r="D363" s="5">
        <v>22.74</v>
      </c>
      <c r="E363" s="5">
        <v>164.09</v>
      </c>
      <c r="F363" s="5">
        <v>9.87</v>
      </c>
      <c r="G363" s="5">
        <v>32.43</v>
      </c>
      <c r="H363" s="5">
        <v>39.8144</v>
      </c>
      <c r="I363" s="5">
        <v>32.865</v>
      </c>
    </row>
    <row r="364" ht="15.75" customHeight="1">
      <c r="A364" s="4">
        <v>44938.0</v>
      </c>
      <c r="B364" s="5">
        <v>113.22</v>
      </c>
      <c r="C364" s="5">
        <v>70.34</v>
      </c>
      <c r="D364" s="5">
        <v>22.69</v>
      </c>
      <c r="E364" s="5">
        <v>164.71</v>
      </c>
      <c r="F364" s="5">
        <v>10.35</v>
      </c>
      <c r="G364" s="5">
        <v>32.96</v>
      </c>
      <c r="H364" s="5">
        <v>40.5731</v>
      </c>
      <c r="I364" s="5">
        <v>32.6415</v>
      </c>
    </row>
    <row r="365" ht="15.75" customHeight="1">
      <c r="A365" s="4">
        <v>44939.0</v>
      </c>
      <c r="B365" s="5">
        <v>113.15</v>
      </c>
      <c r="C365" s="5">
        <v>70.32</v>
      </c>
      <c r="D365" s="5">
        <v>22.38</v>
      </c>
      <c r="E365" s="5">
        <v>164.45</v>
      </c>
      <c r="F365" s="5">
        <v>11.08</v>
      </c>
      <c r="G365" s="5">
        <v>32.81</v>
      </c>
      <c r="H365" s="5">
        <v>40.632</v>
      </c>
      <c r="I365" s="5">
        <v>32.523</v>
      </c>
    </row>
    <row r="366" ht="15.75" customHeight="1">
      <c r="A366" s="4">
        <v>44943.0</v>
      </c>
      <c r="B366" s="5">
        <v>112.93</v>
      </c>
      <c r="C366" s="5">
        <v>70.05</v>
      </c>
      <c r="D366" s="5">
        <v>22.15</v>
      </c>
      <c r="E366" s="5">
        <v>162.41</v>
      </c>
      <c r="F366" s="5">
        <v>12.22</v>
      </c>
      <c r="G366" s="5">
        <v>32.78</v>
      </c>
      <c r="H366" s="5">
        <v>40.7177</v>
      </c>
      <c r="I366" s="5">
        <v>32.4773</v>
      </c>
    </row>
    <row r="367" ht="15.75" customHeight="1">
      <c r="A367" s="4">
        <v>44944.0</v>
      </c>
      <c r="B367" s="5">
        <v>110.61</v>
      </c>
      <c r="C367" s="5">
        <v>67.72</v>
      </c>
      <c r="D367" s="5">
        <v>21.5</v>
      </c>
      <c r="E367" s="5">
        <v>157.53</v>
      </c>
      <c r="F367" s="5">
        <v>11.21</v>
      </c>
      <c r="G367" s="5">
        <v>31.68</v>
      </c>
      <c r="H367" s="5">
        <v>39.9723</v>
      </c>
      <c r="I367" s="5">
        <v>31.6978</v>
      </c>
    </row>
    <row r="368" ht="15.75" customHeight="1">
      <c r="A368" s="4">
        <v>44945.0</v>
      </c>
      <c r="B368" s="5">
        <v>111.32</v>
      </c>
      <c r="C368" s="5">
        <v>66.45</v>
      </c>
      <c r="D368" s="5">
        <v>21.39</v>
      </c>
      <c r="E368" s="5">
        <v>151.86</v>
      </c>
      <c r="F368" s="5">
        <v>11.22</v>
      </c>
      <c r="G368" s="5">
        <v>31.93</v>
      </c>
      <c r="H368" s="5">
        <v>40.4694</v>
      </c>
      <c r="I368" s="5">
        <v>31.3786</v>
      </c>
    </row>
    <row r="369" ht="15.75" customHeight="1">
      <c r="A369" s="4">
        <v>44946.0</v>
      </c>
      <c r="B369" s="5">
        <v>113.35</v>
      </c>
      <c r="C369" s="5">
        <v>67.12</v>
      </c>
      <c r="D369" s="5">
        <v>21.85</v>
      </c>
      <c r="E369" s="5">
        <v>155.51</v>
      </c>
      <c r="F369" s="5">
        <v>11.92</v>
      </c>
      <c r="G369" s="5">
        <v>31.46</v>
      </c>
      <c r="H369" s="5">
        <v>40.8714</v>
      </c>
      <c r="I369" s="5">
        <v>31.5655</v>
      </c>
    </row>
    <row r="370" ht="15.75" customHeight="1">
      <c r="A370" s="4">
        <v>44949.0</v>
      </c>
      <c r="B370" s="5">
        <v>112.76</v>
      </c>
      <c r="C370" s="5">
        <v>66.86</v>
      </c>
      <c r="D370" s="5">
        <v>22.5</v>
      </c>
      <c r="E370" s="5">
        <v>158.92</v>
      </c>
      <c r="F370" s="5">
        <v>11.98</v>
      </c>
      <c r="G370" s="5">
        <v>31.68</v>
      </c>
      <c r="H370" s="5">
        <v>40.9255</v>
      </c>
      <c r="I370" s="5">
        <v>31.5747</v>
      </c>
    </row>
    <row r="371" ht="15.75" customHeight="1">
      <c r="A371" s="4">
        <v>44950.0</v>
      </c>
      <c r="B371" s="5">
        <v>113.81</v>
      </c>
      <c r="C371" s="5">
        <v>66.7</v>
      </c>
      <c r="D371" s="5">
        <v>22.83</v>
      </c>
      <c r="E371" s="5">
        <v>161.69</v>
      </c>
      <c r="F371" s="5">
        <v>12.0</v>
      </c>
      <c r="G371" s="5">
        <v>31.44</v>
      </c>
      <c r="H371" s="5">
        <v>40.7674</v>
      </c>
      <c r="I371" s="5">
        <v>31.7343</v>
      </c>
    </row>
    <row r="372" ht="15.75" customHeight="1">
      <c r="A372" s="4">
        <v>44951.0</v>
      </c>
      <c r="B372" s="5">
        <v>113.21</v>
      </c>
      <c r="C372" s="5">
        <v>67.26</v>
      </c>
      <c r="D372" s="5">
        <v>22.57</v>
      </c>
      <c r="E372" s="5">
        <v>159.14</v>
      </c>
      <c r="F372" s="5">
        <v>12.08</v>
      </c>
      <c r="G372" s="5">
        <v>31.4</v>
      </c>
      <c r="H372" s="5">
        <v>40.7719</v>
      </c>
      <c r="I372" s="5">
        <v>31.3056</v>
      </c>
    </row>
    <row r="373" ht="15.75" customHeight="1">
      <c r="A373" s="4">
        <v>44952.0</v>
      </c>
      <c r="B373" s="5">
        <v>117.76</v>
      </c>
      <c r="C373" s="5">
        <v>67.52</v>
      </c>
      <c r="D373" s="5">
        <v>22.8</v>
      </c>
      <c r="E373" s="5">
        <v>160.9</v>
      </c>
      <c r="F373" s="5">
        <v>12.02</v>
      </c>
      <c r="G373" s="5">
        <v>31.43</v>
      </c>
      <c r="H373" s="5">
        <v>42.0594</v>
      </c>
      <c r="I373" s="5">
        <v>31.4105</v>
      </c>
    </row>
    <row r="374" ht="15.75" customHeight="1">
      <c r="A374" s="4">
        <v>44953.0</v>
      </c>
      <c r="B374" s="5">
        <v>115.61</v>
      </c>
      <c r="C374" s="5">
        <v>68.0</v>
      </c>
      <c r="D374" s="5">
        <v>22.67</v>
      </c>
      <c r="E374" s="5">
        <v>162.24</v>
      </c>
      <c r="F374" s="5">
        <v>11.54</v>
      </c>
      <c r="G374" s="5">
        <v>31.51</v>
      </c>
      <c r="H374" s="5">
        <v>41.2101</v>
      </c>
      <c r="I374" s="5">
        <v>31.4105</v>
      </c>
    </row>
    <row r="375" ht="15.75" customHeight="1">
      <c r="A375" s="4">
        <v>44956.0</v>
      </c>
      <c r="B375" s="5">
        <v>113.56</v>
      </c>
      <c r="C375" s="5">
        <v>67.43</v>
      </c>
      <c r="D375" s="5">
        <v>22.37</v>
      </c>
      <c r="E375" s="5">
        <v>160.87</v>
      </c>
      <c r="F375" s="5">
        <v>11.15</v>
      </c>
      <c r="G375" s="5">
        <v>31.03</v>
      </c>
      <c r="H375" s="5">
        <v>40.266</v>
      </c>
      <c r="I375" s="5">
        <v>31.2691</v>
      </c>
    </row>
    <row r="376" ht="15.75" customHeight="1">
      <c r="A376" s="4">
        <v>44957.0</v>
      </c>
      <c r="B376" s="5">
        <v>116.01</v>
      </c>
      <c r="C376" s="5">
        <v>67.68</v>
      </c>
      <c r="D376" s="5">
        <v>23.06</v>
      </c>
      <c r="E376" s="5">
        <v>162.21</v>
      </c>
      <c r="F376" s="5">
        <v>11.95</v>
      </c>
      <c r="G376" s="5">
        <v>32.24</v>
      </c>
      <c r="H376" s="5">
        <v>40.6229</v>
      </c>
      <c r="I376" s="5">
        <v>31.5016</v>
      </c>
    </row>
    <row r="377" ht="15.75" customHeight="1">
      <c r="A377" s="4">
        <v>44958.0</v>
      </c>
      <c r="B377" s="5">
        <v>114.74</v>
      </c>
      <c r="C377" s="5">
        <v>68.86</v>
      </c>
      <c r="D377" s="5">
        <v>23.2</v>
      </c>
      <c r="E377" s="5">
        <v>163.34</v>
      </c>
      <c r="F377" s="5">
        <v>11.75</v>
      </c>
      <c r="G377" s="5">
        <v>31.86</v>
      </c>
      <c r="H377" s="5">
        <v>39.8233</v>
      </c>
      <c r="I377" s="5">
        <v>31.5564</v>
      </c>
    </row>
    <row r="378" ht="15.75" customHeight="1">
      <c r="A378" s="4">
        <v>44959.0</v>
      </c>
      <c r="B378" s="5">
        <v>111.15</v>
      </c>
      <c r="C378" s="5">
        <v>68.62</v>
      </c>
      <c r="D378" s="5">
        <v>23.28</v>
      </c>
      <c r="E378" s="5">
        <v>161.96</v>
      </c>
      <c r="F378" s="5">
        <v>11.47</v>
      </c>
      <c r="G378" s="5">
        <v>32.21</v>
      </c>
      <c r="H378" s="5">
        <v>38.9155</v>
      </c>
      <c r="I378" s="5">
        <v>31.6248</v>
      </c>
    </row>
    <row r="379" ht="15.75" customHeight="1">
      <c r="A379" s="4">
        <v>44960.0</v>
      </c>
      <c r="B379" s="5">
        <v>111.92</v>
      </c>
      <c r="C379" s="5">
        <v>67.27</v>
      </c>
      <c r="D379" s="5">
        <v>22.88</v>
      </c>
      <c r="E379" s="5">
        <v>163.24</v>
      </c>
      <c r="F379" s="5">
        <v>11.18</v>
      </c>
      <c r="G379" s="5">
        <v>32.08</v>
      </c>
      <c r="H379" s="5">
        <v>38.8296</v>
      </c>
      <c r="I379" s="5">
        <v>30.9637</v>
      </c>
    </row>
    <row r="380" ht="15.75" customHeight="1">
      <c r="A380" s="4">
        <v>44963.0</v>
      </c>
      <c r="B380" s="5">
        <v>111.73</v>
      </c>
      <c r="C380" s="5">
        <v>67.9</v>
      </c>
      <c r="D380" s="5">
        <v>22.97</v>
      </c>
      <c r="E380" s="5">
        <v>162.35</v>
      </c>
      <c r="F380" s="5">
        <v>11.48</v>
      </c>
      <c r="G380" s="5">
        <v>31.7</v>
      </c>
      <c r="H380" s="5">
        <v>38.6535</v>
      </c>
      <c r="I380" s="5">
        <v>31.2281</v>
      </c>
    </row>
    <row r="381" ht="15.75" customHeight="1">
      <c r="A381" s="4">
        <v>44964.0</v>
      </c>
      <c r="B381" s="5">
        <v>114.92</v>
      </c>
      <c r="C381" s="5">
        <v>67.74</v>
      </c>
      <c r="D381" s="5">
        <v>23.24</v>
      </c>
      <c r="E381" s="5">
        <v>164.49</v>
      </c>
      <c r="F381" s="5">
        <v>11.54</v>
      </c>
      <c r="G381" s="5">
        <v>32.11</v>
      </c>
      <c r="H381" s="5">
        <v>39.9092</v>
      </c>
      <c r="I381" s="5">
        <v>31.2144</v>
      </c>
    </row>
    <row r="382" ht="15.75" customHeight="1">
      <c r="A382" s="4">
        <v>44965.0</v>
      </c>
      <c r="B382" s="5">
        <v>113.92</v>
      </c>
      <c r="C382" s="5">
        <v>66.45</v>
      </c>
      <c r="D382" s="5">
        <v>22.86</v>
      </c>
      <c r="E382" s="5">
        <v>168.88</v>
      </c>
      <c r="F382" s="5">
        <v>11.55</v>
      </c>
      <c r="G382" s="5">
        <v>31.81</v>
      </c>
      <c r="H382" s="5">
        <v>39.5522</v>
      </c>
      <c r="I382" s="5">
        <v>30.69</v>
      </c>
    </row>
    <row r="383" ht="15.75" customHeight="1">
      <c r="A383" s="4">
        <v>44966.0</v>
      </c>
      <c r="B383" s="5">
        <v>114.35</v>
      </c>
      <c r="C383" s="5">
        <v>65.78</v>
      </c>
      <c r="D383" s="5">
        <v>22.69</v>
      </c>
      <c r="E383" s="5">
        <v>167.27</v>
      </c>
      <c r="F383" s="5">
        <v>11.28</v>
      </c>
      <c r="G383" s="5">
        <v>31.32</v>
      </c>
      <c r="H383" s="5">
        <v>39.2135</v>
      </c>
      <c r="I383" s="5">
        <v>30.2706</v>
      </c>
    </row>
    <row r="384" ht="15.75" customHeight="1">
      <c r="A384" s="4">
        <v>44967.0</v>
      </c>
      <c r="B384" s="5">
        <v>119.17</v>
      </c>
      <c r="C384" s="5">
        <v>66.88</v>
      </c>
      <c r="D384" s="5">
        <v>23.04</v>
      </c>
      <c r="E384" s="5">
        <v>170.91</v>
      </c>
      <c r="F384" s="5">
        <v>11.58</v>
      </c>
      <c r="G384" s="5">
        <v>31.82</v>
      </c>
      <c r="H384" s="5">
        <v>40.7494</v>
      </c>
      <c r="I384" s="5">
        <v>30.8725</v>
      </c>
    </row>
    <row r="385" ht="15.75" customHeight="1">
      <c r="A385" s="4">
        <v>44970.0</v>
      </c>
      <c r="B385" s="5">
        <v>117.8</v>
      </c>
      <c r="C385" s="5">
        <v>67.13</v>
      </c>
      <c r="D385" s="5">
        <v>23.05</v>
      </c>
      <c r="E385" s="5">
        <v>174.32</v>
      </c>
      <c r="F385" s="5">
        <v>12.03</v>
      </c>
      <c r="G385" s="5">
        <v>31.81</v>
      </c>
      <c r="H385" s="5">
        <v>40.6455</v>
      </c>
      <c r="I385" s="5">
        <v>31.0594</v>
      </c>
    </row>
    <row r="386" ht="15.75" customHeight="1">
      <c r="A386" s="4">
        <v>44971.0</v>
      </c>
      <c r="B386" s="5">
        <v>116.42</v>
      </c>
      <c r="C386" s="5">
        <v>66.65</v>
      </c>
      <c r="D386" s="5">
        <v>23.01</v>
      </c>
      <c r="E386" s="5">
        <v>172.97</v>
      </c>
      <c r="F386" s="5">
        <v>12.09</v>
      </c>
      <c r="G386" s="5">
        <v>31.92</v>
      </c>
      <c r="H386" s="5">
        <v>40.659</v>
      </c>
      <c r="I386" s="5">
        <v>30.9271</v>
      </c>
    </row>
    <row r="387" ht="15.75" customHeight="1">
      <c r="A387" s="4">
        <v>44972.0</v>
      </c>
      <c r="B387" s="5">
        <v>116.07</v>
      </c>
      <c r="C387" s="5">
        <v>66.77</v>
      </c>
      <c r="D387" s="5">
        <v>23.44</v>
      </c>
      <c r="E387" s="5">
        <v>173.75</v>
      </c>
      <c r="F387" s="5">
        <v>11.88</v>
      </c>
      <c r="G387" s="5">
        <v>32.1</v>
      </c>
      <c r="H387" s="5">
        <v>39.9679</v>
      </c>
      <c r="I387" s="5">
        <v>31.1277</v>
      </c>
    </row>
    <row r="388" ht="15.75" customHeight="1">
      <c r="A388" s="4">
        <v>44973.0</v>
      </c>
      <c r="B388" s="5">
        <v>115.73</v>
      </c>
      <c r="C388" s="5">
        <v>65.86</v>
      </c>
      <c r="D388" s="5">
        <v>22.82</v>
      </c>
      <c r="E388" s="5">
        <v>174.11</v>
      </c>
      <c r="F388" s="5">
        <v>11.89</v>
      </c>
      <c r="G388" s="5">
        <v>32.09</v>
      </c>
      <c r="H388" s="5">
        <v>39.5749</v>
      </c>
      <c r="I388" s="5">
        <v>30.8906</v>
      </c>
    </row>
    <row r="389" ht="15.75" customHeight="1">
      <c r="A389" s="4">
        <v>44974.0</v>
      </c>
      <c r="B389" s="5">
        <v>111.28</v>
      </c>
      <c r="C389" s="5">
        <v>66.63</v>
      </c>
      <c r="D389" s="5">
        <v>22.96</v>
      </c>
      <c r="E389" s="5">
        <v>175.24</v>
      </c>
      <c r="F389" s="5">
        <v>11.41</v>
      </c>
      <c r="G389" s="5">
        <v>31.26</v>
      </c>
      <c r="H389" s="5">
        <v>38.1656</v>
      </c>
      <c r="I389" s="5">
        <v>31.2235</v>
      </c>
    </row>
    <row r="390" ht="15.75" customHeight="1">
      <c r="A390" s="4">
        <v>44978.0</v>
      </c>
      <c r="B390" s="5">
        <v>111.17</v>
      </c>
      <c r="C390" s="5">
        <v>65.55</v>
      </c>
      <c r="D390" s="5">
        <v>22.57</v>
      </c>
      <c r="E390" s="5">
        <v>170.76</v>
      </c>
      <c r="F390" s="5">
        <v>11.4</v>
      </c>
      <c r="G390" s="5">
        <v>30.79</v>
      </c>
      <c r="H390" s="5">
        <v>37.9759</v>
      </c>
      <c r="I390" s="5">
        <v>30.6399</v>
      </c>
    </row>
    <row r="391" ht="15.75" customHeight="1">
      <c r="A391" s="4">
        <v>44979.0</v>
      </c>
      <c r="B391" s="5">
        <v>109.73</v>
      </c>
      <c r="C391" s="5">
        <v>65.24</v>
      </c>
      <c r="D391" s="5">
        <v>22.42</v>
      </c>
      <c r="E391" s="5">
        <v>171.31</v>
      </c>
      <c r="F391" s="5">
        <v>11.37</v>
      </c>
      <c r="G391" s="5">
        <v>30.91</v>
      </c>
      <c r="H391" s="5">
        <v>37.7228</v>
      </c>
      <c r="I391" s="5">
        <v>30.5214</v>
      </c>
    </row>
    <row r="392" ht="15.75" customHeight="1">
      <c r="A392" s="4">
        <v>44980.0</v>
      </c>
      <c r="B392" s="5">
        <v>110.74</v>
      </c>
      <c r="C392" s="5">
        <v>64.74</v>
      </c>
      <c r="D392" s="5">
        <v>22.5</v>
      </c>
      <c r="E392" s="5">
        <v>172.78</v>
      </c>
      <c r="F392" s="5">
        <v>11.71</v>
      </c>
      <c r="G392" s="5">
        <v>31.05</v>
      </c>
      <c r="H392" s="5">
        <v>38.2922</v>
      </c>
      <c r="I392" s="5">
        <v>30.3618</v>
      </c>
    </row>
    <row r="393" ht="15.75" customHeight="1">
      <c r="A393" s="4">
        <v>44981.0</v>
      </c>
      <c r="B393" s="5">
        <v>110.75</v>
      </c>
      <c r="C393" s="5">
        <v>64.56</v>
      </c>
      <c r="D393" s="5">
        <v>22.36</v>
      </c>
      <c r="E393" s="5">
        <v>173.25</v>
      </c>
      <c r="F393" s="5">
        <v>11.88</v>
      </c>
      <c r="G393" s="5">
        <v>31.18</v>
      </c>
      <c r="H393" s="5">
        <v>38.2423</v>
      </c>
      <c r="I393" s="5">
        <v>30.3709</v>
      </c>
    </row>
    <row r="394" ht="15.75" customHeight="1">
      <c r="A394" s="4">
        <v>44984.0</v>
      </c>
      <c r="B394" s="5">
        <v>110.55</v>
      </c>
      <c r="C394" s="5">
        <v>64.37</v>
      </c>
      <c r="D394" s="5">
        <v>22.25</v>
      </c>
      <c r="E394" s="5">
        <v>174.38</v>
      </c>
      <c r="F394" s="5">
        <v>12.11</v>
      </c>
      <c r="G394" s="5">
        <v>30.7</v>
      </c>
      <c r="H394" s="5">
        <v>38.3553</v>
      </c>
      <c r="I394" s="5">
        <v>30.1657</v>
      </c>
    </row>
    <row r="395" ht="15.75" customHeight="1">
      <c r="A395" s="4">
        <v>44985.0</v>
      </c>
      <c r="B395" s="5">
        <v>109.91</v>
      </c>
      <c r="C395" s="5">
        <v>63.06</v>
      </c>
      <c r="D395" s="5">
        <v>21.99</v>
      </c>
      <c r="E395" s="5">
        <v>174.93</v>
      </c>
      <c r="F395" s="5">
        <v>11.77</v>
      </c>
      <c r="G395" s="5">
        <v>30.1</v>
      </c>
      <c r="H395" s="5">
        <v>37.8041</v>
      </c>
      <c r="I395" s="5">
        <v>29.6368</v>
      </c>
    </row>
    <row r="396" ht="15.75" customHeight="1">
      <c r="A396" s="4">
        <v>44986.0</v>
      </c>
      <c r="B396" s="5">
        <v>110.89</v>
      </c>
      <c r="C396" s="5">
        <v>62.32</v>
      </c>
      <c r="D396" s="5">
        <v>21.71</v>
      </c>
      <c r="E396" s="5">
        <v>173.83</v>
      </c>
      <c r="F396" s="5">
        <v>12.1</v>
      </c>
      <c r="G396" s="5">
        <v>29.94</v>
      </c>
      <c r="H396" s="5">
        <v>38.5495</v>
      </c>
      <c r="I396" s="5">
        <v>29.1489</v>
      </c>
    </row>
    <row r="397" ht="15.75" customHeight="1">
      <c r="A397" s="4">
        <v>44987.0</v>
      </c>
      <c r="B397" s="5">
        <v>111.4</v>
      </c>
      <c r="C397" s="5">
        <v>63.67</v>
      </c>
      <c r="D397" s="5">
        <v>21.29</v>
      </c>
      <c r="E397" s="5">
        <v>175.15</v>
      </c>
      <c r="F397" s="5">
        <v>11.55</v>
      </c>
      <c r="G397" s="5">
        <v>30.42</v>
      </c>
      <c r="H397" s="5">
        <v>38.8883</v>
      </c>
      <c r="I397" s="5">
        <v>29.7007</v>
      </c>
    </row>
    <row r="398" ht="15.75" customHeight="1">
      <c r="A398" s="4">
        <v>44988.0</v>
      </c>
      <c r="B398" s="5">
        <v>112.81</v>
      </c>
      <c r="C398" s="5">
        <v>64.81</v>
      </c>
      <c r="D398" s="5">
        <v>21.41</v>
      </c>
      <c r="E398" s="5">
        <v>177.55</v>
      </c>
      <c r="F398" s="5">
        <v>11.93</v>
      </c>
      <c r="G398" s="5">
        <v>30.97</v>
      </c>
      <c r="H398" s="5">
        <v>39.4168</v>
      </c>
      <c r="I398" s="5">
        <v>30.2067</v>
      </c>
    </row>
    <row r="399" ht="15.75" customHeight="1">
      <c r="A399" s="4">
        <v>44991.0</v>
      </c>
      <c r="B399" s="5">
        <v>113.81</v>
      </c>
      <c r="C399" s="5">
        <v>65.23</v>
      </c>
      <c r="D399" s="5">
        <v>24.38</v>
      </c>
      <c r="E399" s="5">
        <v>177.15</v>
      </c>
      <c r="F399" s="5">
        <v>12.71</v>
      </c>
      <c r="G399" s="5">
        <v>30.7</v>
      </c>
      <c r="H399" s="5">
        <v>39.4348</v>
      </c>
      <c r="I399" s="5">
        <v>30.3527</v>
      </c>
    </row>
    <row r="400" ht="15.75" customHeight="1">
      <c r="A400" s="4">
        <v>44992.0</v>
      </c>
      <c r="B400" s="5">
        <v>111.61</v>
      </c>
      <c r="C400" s="5">
        <v>64.33</v>
      </c>
      <c r="D400" s="5">
        <v>26.51</v>
      </c>
      <c r="E400" s="5">
        <v>175.5</v>
      </c>
      <c r="F400" s="5">
        <v>11.8</v>
      </c>
      <c r="G400" s="5">
        <v>30.37</v>
      </c>
      <c r="H400" s="5">
        <v>38.7483</v>
      </c>
      <c r="I400" s="5">
        <v>29.8557</v>
      </c>
    </row>
    <row r="401" ht="15.75" customHeight="1">
      <c r="A401" s="4">
        <v>44993.0</v>
      </c>
      <c r="B401" s="5">
        <v>109.98</v>
      </c>
      <c r="C401" s="5">
        <v>64.73</v>
      </c>
      <c r="D401" s="5">
        <v>26.2</v>
      </c>
      <c r="E401" s="5">
        <v>177.21</v>
      </c>
      <c r="F401" s="5">
        <v>12.05</v>
      </c>
      <c r="G401" s="5">
        <v>30.37</v>
      </c>
      <c r="H401" s="5">
        <v>38.3509</v>
      </c>
      <c r="I401" s="5">
        <v>30.0837</v>
      </c>
    </row>
    <row r="402" ht="15.75" customHeight="1">
      <c r="A402" s="4">
        <v>44994.0</v>
      </c>
      <c r="B402" s="5">
        <v>109.13</v>
      </c>
      <c r="C402" s="5">
        <v>64.55</v>
      </c>
      <c r="D402" s="5">
        <v>25.69</v>
      </c>
      <c r="E402" s="5">
        <v>174.37</v>
      </c>
      <c r="F402" s="5">
        <v>11.56</v>
      </c>
      <c r="G402" s="5">
        <v>29.89</v>
      </c>
      <c r="H402" s="5">
        <v>37.8087</v>
      </c>
      <c r="I402" s="5">
        <v>29.8421</v>
      </c>
    </row>
    <row r="403" ht="15.75" customHeight="1">
      <c r="A403" s="4">
        <v>44995.0</v>
      </c>
      <c r="B403" s="5">
        <v>107.78</v>
      </c>
      <c r="C403" s="5">
        <v>63.94</v>
      </c>
      <c r="D403" s="5">
        <v>24.52</v>
      </c>
      <c r="E403" s="5">
        <v>170.3</v>
      </c>
      <c r="F403" s="5">
        <v>10.65</v>
      </c>
      <c r="G403" s="5">
        <v>28.9</v>
      </c>
      <c r="H403" s="5">
        <v>37.3254</v>
      </c>
      <c r="I403" s="5">
        <v>29.3723</v>
      </c>
    </row>
    <row r="404" ht="15.75" customHeight="1">
      <c r="A404" s="4">
        <v>44998.0</v>
      </c>
      <c r="B404" s="5">
        <v>106.54</v>
      </c>
      <c r="C404" s="5">
        <v>65.15</v>
      </c>
      <c r="D404" s="5">
        <v>24.34</v>
      </c>
      <c r="E404" s="5">
        <v>169.17</v>
      </c>
      <c r="F404" s="5">
        <v>9.91</v>
      </c>
      <c r="G404" s="5">
        <v>29.01</v>
      </c>
      <c r="H404" s="5">
        <v>36.5665</v>
      </c>
      <c r="I404" s="5">
        <v>29.8236</v>
      </c>
    </row>
    <row r="405" ht="15.75" customHeight="1">
      <c r="A405" s="4">
        <v>44999.0</v>
      </c>
      <c r="B405" s="5">
        <v>106.94</v>
      </c>
      <c r="C405" s="5">
        <v>66.18</v>
      </c>
      <c r="D405" s="5">
        <v>25.5</v>
      </c>
      <c r="E405" s="5">
        <v>171.83</v>
      </c>
      <c r="F405" s="5">
        <v>9.78</v>
      </c>
      <c r="G405" s="5">
        <v>29.25</v>
      </c>
      <c r="H405" s="5">
        <v>36.928</v>
      </c>
      <c r="I405" s="5">
        <v>30.2159</v>
      </c>
    </row>
    <row r="406" ht="15.75" customHeight="1">
      <c r="A406" s="4">
        <v>45000.0</v>
      </c>
      <c r="B406" s="5">
        <v>101.62</v>
      </c>
      <c r="C406" s="5">
        <v>67.65</v>
      </c>
      <c r="D406" s="5">
        <v>24.41</v>
      </c>
      <c r="E406" s="5">
        <v>159.27</v>
      </c>
      <c r="F406" s="5">
        <v>9.27</v>
      </c>
      <c r="G406" s="5">
        <v>28.78</v>
      </c>
      <c r="H406" s="5">
        <v>34.9447</v>
      </c>
      <c r="I406" s="5">
        <v>30.6262</v>
      </c>
    </row>
    <row r="407" ht="15.75" customHeight="1">
      <c r="A407" s="4">
        <v>45001.0</v>
      </c>
      <c r="B407" s="5">
        <v>101.03</v>
      </c>
      <c r="C407" s="5">
        <v>68.12</v>
      </c>
      <c r="D407" s="5">
        <v>25.34</v>
      </c>
      <c r="E407" s="5">
        <v>164.38</v>
      </c>
      <c r="F407" s="5">
        <v>9.52</v>
      </c>
      <c r="G407" s="5">
        <v>28.82</v>
      </c>
      <c r="H407" s="5">
        <v>35.3243</v>
      </c>
      <c r="I407" s="5">
        <v>30.8315</v>
      </c>
    </row>
    <row r="408" ht="15.75" customHeight="1">
      <c r="A408" s="4">
        <v>45002.0</v>
      </c>
      <c r="B408" s="5">
        <v>99.84</v>
      </c>
      <c r="C408" s="5">
        <v>67.9</v>
      </c>
      <c r="D408" s="5">
        <v>24.84</v>
      </c>
      <c r="E408" s="5">
        <v>160.15</v>
      </c>
      <c r="F408" s="5">
        <v>9.05</v>
      </c>
      <c r="G408" s="5">
        <v>28.3</v>
      </c>
      <c r="H408" s="5">
        <v>34.7687</v>
      </c>
      <c r="I408" s="5">
        <v>30.5351</v>
      </c>
    </row>
    <row r="409" ht="15.75" customHeight="1">
      <c r="A409" s="4">
        <v>45005.0</v>
      </c>
      <c r="B409" s="5">
        <v>102.45</v>
      </c>
      <c r="C409" s="5">
        <v>68.55</v>
      </c>
      <c r="D409" s="5">
        <v>25.1</v>
      </c>
      <c r="E409" s="5">
        <v>163.56</v>
      </c>
      <c r="F409" s="5">
        <v>9.13</v>
      </c>
      <c r="G409" s="5">
        <v>28.89</v>
      </c>
      <c r="H409" s="5">
        <v>35.4649</v>
      </c>
      <c r="I409" s="5">
        <v>30.7737</v>
      </c>
    </row>
    <row r="410" ht="15.75" customHeight="1">
      <c r="A410" s="4">
        <v>45006.0</v>
      </c>
      <c r="B410" s="5">
        <v>107.04</v>
      </c>
      <c r="C410" s="5">
        <v>67.13</v>
      </c>
      <c r="D410" s="5">
        <v>25.06</v>
      </c>
      <c r="E410" s="5">
        <v>166.94</v>
      </c>
      <c r="F410" s="5">
        <v>9.82</v>
      </c>
      <c r="G410" s="5">
        <v>29.18</v>
      </c>
      <c r="H410" s="5">
        <v>36.6926</v>
      </c>
      <c r="I410" s="5">
        <v>30.1536</v>
      </c>
    </row>
    <row r="411" ht="15.75" customHeight="1">
      <c r="A411" s="4">
        <v>45007.0</v>
      </c>
      <c r="B411" s="5">
        <v>104.59</v>
      </c>
      <c r="C411" s="5">
        <v>66.71</v>
      </c>
      <c r="D411" s="5">
        <v>24.23</v>
      </c>
      <c r="E411" s="5">
        <v>166.16</v>
      </c>
      <c r="F411" s="5">
        <v>9.77</v>
      </c>
      <c r="G411" s="5">
        <v>28.64</v>
      </c>
      <c r="H411" s="5">
        <v>35.9122</v>
      </c>
      <c r="I411" s="5">
        <v>29.5612</v>
      </c>
    </row>
    <row r="412" ht="15.75" customHeight="1">
      <c r="A412" s="4">
        <v>45008.0</v>
      </c>
      <c r="B412" s="5">
        <v>103.41</v>
      </c>
      <c r="C412" s="5">
        <v>66.34</v>
      </c>
      <c r="D412" s="5">
        <v>23.91</v>
      </c>
      <c r="E412" s="5">
        <v>164.54</v>
      </c>
      <c r="F412" s="5">
        <v>9.66</v>
      </c>
      <c r="G412" s="5">
        <v>28.3</v>
      </c>
      <c r="H412" s="5">
        <v>35.4146</v>
      </c>
      <c r="I412" s="5">
        <v>29.2581</v>
      </c>
    </row>
    <row r="413" ht="15.75" customHeight="1">
      <c r="A413" s="4">
        <v>45009.0</v>
      </c>
      <c r="B413" s="5">
        <v>103.53</v>
      </c>
      <c r="C413" s="5">
        <v>68.59</v>
      </c>
      <c r="D413" s="5">
        <v>23.42</v>
      </c>
      <c r="E413" s="5">
        <v>163.64</v>
      </c>
      <c r="F413" s="5">
        <v>9.62</v>
      </c>
      <c r="G413" s="5">
        <v>28.74</v>
      </c>
      <c r="H413" s="5">
        <v>35.5516</v>
      </c>
      <c r="I413" s="5">
        <v>30.172</v>
      </c>
    </row>
    <row r="414" ht="15.75" customHeight="1">
      <c r="A414" s="4">
        <v>45012.0</v>
      </c>
      <c r="B414" s="5">
        <v>105.8</v>
      </c>
      <c r="C414" s="5">
        <v>68.24</v>
      </c>
      <c r="D414" s="5">
        <v>23.2</v>
      </c>
      <c r="E414" s="5">
        <v>163.88</v>
      </c>
      <c r="F414" s="5">
        <v>10.31</v>
      </c>
      <c r="G414" s="5">
        <v>28.93</v>
      </c>
      <c r="H414" s="5">
        <v>36.3093</v>
      </c>
      <c r="I414" s="5">
        <v>30.2087</v>
      </c>
    </row>
    <row r="415" ht="15.75" customHeight="1">
      <c r="A415" s="4">
        <v>45013.0</v>
      </c>
      <c r="B415" s="5">
        <v>107.12</v>
      </c>
      <c r="C415" s="5">
        <v>68.39</v>
      </c>
      <c r="D415" s="5">
        <v>23.34</v>
      </c>
      <c r="E415" s="5">
        <v>165.59</v>
      </c>
      <c r="F415" s="5">
        <v>10.83</v>
      </c>
      <c r="G415" s="5">
        <v>28.87</v>
      </c>
      <c r="H415" s="5">
        <v>36.8707</v>
      </c>
      <c r="I415" s="5">
        <v>30.2915</v>
      </c>
    </row>
    <row r="416" ht="15.75" customHeight="1">
      <c r="A416" s="4">
        <v>45014.0</v>
      </c>
      <c r="B416" s="5">
        <v>108.96</v>
      </c>
      <c r="C416" s="5">
        <v>69.34</v>
      </c>
      <c r="D416" s="5">
        <v>23.51</v>
      </c>
      <c r="E416" s="5">
        <v>167.63</v>
      </c>
      <c r="F416" s="5">
        <v>11.23</v>
      </c>
      <c r="G416" s="5">
        <v>29.27</v>
      </c>
      <c r="H416" s="5">
        <v>37.3819</v>
      </c>
      <c r="I416" s="5">
        <v>30.7324</v>
      </c>
    </row>
    <row r="417" ht="15.75" customHeight="1">
      <c r="A417" s="4">
        <v>45015.0</v>
      </c>
      <c r="B417" s="5">
        <v>109.49</v>
      </c>
      <c r="C417" s="5">
        <v>69.06</v>
      </c>
      <c r="D417" s="5">
        <v>23.59</v>
      </c>
      <c r="E417" s="5">
        <v>169.09</v>
      </c>
      <c r="F417" s="5">
        <v>11.43</v>
      </c>
      <c r="G417" s="5">
        <v>29.41</v>
      </c>
      <c r="H417" s="5">
        <v>37.5461</v>
      </c>
      <c r="I417" s="5">
        <v>30.8656</v>
      </c>
    </row>
    <row r="418" ht="15.75" customHeight="1">
      <c r="A418" s="4">
        <v>45016.0</v>
      </c>
      <c r="B418" s="5">
        <v>109.66</v>
      </c>
      <c r="C418" s="5">
        <v>69.58</v>
      </c>
      <c r="D418" s="5">
        <v>24.0</v>
      </c>
      <c r="E418" s="5">
        <v>171.34</v>
      </c>
      <c r="F418" s="5">
        <v>10.98</v>
      </c>
      <c r="G418" s="5">
        <v>29.86</v>
      </c>
      <c r="H418" s="5">
        <v>37.8063</v>
      </c>
      <c r="I418" s="5">
        <v>31.0905</v>
      </c>
    </row>
    <row r="419" ht="15.75" customHeight="1">
      <c r="A419" s="4">
        <v>45019.0</v>
      </c>
      <c r="B419" s="5">
        <v>116.13</v>
      </c>
      <c r="C419" s="5">
        <v>68.97</v>
      </c>
      <c r="D419" s="5">
        <v>23.7</v>
      </c>
      <c r="E419" s="5">
        <v>170.54</v>
      </c>
      <c r="F419" s="5">
        <v>11.65</v>
      </c>
      <c r="G419" s="5">
        <v>29.85</v>
      </c>
      <c r="H419" s="5">
        <v>39.5179</v>
      </c>
      <c r="I419" s="5">
        <v>30.8794</v>
      </c>
    </row>
    <row r="420" ht="15.75" customHeight="1">
      <c r="A420" s="4">
        <v>45020.0</v>
      </c>
      <c r="B420" s="5">
        <v>115.02</v>
      </c>
      <c r="C420" s="5">
        <v>69.63</v>
      </c>
      <c r="D420" s="5">
        <v>23.41</v>
      </c>
      <c r="E420" s="5">
        <v>162.25</v>
      </c>
      <c r="F420" s="5">
        <v>11.4</v>
      </c>
      <c r="G420" s="5">
        <v>29.67</v>
      </c>
      <c r="H420" s="5">
        <v>38.8014</v>
      </c>
      <c r="I420" s="5">
        <v>31.0355</v>
      </c>
    </row>
    <row r="421" ht="15.75" customHeight="1">
      <c r="A421" s="4">
        <v>45021.0</v>
      </c>
      <c r="B421" s="5">
        <v>116.99</v>
      </c>
      <c r="C421" s="5">
        <v>71.5</v>
      </c>
      <c r="D421" s="5">
        <v>23.92</v>
      </c>
      <c r="E421" s="5">
        <v>158.47</v>
      </c>
      <c r="F421" s="5">
        <v>11.47</v>
      </c>
      <c r="G421" s="5">
        <v>29.94</v>
      </c>
      <c r="H421" s="5">
        <v>39.3855</v>
      </c>
      <c r="I421" s="5">
        <v>31.8393</v>
      </c>
    </row>
    <row r="422" ht="15.75" customHeight="1">
      <c r="A422" s="4">
        <v>45022.0</v>
      </c>
      <c r="B422" s="5">
        <v>115.05</v>
      </c>
      <c r="C422" s="5">
        <v>72.31</v>
      </c>
      <c r="D422" s="5">
        <v>24.07</v>
      </c>
      <c r="E422" s="5">
        <v>156.25</v>
      </c>
      <c r="F422" s="5">
        <v>11.16</v>
      </c>
      <c r="G422" s="5">
        <v>29.65</v>
      </c>
      <c r="H422" s="5">
        <v>38.7877</v>
      </c>
      <c r="I422" s="5">
        <v>32.0644</v>
      </c>
    </row>
    <row r="423" ht="15.75" customHeight="1">
      <c r="A423" s="4">
        <v>45026.0</v>
      </c>
      <c r="B423" s="5">
        <v>114.54</v>
      </c>
      <c r="C423" s="5">
        <v>72.04</v>
      </c>
      <c r="D423" s="5">
        <v>24.42</v>
      </c>
      <c r="E423" s="5">
        <v>157.44</v>
      </c>
      <c r="F423" s="5">
        <v>12.3</v>
      </c>
      <c r="G423" s="5">
        <v>29.84</v>
      </c>
      <c r="H423" s="5">
        <v>39.0981</v>
      </c>
      <c r="I423" s="5">
        <v>32.0001</v>
      </c>
    </row>
    <row r="424" ht="15.75" customHeight="1">
      <c r="A424" s="4">
        <v>45027.0</v>
      </c>
      <c r="B424" s="5">
        <v>115.35</v>
      </c>
      <c r="C424" s="5">
        <v>71.83</v>
      </c>
      <c r="D424" s="5">
        <v>24.69</v>
      </c>
      <c r="E424" s="5">
        <v>158.8</v>
      </c>
      <c r="F424" s="5">
        <v>12.41</v>
      </c>
      <c r="G424" s="5">
        <v>30.17</v>
      </c>
      <c r="H424" s="5">
        <v>39.4677</v>
      </c>
      <c r="I424" s="5">
        <v>32.0277</v>
      </c>
    </row>
    <row r="425" ht="15.75" customHeight="1">
      <c r="A425" s="4">
        <v>45028.0</v>
      </c>
      <c r="B425" s="5">
        <v>115.23</v>
      </c>
      <c r="C425" s="5">
        <v>72.12</v>
      </c>
      <c r="D425" s="5">
        <v>24.55</v>
      </c>
      <c r="E425" s="5">
        <v>162.22</v>
      </c>
      <c r="F425" s="5">
        <v>12.54</v>
      </c>
      <c r="G425" s="5">
        <v>30.33</v>
      </c>
      <c r="H425" s="5">
        <v>39.4952</v>
      </c>
      <c r="I425" s="5">
        <v>31.9954</v>
      </c>
    </row>
    <row r="426" ht="15.75" customHeight="1">
      <c r="A426" s="4">
        <v>45029.0</v>
      </c>
      <c r="B426" s="5">
        <v>115.77</v>
      </c>
      <c r="C426" s="5">
        <v>72.46</v>
      </c>
      <c r="D426" s="5">
        <v>24.83</v>
      </c>
      <c r="E426" s="5">
        <v>160.69</v>
      </c>
      <c r="F426" s="5">
        <v>12.35</v>
      </c>
      <c r="G426" s="5">
        <v>30.5</v>
      </c>
      <c r="H426" s="5">
        <v>39.7416</v>
      </c>
      <c r="I426" s="5">
        <v>32.0001</v>
      </c>
    </row>
    <row r="427" ht="15.75" customHeight="1">
      <c r="A427" s="4">
        <v>45030.0</v>
      </c>
      <c r="B427" s="5">
        <v>116.05</v>
      </c>
      <c r="C427" s="5">
        <v>71.94</v>
      </c>
      <c r="D427" s="5">
        <v>24.49</v>
      </c>
      <c r="E427" s="5">
        <v>161.82</v>
      </c>
      <c r="F427" s="5">
        <v>12.45</v>
      </c>
      <c r="G427" s="5">
        <v>30.39</v>
      </c>
      <c r="H427" s="5">
        <v>39.8148</v>
      </c>
      <c r="I427" s="5">
        <v>31.6419</v>
      </c>
    </row>
    <row r="428" ht="15.75" customHeight="1">
      <c r="A428" s="4">
        <v>45033.0</v>
      </c>
      <c r="B428" s="5">
        <v>114.7</v>
      </c>
      <c r="C428" s="5">
        <v>72.34</v>
      </c>
      <c r="D428" s="5">
        <v>24.25</v>
      </c>
      <c r="E428" s="5">
        <v>163.06</v>
      </c>
      <c r="F428" s="5">
        <v>12.28</v>
      </c>
      <c r="G428" s="5">
        <v>30.32</v>
      </c>
      <c r="H428" s="5">
        <v>39.3445</v>
      </c>
      <c r="I428" s="5">
        <v>31.8165</v>
      </c>
    </row>
    <row r="429" ht="15.75" customHeight="1">
      <c r="A429" s="4">
        <v>45034.0</v>
      </c>
      <c r="B429" s="5">
        <v>116.94</v>
      </c>
      <c r="C429" s="5">
        <v>72.58</v>
      </c>
      <c r="D429" s="5">
        <v>24.31</v>
      </c>
      <c r="E429" s="5">
        <v>163.69</v>
      </c>
      <c r="F429" s="5">
        <v>12.22</v>
      </c>
      <c r="G429" s="5">
        <v>30.16</v>
      </c>
      <c r="H429" s="5">
        <v>39.4997</v>
      </c>
      <c r="I429" s="5">
        <v>31.651</v>
      </c>
    </row>
    <row r="430" ht="15.75" customHeight="1">
      <c r="A430" s="4">
        <v>45035.0</v>
      </c>
      <c r="B430" s="5">
        <v>116.57</v>
      </c>
      <c r="C430" s="5">
        <v>72.81</v>
      </c>
      <c r="D430" s="5">
        <v>24.26</v>
      </c>
      <c r="E430" s="5">
        <v>163.4</v>
      </c>
      <c r="F430" s="5">
        <v>11.56</v>
      </c>
      <c r="G430" s="5">
        <v>30.08</v>
      </c>
      <c r="H430" s="5">
        <v>39.3628</v>
      </c>
      <c r="I430" s="5">
        <v>31.8945</v>
      </c>
    </row>
    <row r="431" ht="15.75" customHeight="1">
      <c r="A431" s="4">
        <v>45036.0</v>
      </c>
      <c r="B431" s="5">
        <v>115.64</v>
      </c>
      <c r="C431" s="5">
        <v>73.02</v>
      </c>
      <c r="D431" s="5">
        <v>23.78</v>
      </c>
      <c r="E431" s="5">
        <v>162.96</v>
      </c>
      <c r="F431" s="5">
        <v>11.48</v>
      </c>
      <c r="G431" s="5">
        <v>29.83</v>
      </c>
      <c r="H431" s="5">
        <v>39.0159</v>
      </c>
      <c r="I431" s="5">
        <v>31.8854</v>
      </c>
    </row>
    <row r="432" ht="15.75" customHeight="1">
      <c r="A432" s="4">
        <v>45037.0</v>
      </c>
      <c r="B432" s="5">
        <v>116.01</v>
      </c>
      <c r="C432" s="5">
        <v>73.61</v>
      </c>
      <c r="D432" s="5">
        <v>23.7</v>
      </c>
      <c r="E432" s="5">
        <v>162.88</v>
      </c>
      <c r="F432" s="5">
        <v>11.3</v>
      </c>
      <c r="G432" s="5">
        <v>29.93</v>
      </c>
      <c r="H432" s="5">
        <v>38.7877</v>
      </c>
      <c r="I432" s="5">
        <v>31.9771</v>
      </c>
    </row>
    <row r="433" ht="15.75" customHeight="1">
      <c r="A433" s="4">
        <v>45040.0</v>
      </c>
      <c r="B433" s="5">
        <v>118.2</v>
      </c>
      <c r="C433" s="5">
        <v>74.1</v>
      </c>
      <c r="D433" s="5">
        <v>23.65</v>
      </c>
      <c r="E433" s="5">
        <v>163.79</v>
      </c>
      <c r="F433" s="5">
        <v>11.43</v>
      </c>
      <c r="G433" s="5">
        <v>30.33</v>
      </c>
      <c r="H433" s="5">
        <v>39.3811</v>
      </c>
      <c r="I433" s="5">
        <v>32.1378</v>
      </c>
    </row>
    <row r="434" ht="15.75" customHeight="1">
      <c r="A434" s="4">
        <v>45041.0</v>
      </c>
      <c r="B434" s="5">
        <v>116.52</v>
      </c>
      <c r="C434" s="5">
        <v>73.98</v>
      </c>
      <c r="D434" s="5">
        <v>23.35</v>
      </c>
      <c r="E434" s="5">
        <v>163.78</v>
      </c>
      <c r="F434" s="5">
        <v>11.12</v>
      </c>
      <c r="G434" s="5">
        <v>29.93</v>
      </c>
      <c r="H434" s="5">
        <v>38.6416</v>
      </c>
      <c r="I434" s="5">
        <v>32.1057</v>
      </c>
    </row>
    <row r="435" ht="15.75" customHeight="1">
      <c r="A435" s="4">
        <v>45042.0</v>
      </c>
      <c r="B435" s="5">
        <v>115.45</v>
      </c>
      <c r="C435" s="5">
        <v>72.59</v>
      </c>
      <c r="D435" s="5">
        <v>22.97</v>
      </c>
      <c r="E435" s="5">
        <v>161.92</v>
      </c>
      <c r="F435" s="5">
        <v>11.02</v>
      </c>
      <c r="G435" s="5">
        <v>29.44</v>
      </c>
      <c r="H435" s="5">
        <v>38.1259</v>
      </c>
      <c r="I435" s="5">
        <v>31.3524</v>
      </c>
    </row>
    <row r="436" ht="15.75" customHeight="1">
      <c r="A436" s="4">
        <v>45043.0</v>
      </c>
      <c r="B436" s="5">
        <v>116.83</v>
      </c>
      <c r="C436" s="5">
        <v>73.51</v>
      </c>
      <c r="D436" s="5">
        <v>23.13</v>
      </c>
      <c r="E436" s="5">
        <v>167.97</v>
      </c>
      <c r="F436" s="5">
        <v>11.08</v>
      </c>
      <c r="G436" s="5">
        <v>29.81</v>
      </c>
      <c r="H436" s="5">
        <v>38.2628</v>
      </c>
      <c r="I436" s="5">
        <v>31.7291</v>
      </c>
    </row>
    <row r="437" ht="15.75" customHeight="1">
      <c r="A437" s="4">
        <v>45044.0</v>
      </c>
      <c r="B437" s="5">
        <v>118.34</v>
      </c>
      <c r="C437" s="5">
        <v>73.55</v>
      </c>
      <c r="D437" s="5">
        <v>23.86</v>
      </c>
      <c r="E437" s="5">
        <v>167.12</v>
      </c>
      <c r="F437" s="5">
        <v>11.12</v>
      </c>
      <c r="G437" s="5">
        <v>30.26</v>
      </c>
      <c r="H437" s="5">
        <v>38.8562</v>
      </c>
      <c r="I437" s="5">
        <v>31.6831</v>
      </c>
    </row>
    <row r="438" ht="15.75" customHeight="1">
      <c r="A438" s="4">
        <v>45047.0</v>
      </c>
      <c r="B438" s="5">
        <v>114.67</v>
      </c>
      <c r="C438" s="5">
        <v>74.09</v>
      </c>
      <c r="D438" s="5">
        <v>23.43</v>
      </c>
      <c r="E438" s="5">
        <v>168.78</v>
      </c>
      <c r="F438" s="5">
        <v>10.97</v>
      </c>
      <c r="G438" s="5">
        <v>30.36</v>
      </c>
      <c r="H438" s="5">
        <v>38.418</v>
      </c>
      <c r="I438" s="5">
        <v>31.7383</v>
      </c>
    </row>
    <row r="439" ht="15.75" customHeight="1">
      <c r="A439" s="4">
        <v>45048.0</v>
      </c>
      <c r="B439" s="5">
        <v>110.1</v>
      </c>
      <c r="C439" s="5">
        <v>73.15</v>
      </c>
      <c r="D439" s="5">
        <v>23.11</v>
      </c>
      <c r="E439" s="5">
        <v>173.25</v>
      </c>
      <c r="F439" s="5">
        <v>10.81</v>
      </c>
      <c r="G439" s="5">
        <v>29.3</v>
      </c>
      <c r="H439" s="5">
        <v>36.7475</v>
      </c>
      <c r="I439" s="5">
        <v>31.3524</v>
      </c>
    </row>
    <row r="440" ht="15.75" customHeight="1">
      <c r="A440" s="4">
        <v>45049.0</v>
      </c>
      <c r="B440" s="5">
        <v>107.93</v>
      </c>
      <c r="C440" s="5">
        <v>73.33</v>
      </c>
      <c r="D440" s="5">
        <v>23.01</v>
      </c>
      <c r="E440" s="5">
        <v>172.38</v>
      </c>
      <c r="F440" s="5">
        <v>10.62</v>
      </c>
      <c r="G440" s="5">
        <v>28.96</v>
      </c>
      <c r="H440" s="5">
        <v>36.0536</v>
      </c>
      <c r="I440" s="5">
        <v>31.2652</v>
      </c>
    </row>
    <row r="441" ht="15.75" customHeight="1">
      <c r="A441" s="4">
        <v>45050.0</v>
      </c>
      <c r="B441" s="5">
        <v>106.04</v>
      </c>
      <c r="C441" s="5">
        <v>74.25</v>
      </c>
      <c r="D441" s="5">
        <v>23.17</v>
      </c>
      <c r="E441" s="5">
        <v>168.44</v>
      </c>
      <c r="F441" s="5">
        <v>10.54</v>
      </c>
      <c r="G441" s="5">
        <v>29.1</v>
      </c>
      <c r="H441" s="5">
        <v>35.6521</v>
      </c>
      <c r="I441" s="5">
        <v>31.504</v>
      </c>
    </row>
    <row r="442" ht="15.75" customHeight="1">
      <c r="A442" s="4">
        <v>45051.0</v>
      </c>
      <c r="B442" s="5">
        <v>108.68</v>
      </c>
      <c r="C442" s="5">
        <v>74.94</v>
      </c>
      <c r="D442" s="5">
        <v>23.42</v>
      </c>
      <c r="E442" s="5">
        <v>171.05</v>
      </c>
      <c r="F442" s="5">
        <v>11.39</v>
      </c>
      <c r="G442" s="5">
        <v>30.18</v>
      </c>
      <c r="H442" s="5">
        <v>36.6197</v>
      </c>
      <c r="I442" s="5">
        <v>31.7061</v>
      </c>
    </row>
    <row r="443" ht="15.75" customHeight="1">
      <c r="A443" s="4">
        <v>45054.0</v>
      </c>
      <c r="B443" s="5">
        <v>109.11</v>
      </c>
      <c r="C443" s="5">
        <v>74.57</v>
      </c>
      <c r="D443" s="5">
        <v>23.38</v>
      </c>
      <c r="E443" s="5">
        <v>169.88</v>
      </c>
      <c r="F443" s="5">
        <v>11.52</v>
      </c>
      <c r="G443" s="5">
        <v>29.56</v>
      </c>
      <c r="H443" s="5">
        <v>36.6197</v>
      </c>
      <c r="I443" s="5">
        <v>31.6096</v>
      </c>
    </row>
    <row r="444" ht="15.75" customHeight="1">
      <c r="A444" s="4">
        <v>45055.0</v>
      </c>
      <c r="B444" s="5">
        <v>109.14</v>
      </c>
      <c r="C444" s="5">
        <v>74.69</v>
      </c>
      <c r="D444" s="5">
        <v>24.6</v>
      </c>
      <c r="E444" s="5">
        <v>170.55</v>
      </c>
      <c r="F444" s="5">
        <v>11.74</v>
      </c>
      <c r="G444" s="5">
        <v>29.45</v>
      </c>
      <c r="H444" s="5">
        <v>36.6333</v>
      </c>
      <c r="I444" s="5">
        <v>31.5683</v>
      </c>
    </row>
    <row r="445" ht="15.75" customHeight="1">
      <c r="A445" s="4">
        <v>45056.0</v>
      </c>
      <c r="B445" s="5">
        <v>107.74</v>
      </c>
      <c r="C445" s="5">
        <v>75.66</v>
      </c>
      <c r="D445" s="5">
        <v>25.22</v>
      </c>
      <c r="E445" s="5">
        <v>169.11</v>
      </c>
      <c r="F445" s="5">
        <v>11.65</v>
      </c>
      <c r="G445" s="5">
        <v>29.16</v>
      </c>
      <c r="H445" s="5">
        <v>36.2179</v>
      </c>
      <c r="I445" s="5">
        <v>31.8577</v>
      </c>
    </row>
    <row r="446" ht="15.75" customHeight="1">
      <c r="A446" s="4">
        <v>45057.0</v>
      </c>
      <c r="B446" s="5">
        <v>105.79</v>
      </c>
      <c r="C446" s="5">
        <v>74.65</v>
      </c>
      <c r="D446" s="5">
        <v>24.64</v>
      </c>
      <c r="E446" s="5">
        <v>168.52</v>
      </c>
      <c r="F446" s="5">
        <v>11.75</v>
      </c>
      <c r="G446" s="5">
        <v>29.0</v>
      </c>
      <c r="H446" s="5">
        <v>35.7843</v>
      </c>
      <c r="I446" s="5">
        <v>31.5316</v>
      </c>
    </row>
    <row r="447" ht="15.75" customHeight="1">
      <c r="A447" s="4">
        <v>45058.0</v>
      </c>
      <c r="B447" s="5">
        <v>105.78</v>
      </c>
      <c r="C447" s="5">
        <v>73.35</v>
      </c>
      <c r="D447" s="5">
        <v>24.52</v>
      </c>
      <c r="E447" s="5">
        <v>168.58</v>
      </c>
      <c r="F447" s="5">
        <v>11.36</v>
      </c>
      <c r="G447" s="5">
        <v>29.28</v>
      </c>
      <c r="H447" s="5">
        <v>35.8391</v>
      </c>
      <c r="I447" s="5">
        <v>31.7061</v>
      </c>
    </row>
    <row r="448" ht="15.75" customHeight="1">
      <c r="A448" s="4">
        <v>45061.0</v>
      </c>
      <c r="B448" s="5">
        <v>105.07</v>
      </c>
      <c r="C448" s="5">
        <v>72.42</v>
      </c>
      <c r="D448" s="5">
        <v>24.8</v>
      </c>
      <c r="E448" s="5">
        <v>169.92</v>
      </c>
      <c r="F448" s="5">
        <v>11.13</v>
      </c>
      <c r="G448" s="5">
        <v>29.1</v>
      </c>
      <c r="H448" s="5">
        <v>36.0217</v>
      </c>
      <c r="I448" s="5">
        <v>31.3065</v>
      </c>
    </row>
    <row r="449" ht="15.75" customHeight="1">
      <c r="A449" s="4">
        <v>45062.0</v>
      </c>
      <c r="B449" s="5">
        <v>102.52</v>
      </c>
      <c r="C449" s="5">
        <v>70.9</v>
      </c>
      <c r="D449" s="5">
        <v>24.35</v>
      </c>
      <c r="E449" s="5">
        <v>166.41</v>
      </c>
      <c r="F449" s="5">
        <v>10.8</v>
      </c>
      <c r="G449" s="5">
        <v>28.65</v>
      </c>
      <c r="H449" s="5">
        <v>35.1362</v>
      </c>
      <c r="I449" s="5">
        <v>30.6129</v>
      </c>
    </row>
    <row r="450" ht="15.75" customHeight="1">
      <c r="A450" s="4">
        <v>45063.0</v>
      </c>
      <c r="B450" s="5">
        <v>104.82</v>
      </c>
      <c r="C450" s="5">
        <v>70.94</v>
      </c>
      <c r="D450" s="5">
        <v>24.35</v>
      </c>
      <c r="E450" s="5">
        <v>171.0</v>
      </c>
      <c r="F450" s="5">
        <v>11.06</v>
      </c>
      <c r="G450" s="5">
        <v>28.95</v>
      </c>
      <c r="H450" s="5">
        <v>35.8117</v>
      </c>
      <c r="I450" s="5">
        <v>30.5027</v>
      </c>
    </row>
    <row r="451" ht="15.75" customHeight="1">
      <c r="A451" s="4">
        <v>45064.0</v>
      </c>
      <c r="B451" s="5">
        <v>105.77</v>
      </c>
      <c r="C451" s="5">
        <v>71.05</v>
      </c>
      <c r="D451" s="5">
        <v>24.44</v>
      </c>
      <c r="E451" s="5">
        <v>174.61</v>
      </c>
      <c r="F451" s="5">
        <v>10.88</v>
      </c>
      <c r="G451" s="5">
        <v>29.21</v>
      </c>
      <c r="H451" s="5">
        <v>36.0719</v>
      </c>
      <c r="I451" s="5">
        <v>30.4109</v>
      </c>
    </row>
    <row r="452" ht="15.75" customHeight="1">
      <c r="A452" s="4">
        <v>45065.0</v>
      </c>
      <c r="B452" s="5">
        <v>106.26</v>
      </c>
      <c r="C452" s="5">
        <v>71.41</v>
      </c>
      <c r="D452" s="5">
        <v>24.51</v>
      </c>
      <c r="E452" s="5">
        <v>174.15</v>
      </c>
      <c r="F452" s="5">
        <v>10.81</v>
      </c>
      <c r="G452" s="5">
        <v>29.24</v>
      </c>
      <c r="H452" s="5">
        <v>36.3502</v>
      </c>
      <c r="I452" s="5">
        <v>30.365</v>
      </c>
    </row>
    <row r="453" ht="15.75" customHeight="1">
      <c r="A453" s="4">
        <v>45068.0</v>
      </c>
      <c r="B453" s="5">
        <v>104.97</v>
      </c>
      <c r="C453" s="5">
        <v>70.95</v>
      </c>
      <c r="D453" s="5">
        <v>24.51</v>
      </c>
      <c r="E453" s="5">
        <v>174.18</v>
      </c>
      <c r="F453" s="5">
        <v>10.8</v>
      </c>
      <c r="G453" s="5">
        <v>29.23</v>
      </c>
      <c r="H453" s="5">
        <v>36.1996</v>
      </c>
      <c r="I453" s="5">
        <v>30.3741</v>
      </c>
    </row>
    <row r="454" ht="15.75" customHeight="1">
      <c r="A454" s="4">
        <v>45069.0</v>
      </c>
      <c r="B454" s="5">
        <v>106.4</v>
      </c>
      <c r="C454" s="5">
        <v>71.15</v>
      </c>
      <c r="D454" s="5">
        <v>24.56</v>
      </c>
      <c r="E454" s="5">
        <v>171.36</v>
      </c>
      <c r="F454" s="5">
        <v>11.17</v>
      </c>
      <c r="G454" s="5">
        <v>29.38</v>
      </c>
      <c r="H454" s="5">
        <v>36.5877</v>
      </c>
      <c r="I454" s="5">
        <v>30.2685</v>
      </c>
    </row>
    <row r="455" ht="15.75" customHeight="1">
      <c r="A455" s="4">
        <v>45070.0</v>
      </c>
      <c r="B455" s="5">
        <v>107.59</v>
      </c>
      <c r="C455" s="5">
        <v>70.85</v>
      </c>
      <c r="D455" s="5">
        <v>24.4</v>
      </c>
      <c r="E455" s="5">
        <v>168.17</v>
      </c>
      <c r="F455" s="5">
        <v>11.38</v>
      </c>
      <c r="G455" s="5">
        <v>29.27</v>
      </c>
      <c r="H455" s="5">
        <v>36.7475</v>
      </c>
      <c r="I455" s="5">
        <v>30.0711</v>
      </c>
    </row>
    <row r="456" ht="15.75" customHeight="1">
      <c r="A456" s="4">
        <v>45071.0</v>
      </c>
      <c r="B456" s="5">
        <v>105.66</v>
      </c>
      <c r="C456" s="5">
        <v>69.82</v>
      </c>
      <c r="D456" s="5">
        <v>24.27</v>
      </c>
      <c r="E456" s="5">
        <v>176.95</v>
      </c>
      <c r="F456" s="5">
        <v>11.06</v>
      </c>
      <c r="G456" s="5">
        <v>29.08</v>
      </c>
      <c r="H456" s="5">
        <v>36.0947</v>
      </c>
      <c r="I456" s="5">
        <v>29.6668</v>
      </c>
    </row>
    <row r="457" ht="15.75" customHeight="1">
      <c r="A457" s="4">
        <v>45072.0</v>
      </c>
      <c r="B457" s="5">
        <v>104.97</v>
      </c>
      <c r="C457" s="5">
        <v>69.47</v>
      </c>
      <c r="D457" s="5">
        <v>24.45</v>
      </c>
      <c r="E457" s="5">
        <v>182.46</v>
      </c>
      <c r="F457" s="5">
        <v>11.12</v>
      </c>
      <c r="G457" s="5">
        <v>28.75</v>
      </c>
      <c r="H457" s="5">
        <v>35.9533</v>
      </c>
      <c r="I457" s="5">
        <v>29.6668</v>
      </c>
    </row>
    <row r="458" ht="15.75" customHeight="1">
      <c r="A458" s="4">
        <v>45076.0</v>
      </c>
      <c r="B458" s="5">
        <v>104.04</v>
      </c>
      <c r="C458" s="5">
        <v>69.83</v>
      </c>
      <c r="D458" s="5">
        <v>23.95</v>
      </c>
      <c r="E458" s="5">
        <v>181.81</v>
      </c>
      <c r="F458" s="5">
        <v>11.28</v>
      </c>
      <c r="G458" s="5">
        <v>28.56</v>
      </c>
      <c r="H458" s="5">
        <v>35.5835</v>
      </c>
      <c r="I458" s="5">
        <v>29.5521</v>
      </c>
    </row>
    <row r="459" ht="15.75" customHeight="1">
      <c r="A459" s="4">
        <v>45077.0</v>
      </c>
      <c r="B459" s="5">
        <v>102.18</v>
      </c>
      <c r="C459" s="5">
        <v>69.75</v>
      </c>
      <c r="D459" s="5">
        <v>23.97</v>
      </c>
      <c r="E459" s="5">
        <v>175.9</v>
      </c>
      <c r="F459" s="5">
        <v>10.99</v>
      </c>
      <c r="G459" s="5">
        <v>28.66</v>
      </c>
      <c r="H459" s="5">
        <v>34.9582</v>
      </c>
      <c r="I459" s="5">
        <v>29.8229</v>
      </c>
    </row>
    <row r="460" ht="15.75" customHeight="1">
      <c r="A460" s="4">
        <v>45078.0</v>
      </c>
      <c r="B460" s="5">
        <v>103.36</v>
      </c>
      <c r="C460" s="5">
        <v>69.18</v>
      </c>
      <c r="D460" s="5">
        <v>24.64</v>
      </c>
      <c r="E460" s="5">
        <v>179.04</v>
      </c>
      <c r="F460" s="5">
        <v>11.3</v>
      </c>
      <c r="G460" s="5">
        <v>29.11</v>
      </c>
      <c r="H460" s="5">
        <v>35.3918</v>
      </c>
      <c r="I460" s="5">
        <v>29.6025</v>
      </c>
    </row>
    <row r="461" ht="15.75" customHeight="1">
      <c r="A461" s="4">
        <v>45079.0</v>
      </c>
      <c r="B461" s="5">
        <v>105.76</v>
      </c>
      <c r="C461" s="5">
        <v>69.45</v>
      </c>
      <c r="D461" s="5">
        <v>24.72</v>
      </c>
      <c r="E461" s="5">
        <v>186.48</v>
      </c>
      <c r="F461" s="5">
        <v>11.48</v>
      </c>
      <c r="G461" s="5">
        <v>30.23</v>
      </c>
      <c r="H461" s="5">
        <v>36.4691</v>
      </c>
      <c r="I461" s="5">
        <v>29.9102</v>
      </c>
    </row>
    <row r="462" ht="15.75" customHeight="1">
      <c r="A462" s="4">
        <v>45082.0</v>
      </c>
      <c r="B462" s="5">
        <v>105.29</v>
      </c>
      <c r="C462" s="5">
        <v>69.69</v>
      </c>
      <c r="D462" s="5">
        <v>24.9</v>
      </c>
      <c r="E462" s="5">
        <v>183.59</v>
      </c>
      <c r="F462" s="5">
        <v>11.73</v>
      </c>
      <c r="G462" s="5">
        <v>30.14</v>
      </c>
      <c r="H462" s="5">
        <v>36.2272</v>
      </c>
      <c r="I462" s="5">
        <v>30.0526</v>
      </c>
    </row>
    <row r="463" ht="15.75" customHeight="1">
      <c r="A463" s="4">
        <v>45083.0</v>
      </c>
      <c r="B463" s="5">
        <v>106.15</v>
      </c>
      <c r="C463" s="5">
        <v>69.37</v>
      </c>
      <c r="D463" s="5">
        <v>24.73</v>
      </c>
      <c r="E463" s="5">
        <v>183.42</v>
      </c>
      <c r="F463" s="5">
        <v>12.46</v>
      </c>
      <c r="G463" s="5">
        <v>30.35</v>
      </c>
      <c r="H463" s="5">
        <v>36.5193</v>
      </c>
      <c r="I463" s="5">
        <v>30.0297</v>
      </c>
    </row>
    <row r="464" ht="15.75" customHeight="1">
      <c r="A464" s="4">
        <v>45084.0</v>
      </c>
      <c r="B464" s="5">
        <v>108.53</v>
      </c>
      <c r="C464" s="5">
        <v>70.13</v>
      </c>
      <c r="D464" s="5">
        <v>25.16</v>
      </c>
      <c r="E464" s="5">
        <v>188.6</v>
      </c>
      <c r="F464" s="5">
        <v>12.53</v>
      </c>
      <c r="G464" s="5">
        <v>31.4</v>
      </c>
      <c r="H464" s="5">
        <v>37.4868</v>
      </c>
      <c r="I464" s="5">
        <v>30.5395</v>
      </c>
    </row>
    <row r="465" ht="15.75" customHeight="1">
      <c r="A465" s="4">
        <v>45085.0</v>
      </c>
      <c r="B465" s="5">
        <v>108.19</v>
      </c>
      <c r="C465" s="5">
        <v>71.08</v>
      </c>
      <c r="D465" s="5">
        <v>24.82</v>
      </c>
      <c r="E465" s="5">
        <v>187.82</v>
      </c>
      <c r="F465" s="5">
        <v>12.62</v>
      </c>
      <c r="G465" s="5">
        <v>31.7</v>
      </c>
      <c r="H465" s="5">
        <v>37.3271</v>
      </c>
      <c r="I465" s="5">
        <v>30.6727</v>
      </c>
    </row>
    <row r="466" ht="15.75" customHeight="1">
      <c r="A466" s="4">
        <v>45086.0</v>
      </c>
      <c r="B466" s="5">
        <v>107.39</v>
      </c>
      <c r="C466" s="5">
        <v>71.26</v>
      </c>
      <c r="D466" s="5">
        <v>24.82</v>
      </c>
      <c r="E466" s="5">
        <v>187.3</v>
      </c>
      <c r="F466" s="5">
        <v>12.55</v>
      </c>
      <c r="G466" s="5">
        <v>30.39</v>
      </c>
      <c r="H466" s="5">
        <v>37.1217</v>
      </c>
      <c r="I466" s="5">
        <v>30.4936</v>
      </c>
    </row>
    <row r="467" ht="15.75" customHeight="1">
      <c r="A467" s="4">
        <v>45089.0</v>
      </c>
      <c r="B467" s="5">
        <v>106.42</v>
      </c>
      <c r="C467" s="5">
        <v>70.84</v>
      </c>
      <c r="D467" s="5">
        <v>24.7</v>
      </c>
      <c r="E467" s="5">
        <v>189.55</v>
      </c>
      <c r="F467" s="5">
        <v>12.39</v>
      </c>
      <c r="G467" s="5">
        <v>30.56</v>
      </c>
      <c r="H467" s="5">
        <v>36.7658</v>
      </c>
      <c r="I467" s="5">
        <v>30.4384</v>
      </c>
    </row>
    <row r="468" ht="15.75" customHeight="1">
      <c r="A468" s="4">
        <v>45090.0</v>
      </c>
      <c r="B468" s="5">
        <v>106.44</v>
      </c>
      <c r="C468" s="5">
        <v>70.45</v>
      </c>
      <c r="D468" s="5">
        <v>24.9</v>
      </c>
      <c r="E468" s="5">
        <v>193.86</v>
      </c>
      <c r="F468" s="5">
        <v>12.4</v>
      </c>
      <c r="G468" s="5">
        <v>30.48</v>
      </c>
      <c r="H468" s="5">
        <v>36.9391</v>
      </c>
      <c r="I468" s="5">
        <v>30.4336</v>
      </c>
    </row>
    <row r="469" ht="15.75" customHeight="1">
      <c r="A469" s="4">
        <v>45091.0</v>
      </c>
      <c r="B469" s="5">
        <v>105.16</v>
      </c>
      <c r="C469" s="5">
        <v>70.48</v>
      </c>
      <c r="D469" s="5">
        <v>24.81</v>
      </c>
      <c r="E469" s="5">
        <v>193.07</v>
      </c>
      <c r="F469" s="5">
        <v>12.5</v>
      </c>
      <c r="G469" s="5">
        <v>30.2</v>
      </c>
      <c r="H469" s="5">
        <v>36.5603</v>
      </c>
      <c r="I469" s="5">
        <v>30.4155</v>
      </c>
    </row>
    <row r="470" ht="15.75" customHeight="1">
      <c r="A470" s="4">
        <v>45092.0</v>
      </c>
      <c r="B470" s="5">
        <v>105.89</v>
      </c>
      <c r="C470" s="5">
        <v>70.76</v>
      </c>
      <c r="D470" s="5">
        <v>25.33</v>
      </c>
      <c r="E470" s="5">
        <v>196.89</v>
      </c>
      <c r="F470" s="5">
        <v>13.45</v>
      </c>
      <c r="G470" s="5">
        <v>30.57</v>
      </c>
      <c r="H470" s="5">
        <v>36.9619</v>
      </c>
      <c r="I470" s="5">
        <v>30.7461</v>
      </c>
    </row>
    <row r="471" ht="15.75" customHeight="1">
      <c r="A471" s="4">
        <v>45093.0</v>
      </c>
      <c r="B471" s="5">
        <v>105.13</v>
      </c>
      <c r="C471" s="5">
        <v>71.76</v>
      </c>
      <c r="D471" s="5">
        <v>25.06</v>
      </c>
      <c r="E471" s="5">
        <v>191.26</v>
      </c>
      <c r="F471" s="5">
        <v>14.55</v>
      </c>
      <c r="G471" s="5">
        <v>30.53</v>
      </c>
      <c r="H471" s="5">
        <v>36.9073</v>
      </c>
      <c r="I471" s="5">
        <v>30.9116</v>
      </c>
    </row>
    <row r="472" ht="15.75" customHeight="1">
      <c r="A472" s="4">
        <v>45097.0</v>
      </c>
      <c r="B472" s="5">
        <v>102.72</v>
      </c>
      <c r="C472" s="5">
        <v>70.34</v>
      </c>
      <c r="D472" s="5">
        <v>24.97</v>
      </c>
      <c r="E472" s="5">
        <v>194.23</v>
      </c>
      <c r="F472" s="5">
        <v>14.54</v>
      </c>
      <c r="G472" s="5">
        <v>30.64</v>
      </c>
      <c r="H472" s="5">
        <v>36.081</v>
      </c>
      <c r="I472" s="5">
        <v>30.5488</v>
      </c>
    </row>
    <row r="473" ht="15.75" customHeight="1">
      <c r="A473" s="4">
        <v>45098.0</v>
      </c>
      <c r="B473" s="5">
        <v>103.87</v>
      </c>
      <c r="C473" s="5">
        <v>71.64</v>
      </c>
      <c r="D473" s="5">
        <v>25.15</v>
      </c>
      <c r="E473" s="5">
        <v>194.84</v>
      </c>
      <c r="F473" s="5">
        <v>15.45</v>
      </c>
      <c r="G473" s="5">
        <v>30.82</v>
      </c>
      <c r="H473" s="5">
        <v>36.3666</v>
      </c>
      <c r="I473" s="5">
        <v>30.7942</v>
      </c>
    </row>
    <row r="474" ht="15.75" customHeight="1">
      <c r="A474" s="4">
        <v>45099.0</v>
      </c>
      <c r="B474" s="5">
        <v>103.3</v>
      </c>
      <c r="C474" s="5">
        <v>71.3</v>
      </c>
      <c r="D474" s="5">
        <v>25.3</v>
      </c>
      <c r="E474" s="5">
        <v>195.6</v>
      </c>
      <c r="F474" s="5">
        <v>14.73</v>
      </c>
      <c r="G474" s="5">
        <v>30.57</v>
      </c>
      <c r="H474" s="5">
        <v>35.8785</v>
      </c>
      <c r="I474" s="5">
        <v>30.5581</v>
      </c>
    </row>
    <row r="475" ht="15.75" customHeight="1">
      <c r="A475" s="4">
        <v>45100.0</v>
      </c>
      <c r="B475" s="5">
        <v>102.4</v>
      </c>
      <c r="C475" s="5">
        <v>70.45</v>
      </c>
      <c r="D475" s="5">
        <v>25.1</v>
      </c>
      <c r="E475" s="5">
        <v>194.46</v>
      </c>
      <c r="F475" s="5">
        <v>14.79</v>
      </c>
      <c r="G475" s="5">
        <v>30.59</v>
      </c>
      <c r="H475" s="5">
        <v>35.6206</v>
      </c>
      <c r="I475" s="5">
        <v>30.109</v>
      </c>
    </row>
    <row r="476" ht="15.75" customHeight="1">
      <c r="A476" s="4">
        <v>45103.0</v>
      </c>
      <c r="B476" s="5">
        <v>104.29</v>
      </c>
      <c r="C476" s="5">
        <v>71.73</v>
      </c>
      <c r="D476" s="5">
        <v>25.6</v>
      </c>
      <c r="E476" s="5">
        <v>196.08</v>
      </c>
      <c r="F476" s="5">
        <v>15.4</v>
      </c>
      <c r="G476" s="5">
        <v>31.07</v>
      </c>
      <c r="H476" s="5">
        <v>36.2607</v>
      </c>
      <c r="I476" s="5">
        <v>30.4053</v>
      </c>
    </row>
    <row r="477" ht="15.75" customHeight="1">
      <c r="A477" s="4">
        <v>45104.0</v>
      </c>
      <c r="B477" s="5">
        <v>104.55</v>
      </c>
      <c r="C477" s="5">
        <v>71.12</v>
      </c>
      <c r="D477" s="5">
        <v>25.79</v>
      </c>
      <c r="E477" s="5">
        <v>197.65</v>
      </c>
      <c r="F477" s="5">
        <v>14.99</v>
      </c>
      <c r="G477" s="5">
        <v>31.37</v>
      </c>
      <c r="H477" s="5">
        <v>36.3436</v>
      </c>
      <c r="I477" s="5">
        <v>30.4146</v>
      </c>
    </row>
    <row r="478" ht="15.75" customHeight="1">
      <c r="A478" s="4">
        <v>45105.0</v>
      </c>
      <c r="B478" s="5">
        <v>105.4</v>
      </c>
      <c r="C478" s="5">
        <v>69.87</v>
      </c>
      <c r="D478" s="5">
        <v>25.73</v>
      </c>
      <c r="E478" s="5">
        <v>194.75</v>
      </c>
      <c r="F478" s="5">
        <v>14.77</v>
      </c>
      <c r="G478" s="5">
        <v>32.02</v>
      </c>
      <c r="H478" s="5">
        <v>36.7118</v>
      </c>
      <c r="I478" s="5">
        <v>29.9654</v>
      </c>
    </row>
    <row r="479" ht="15.75" customHeight="1">
      <c r="A479" s="4">
        <v>45106.0</v>
      </c>
      <c r="B479" s="5">
        <v>106.7</v>
      </c>
      <c r="C479" s="5">
        <v>69.14</v>
      </c>
      <c r="D479" s="5">
        <v>26.04</v>
      </c>
      <c r="E479" s="5">
        <v>198.85</v>
      </c>
      <c r="F479" s="5">
        <v>15.19</v>
      </c>
      <c r="G479" s="5">
        <v>32.53</v>
      </c>
      <c r="H479" s="5">
        <v>37.1354</v>
      </c>
      <c r="I479" s="5">
        <v>29.9654</v>
      </c>
    </row>
    <row r="480" ht="15.75" customHeight="1">
      <c r="A480" s="4">
        <v>45107.0</v>
      </c>
      <c r="B480" s="5">
        <v>107.25</v>
      </c>
      <c r="C480" s="5">
        <v>70.25</v>
      </c>
      <c r="D480" s="5">
        <v>26.25</v>
      </c>
      <c r="E480" s="5">
        <v>201.1</v>
      </c>
      <c r="F480" s="5">
        <v>14.89</v>
      </c>
      <c r="G480" s="5">
        <v>32.63</v>
      </c>
      <c r="H480" s="5">
        <v>37.375</v>
      </c>
      <c r="I480" s="5">
        <v>30.2988</v>
      </c>
    </row>
    <row r="481" ht="15.75" customHeight="1">
      <c r="A481" s="4">
        <v>45110.0</v>
      </c>
      <c r="B481" s="5">
        <v>107.46</v>
      </c>
      <c r="C481" s="5">
        <v>70.57</v>
      </c>
      <c r="D481" s="5">
        <v>26.09</v>
      </c>
      <c r="E481" s="5">
        <v>200.63</v>
      </c>
      <c r="F481" s="5">
        <v>14.89</v>
      </c>
      <c r="G481" s="5">
        <v>32.72</v>
      </c>
      <c r="H481" s="5">
        <v>37.4624</v>
      </c>
      <c r="I481" s="5">
        <v>30.5258</v>
      </c>
    </row>
    <row r="482" ht="15.75" customHeight="1">
      <c r="A482" s="4">
        <v>45112.0</v>
      </c>
      <c r="B482" s="5">
        <v>106.91</v>
      </c>
      <c r="C482" s="5">
        <v>71.68</v>
      </c>
      <c r="D482" s="5">
        <v>26.84</v>
      </c>
      <c r="E482" s="5">
        <v>198.9</v>
      </c>
      <c r="F482" s="5">
        <v>15.15</v>
      </c>
      <c r="G482" s="5">
        <v>32.46</v>
      </c>
      <c r="H482" s="5">
        <v>37.2552</v>
      </c>
      <c r="I482" s="5">
        <v>30.873</v>
      </c>
    </row>
    <row r="483" ht="15.75" customHeight="1">
      <c r="A483" s="4">
        <v>45113.0</v>
      </c>
      <c r="B483" s="5">
        <v>102.92</v>
      </c>
      <c r="C483" s="5">
        <v>70.79</v>
      </c>
      <c r="D483" s="5">
        <v>26.95</v>
      </c>
      <c r="E483" s="5">
        <v>197.75</v>
      </c>
      <c r="F483" s="5">
        <v>14.05</v>
      </c>
      <c r="G483" s="5">
        <v>32.37</v>
      </c>
      <c r="H483" s="5">
        <v>36.4172</v>
      </c>
      <c r="I483" s="5">
        <v>30.4978</v>
      </c>
    </row>
    <row r="484" ht="15.75" customHeight="1">
      <c r="A484" s="4">
        <v>45114.0</v>
      </c>
      <c r="B484" s="5">
        <v>103.16</v>
      </c>
      <c r="C484" s="5">
        <v>70.68</v>
      </c>
      <c r="D484" s="5">
        <v>26.7</v>
      </c>
      <c r="E484" s="5">
        <v>198.46</v>
      </c>
      <c r="F484" s="5">
        <v>14.37</v>
      </c>
      <c r="G484" s="5">
        <v>32.73</v>
      </c>
      <c r="H484" s="5">
        <v>37.2</v>
      </c>
      <c r="I484" s="5">
        <v>30.2756</v>
      </c>
    </row>
    <row r="485" ht="15.75" customHeight="1">
      <c r="A485" s="4">
        <v>45117.0</v>
      </c>
      <c r="B485" s="5">
        <v>104.69</v>
      </c>
      <c r="C485" s="5">
        <v>70.14</v>
      </c>
      <c r="D485" s="5">
        <v>26.46</v>
      </c>
      <c r="E485" s="5">
        <v>203.06</v>
      </c>
      <c r="F485" s="5">
        <v>14.51</v>
      </c>
      <c r="G485" s="5">
        <v>32.91</v>
      </c>
      <c r="H485" s="5">
        <v>37.49</v>
      </c>
      <c r="I485" s="5">
        <v>30.146</v>
      </c>
    </row>
    <row r="486" ht="15.75" customHeight="1">
      <c r="A486" s="4">
        <v>45118.0</v>
      </c>
      <c r="B486" s="5">
        <v>105.97</v>
      </c>
      <c r="C486" s="5">
        <v>70.73</v>
      </c>
      <c r="D486" s="5">
        <v>26.52</v>
      </c>
      <c r="E486" s="5">
        <v>202.97</v>
      </c>
      <c r="F486" s="5">
        <v>14.42</v>
      </c>
      <c r="G486" s="5">
        <v>33.55</v>
      </c>
      <c r="H486" s="5">
        <v>38.3142</v>
      </c>
      <c r="I486" s="5">
        <v>30.521</v>
      </c>
    </row>
    <row r="487" ht="15.75" customHeight="1">
      <c r="A487" s="4">
        <v>45119.0</v>
      </c>
      <c r="B487" s="5">
        <v>106.49</v>
      </c>
      <c r="C487" s="5">
        <v>71.59</v>
      </c>
      <c r="D487" s="5">
        <v>26.76</v>
      </c>
      <c r="E487" s="5">
        <v>201.92</v>
      </c>
      <c r="F487" s="5">
        <v>14.94</v>
      </c>
      <c r="G487" s="5">
        <v>34.11</v>
      </c>
      <c r="H487" s="5">
        <v>38.6688</v>
      </c>
      <c r="I487" s="5">
        <v>30.9655</v>
      </c>
    </row>
    <row r="488" ht="15.75" customHeight="1">
      <c r="A488" s="4">
        <v>45120.0</v>
      </c>
      <c r="B488" s="5">
        <v>104.54</v>
      </c>
      <c r="C488" s="5">
        <v>71.48</v>
      </c>
      <c r="D488" s="5">
        <v>26.71</v>
      </c>
      <c r="E488" s="5">
        <v>204.36</v>
      </c>
      <c r="F488" s="5">
        <v>15.17</v>
      </c>
      <c r="G488" s="5">
        <v>34.26</v>
      </c>
      <c r="H488" s="5">
        <v>38.5215</v>
      </c>
      <c r="I488" s="5">
        <v>31.0721</v>
      </c>
    </row>
    <row r="489" ht="15.75" customHeight="1">
      <c r="A489" s="4">
        <v>45121.0</v>
      </c>
      <c r="B489" s="5">
        <v>100.94</v>
      </c>
      <c r="C489" s="5">
        <v>71.38</v>
      </c>
      <c r="D489" s="5">
        <v>26.34</v>
      </c>
      <c r="E489" s="5">
        <v>203.46</v>
      </c>
      <c r="F489" s="5">
        <v>14.48</v>
      </c>
      <c r="G489" s="5">
        <v>33.38</v>
      </c>
      <c r="H489" s="5">
        <v>37.5039</v>
      </c>
      <c r="I489" s="5">
        <v>30.9516</v>
      </c>
    </row>
    <row r="490" ht="15.75" customHeight="1">
      <c r="A490" s="4">
        <v>45124.0</v>
      </c>
      <c r="B490" s="5">
        <v>101.38</v>
      </c>
      <c r="C490" s="5">
        <v>70.18</v>
      </c>
      <c r="D490" s="5">
        <v>26.13</v>
      </c>
      <c r="E490" s="5">
        <v>205.96</v>
      </c>
      <c r="F490" s="5">
        <v>15.24</v>
      </c>
      <c r="G490" s="5">
        <v>33.01</v>
      </c>
      <c r="H490" s="5">
        <v>37.4302</v>
      </c>
      <c r="I490" s="5">
        <v>30.5951</v>
      </c>
    </row>
    <row r="491" ht="15.75" customHeight="1">
      <c r="A491" s="4">
        <v>45125.0</v>
      </c>
      <c r="B491" s="5">
        <v>100.92</v>
      </c>
      <c r="C491" s="5">
        <v>69.09</v>
      </c>
      <c r="D491" s="5">
        <v>26.78</v>
      </c>
      <c r="E491" s="5">
        <v>210.34</v>
      </c>
      <c r="F491" s="5">
        <v>15.48</v>
      </c>
      <c r="G491" s="5">
        <v>33.34</v>
      </c>
      <c r="H491" s="5">
        <v>37.8077</v>
      </c>
      <c r="I491" s="5">
        <v>30.359</v>
      </c>
    </row>
    <row r="492" ht="15.75" customHeight="1">
      <c r="A492" s="4">
        <v>45126.0</v>
      </c>
      <c r="B492" s="5">
        <v>101.62</v>
      </c>
      <c r="C492" s="5">
        <v>70.14</v>
      </c>
      <c r="D492" s="5">
        <v>27.33</v>
      </c>
      <c r="E492" s="5">
        <v>209.81</v>
      </c>
      <c r="F492" s="5">
        <v>15.35</v>
      </c>
      <c r="G492" s="5">
        <v>33.32</v>
      </c>
      <c r="H492" s="5">
        <v>38.0288</v>
      </c>
      <c r="I492" s="5">
        <v>30.6692</v>
      </c>
    </row>
    <row r="493" ht="15.75" customHeight="1">
      <c r="A493" s="4">
        <v>45127.0</v>
      </c>
      <c r="B493" s="5">
        <v>103.41</v>
      </c>
      <c r="C493" s="5">
        <v>71.07</v>
      </c>
      <c r="D493" s="5">
        <v>27.37</v>
      </c>
      <c r="E493" s="5">
        <v>210.91</v>
      </c>
      <c r="F493" s="5">
        <v>15.25</v>
      </c>
      <c r="G493" s="5">
        <v>33.6</v>
      </c>
      <c r="H493" s="5">
        <v>38.4754</v>
      </c>
      <c r="I493" s="5">
        <v>31.2295</v>
      </c>
    </row>
    <row r="494" ht="15.75" customHeight="1">
      <c r="A494" s="4">
        <v>45128.0</v>
      </c>
      <c r="B494" s="5">
        <v>103.89</v>
      </c>
      <c r="C494" s="5">
        <v>73.06</v>
      </c>
      <c r="D494" s="5">
        <v>28.36</v>
      </c>
      <c r="E494" s="5">
        <v>207.69</v>
      </c>
      <c r="F494" s="5">
        <v>15.46</v>
      </c>
      <c r="G494" s="5">
        <v>33.85</v>
      </c>
      <c r="H494" s="5">
        <v>38.8161</v>
      </c>
      <c r="I494" s="5">
        <v>31.697</v>
      </c>
    </row>
    <row r="495" ht="15.75" customHeight="1">
      <c r="A495" s="4">
        <v>45131.0</v>
      </c>
      <c r="B495" s="5">
        <v>105.52</v>
      </c>
      <c r="C495" s="5">
        <v>72.95</v>
      </c>
      <c r="D495" s="5">
        <v>28.3</v>
      </c>
      <c r="E495" s="5">
        <v>207.36</v>
      </c>
      <c r="F495" s="5">
        <v>15.63</v>
      </c>
      <c r="G495" s="5">
        <v>33.96</v>
      </c>
      <c r="H495" s="5">
        <v>39.4424</v>
      </c>
      <c r="I495" s="5">
        <v>31.6136</v>
      </c>
    </row>
    <row r="496" ht="15.75" customHeight="1">
      <c r="A496" s="4">
        <v>45132.0</v>
      </c>
      <c r="B496" s="5">
        <v>105.68</v>
      </c>
      <c r="C496" s="5">
        <v>72.61</v>
      </c>
      <c r="D496" s="5">
        <v>28.1</v>
      </c>
      <c r="E496" s="5">
        <v>206.29</v>
      </c>
      <c r="F496" s="5">
        <v>15.63</v>
      </c>
      <c r="G496" s="5">
        <v>33.98</v>
      </c>
      <c r="H496" s="5">
        <v>39.6496</v>
      </c>
      <c r="I496" s="5">
        <v>31.6693</v>
      </c>
    </row>
    <row r="497" ht="15.75" customHeight="1">
      <c r="A497" s="4">
        <v>45133.0</v>
      </c>
      <c r="B497" s="5">
        <v>105.09</v>
      </c>
      <c r="C497" s="5">
        <v>73.09</v>
      </c>
      <c r="D497" s="5">
        <v>28.41</v>
      </c>
      <c r="E497" s="5">
        <v>203.04</v>
      </c>
      <c r="F497" s="5">
        <v>15.4</v>
      </c>
      <c r="G497" s="5">
        <v>34.07</v>
      </c>
      <c r="H497" s="5">
        <v>39.6635</v>
      </c>
      <c r="I497" s="5">
        <v>31.6693</v>
      </c>
    </row>
    <row r="498" ht="15.75" customHeight="1">
      <c r="A498" s="4">
        <v>45134.0</v>
      </c>
      <c r="B498" s="5">
        <v>105.42</v>
      </c>
      <c r="C498" s="5">
        <v>72.86</v>
      </c>
      <c r="D498" s="5">
        <v>28.1</v>
      </c>
      <c r="E498" s="5">
        <v>202.1</v>
      </c>
      <c r="F498" s="5">
        <v>14.35</v>
      </c>
      <c r="G498" s="5">
        <v>34.05</v>
      </c>
      <c r="H498" s="5">
        <v>39.41</v>
      </c>
      <c r="I498" s="5">
        <v>31.109</v>
      </c>
    </row>
    <row r="499" ht="15.75" customHeight="1">
      <c r="A499" s="4">
        <v>45135.0</v>
      </c>
      <c r="B499" s="5">
        <v>104.16</v>
      </c>
      <c r="C499" s="5">
        <v>72.35</v>
      </c>
      <c r="D499" s="5">
        <v>27.72</v>
      </c>
      <c r="E499" s="5">
        <v>203.3</v>
      </c>
      <c r="F499" s="5">
        <v>14.59</v>
      </c>
      <c r="G499" s="5">
        <v>34.06</v>
      </c>
      <c r="H499" s="5">
        <v>39.5298</v>
      </c>
      <c r="I499" s="5">
        <v>31.0395</v>
      </c>
    </row>
    <row r="500" ht="15.75" customHeight="1">
      <c r="A500" s="4">
        <v>45138.0</v>
      </c>
      <c r="B500" s="5">
        <v>107.24</v>
      </c>
      <c r="C500" s="5">
        <v>72.34</v>
      </c>
      <c r="D500" s="5">
        <v>28.06</v>
      </c>
      <c r="E500" s="5">
        <v>205.32</v>
      </c>
      <c r="F500" s="5">
        <v>14.89</v>
      </c>
      <c r="G500" s="5">
        <v>34.45</v>
      </c>
      <c r="H500" s="5">
        <v>40.2804</v>
      </c>
      <c r="I500" s="5">
        <v>31.0535</v>
      </c>
    </row>
    <row r="501" ht="15.75" customHeight="1">
      <c r="A501" s="4">
        <v>45139.0</v>
      </c>
      <c r="B501" s="5">
        <v>106.62</v>
      </c>
      <c r="C501" s="5">
        <v>71.28</v>
      </c>
      <c r="D501" s="5">
        <v>27.89</v>
      </c>
      <c r="E501" s="5">
        <v>219.0</v>
      </c>
      <c r="F501" s="5">
        <v>14.68</v>
      </c>
      <c r="G501" s="5">
        <v>34.1</v>
      </c>
      <c r="H501" s="5">
        <v>40.0916</v>
      </c>
      <c r="I501" s="5">
        <v>30.6738</v>
      </c>
    </row>
    <row r="502" ht="15.75" customHeight="1">
      <c r="A502" s="4">
        <v>45140.0</v>
      </c>
      <c r="B502" s="5">
        <v>105.29</v>
      </c>
      <c r="C502" s="5">
        <v>70.97</v>
      </c>
      <c r="D502" s="5">
        <v>27.99</v>
      </c>
      <c r="E502" s="5">
        <v>218.87</v>
      </c>
      <c r="F502" s="5">
        <v>14.26</v>
      </c>
      <c r="G502" s="5">
        <v>33.68</v>
      </c>
      <c r="H502" s="5">
        <v>39.5667</v>
      </c>
      <c r="I502" s="5">
        <v>30.6738</v>
      </c>
    </row>
    <row r="503" ht="15.75" customHeight="1">
      <c r="A503" s="4">
        <v>45141.0</v>
      </c>
      <c r="B503" s="5">
        <v>107.12</v>
      </c>
      <c r="C503" s="5">
        <v>68.62</v>
      </c>
      <c r="D503" s="5">
        <v>27.94</v>
      </c>
      <c r="E503" s="5">
        <v>217.1</v>
      </c>
      <c r="F503" s="5">
        <v>14.0</v>
      </c>
      <c r="G503" s="5">
        <v>34.44</v>
      </c>
      <c r="H503" s="5">
        <v>39.9673</v>
      </c>
      <c r="I503" s="5">
        <v>29.9747</v>
      </c>
    </row>
    <row r="504" ht="15.75" customHeight="1">
      <c r="A504" s="4">
        <v>45142.0</v>
      </c>
      <c r="B504" s="5">
        <v>107.42</v>
      </c>
      <c r="C504" s="5">
        <v>67.84</v>
      </c>
      <c r="D504" s="5">
        <v>28.54</v>
      </c>
      <c r="E504" s="5">
        <v>215.9</v>
      </c>
      <c r="F504" s="5">
        <v>14.07</v>
      </c>
      <c r="G504" s="5">
        <v>34.36</v>
      </c>
      <c r="H504" s="5">
        <v>40.0225</v>
      </c>
      <c r="I504" s="5">
        <v>29.6275</v>
      </c>
    </row>
    <row r="505" ht="15.75" customHeight="1">
      <c r="A505" s="4">
        <v>45145.0</v>
      </c>
      <c r="B505" s="5">
        <v>107.2</v>
      </c>
      <c r="C505" s="5">
        <v>68.02</v>
      </c>
      <c r="D505" s="5">
        <v>28.7</v>
      </c>
      <c r="E505" s="5">
        <v>221.09</v>
      </c>
      <c r="F505" s="5">
        <v>13.95</v>
      </c>
      <c r="G505" s="5">
        <v>34.47</v>
      </c>
      <c r="H505" s="5">
        <v>40.0686</v>
      </c>
      <c r="I505" s="5">
        <v>29.6227</v>
      </c>
    </row>
    <row r="506" ht="15.75" customHeight="1">
      <c r="A506" s="4">
        <v>45146.0</v>
      </c>
      <c r="B506" s="5">
        <v>107.73</v>
      </c>
      <c r="C506" s="5">
        <v>68.81</v>
      </c>
      <c r="D506" s="5">
        <v>28.82</v>
      </c>
      <c r="E506" s="5">
        <v>220.2</v>
      </c>
      <c r="F506" s="5">
        <v>14.33</v>
      </c>
      <c r="G506" s="5">
        <v>34.83</v>
      </c>
      <c r="H506" s="5">
        <v>40.2665</v>
      </c>
      <c r="I506" s="5">
        <v>29.7617</v>
      </c>
    </row>
    <row r="507" ht="15.75" customHeight="1">
      <c r="A507" s="4">
        <v>45147.0</v>
      </c>
      <c r="B507" s="5">
        <v>109.56</v>
      </c>
      <c r="C507" s="5">
        <v>69.19</v>
      </c>
      <c r="D507" s="5">
        <v>30.31</v>
      </c>
      <c r="E507" s="5">
        <v>217.83</v>
      </c>
      <c r="F507" s="5">
        <v>14.33</v>
      </c>
      <c r="G507" s="5">
        <v>35.26</v>
      </c>
      <c r="H507" s="5">
        <v>40.773</v>
      </c>
      <c r="I507" s="5">
        <v>29.8266</v>
      </c>
    </row>
    <row r="508" ht="15.75" customHeight="1">
      <c r="A508" s="4">
        <v>45148.0</v>
      </c>
      <c r="B508" s="5">
        <v>110.12</v>
      </c>
      <c r="C508" s="5">
        <v>69.41</v>
      </c>
      <c r="D508" s="5">
        <v>30.69</v>
      </c>
      <c r="E508" s="5">
        <v>216.93</v>
      </c>
      <c r="F508" s="5">
        <v>14.39</v>
      </c>
      <c r="G508" s="5">
        <v>35.06</v>
      </c>
      <c r="H508" s="5">
        <v>40.7685</v>
      </c>
      <c r="I508" s="5">
        <v>29.7339</v>
      </c>
    </row>
    <row r="509" ht="15.75" customHeight="1">
      <c r="A509" s="4">
        <v>45149.0</v>
      </c>
      <c r="B509" s="5">
        <v>111.83</v>
      </c>
      <c r="C509" s="5">
        <v>69.5</v>
      </c>
      <c r="D509" s="5">
        <v>30.14</v>
      </c>
      <c r="E509" s="5">
        <v>218.36</v>
      </c>
      <c r="F509" s="5">
        <v>14.51</v>
      </c>
      <c r="G509" s="5">
        <v>35.38</v>
      </c>
      <c r="H509" s="5">
        <v>41.3945</v>
      </c>
      <c r="I509" s="5">
        <v>29.896</v>
      </c>
    </row>
    <row r="510" ht="15.75" customHeight="1">
      <c r="A510" s="4">
        <v>45152.0</v>
      </c>
      <c r="B510" s="5">
        <v>111.92</v>
      </c>
      <c r="C510" s="5">
        <v>68.83</v>
      </c>
      <c r="D510" s="5">
        <v>30.32</v>
      </c>
      <c r="E510" s="5">
        <v>219.04</v>
      </c>
      <c r="F510" s="5">
        <v>14.23</v>
      </c>
      <c r="G510" s="5">
        <v>35.03</v>
      </c>
      <c r="H510" s="5">
        <v>41.2196</v>
      </c>
      <c r="I510" s="5">
        <v>29.6598</v>
      </c>
    </row>
    <row r="511" ht="15.75" customHeight="1">
      <c r="A511" s="4">
        <v>45153.0</v>
      </c>
      <c r="B511" s="5">
        <v>108.16</v>
      </c>
      <c r="C511" s="5">
        <v>67.78</v>
      </c>
      <c r="D511" s="5">
        <v>30.24</v>
      </c>
      <c r="E511" s="5">
        <v>217.94</v>
      </c>
      <c r="F511" s="5">
        <v>14.07</v>
      </c>
      <c r="G511" s="5">
        <v>34.76</v>
      </c>
      <c r="H511" s="5">
        <v>40.3633</v>
      </c>
      <c r="I511" s="5">
        <v>29.1783</v>
      </c>
    </row>
    <row r="512" ht="15.75" customHeight="1">
      <c r="A512" s="4">
        <v>45154.0</v>
      </c>
      <c r="B512" s="5">
        <v>106.34</v>
      </c>
      <c r="C512" s="5">
        <v>68.11</v>
      </c>
      <c r="D512" s="5">
        <v>30.07</v>
      </c>
      <c r="E512" s="5">
        <v>216.09</v>
      </c>
      <c r="F512" s="5">
        <v>14.63</v>
      </c>
      <c r="G512" s="5">
        <v>34.47</v>
      </c>
      <c r="H512" s="5">
        <v>40.0133</v>
      </c>
      <c r="I512" s="5">
        <v>29.308</v>
      </c>
    </row>
    <row r="513" ht="15.75" customHeight="1">
      <c r="A513" s="4">
        <v>45155.0</v>
      </c>
      <c r="B513" s="5">
        <v>108.4</v>
      </c>
      <c r="C513" s="5">
        <v>68.25</v>
      </c>
      <c r="D513" s="5">
        <v>29.71</v>
      </c>
      <c r="E513" s="5">
        <v>214.38</v>
      </c>
      <c r="F513" s="5">
        <v>14.74</v>
      </c>
      <c r="G513" s="5">
        <v>34.61</v>
      </c>
      <c r="H513" s="5">
        <v>40.4922</v>
      </c>
      <c r="I513" s="5">
        <v>29.2432</v>
      </c>
    </row>
    <row r="514" ht="15.75" customHeight="1">
      <c r="A514" s="4">
        <v>45156.0</v>
      </c>
      <c r="B514" s="5">
        <v>110.04</v>
      </c>
      <c r="C514" s="5">
        <v>67.81</v>
      </c>
      <c r="D514" s="5">
        <v>29.86</v>
      </c>
      <c r="E514" s="5">
        <v>214.65</v>
      </c>
      <c r="F514" s="5">
        <v>14.59</v>
      </c>
      <c r="G514" s="5">
        <v>34.77</v>
      </c>
      <c r="H514" s="5">
        <v>40.8927</v>
      </c>
      <c r="I514" s="5">
        <v>29.3959</v>
      </c>
    </row>
    <row r="515" ht="15.75" customHeight="1">
      <c r="A515" s="4">
        <v>45159.0</v>
      </c>
      <c r="B515" s="5">
        <v>108.71</v>
      </c>
      <c r="C515" s="5">
        <v>67.61</v>
      </c>
      <c r="D515" s="5">
        <v>30.0</v>
      </c>
      <c r="E515" s="5">
        <v>215.74</v>
      </c>
      <c r="F515" s="5">
        <v>14.4</v>
      </c>
      <c r="G515" s="5">
        <v>34.83</v>
      </c>
      <c r="H515" s="5">
        <v>40.6349</v>
      </c>
      <c r="I515" s="5">
        <v>29.2108</v>
      </c>
    </row>
    <row r="516" ht="15.75" customHeight="1">
      <c r="A516" s="4">
        <v>45160.0</v>
      </c>
      <c r="B516" s="5">
        <v>108.1</v>
      </c>
      <c r="C516" s="5">
        <v>67.73</v>
      </c>
      <c r="D516" s="5">
        <v>29.66</v>
      </c>
      <c r="E516" s="5">
        <v>217.29</v>
      </c>
      <c r="F516" s="5">
        <v>14.62</v>
      </c>
      <c r="G516" s="5">
        <v>34.63</v>
      </c>
      <c r="H516" s="5">
        <v>40.3219</v>
      </c>
      <c r="I516" s="5">
        <v>29.2942</v>
      </c>
    </row>
    <row r="517" ht="15.75" customHeight="1">
      <c r="A517" s="4">
        <v>45161.0</v>
      </c>
      <c r="B517" s="5">
        <v>107.15</v>
      </c>
      <c r="C517" s="5">
        <v>67.55</v>
      </c>
      <c r="D517" s="5">
        <v>30.33</v>
      </c>
      <c r="E517" s="5">
        <v>221.3</v>
      </c>
      <c r="F517" s="5">
        <v>15.03</v>
      </c>
      <c r="G517" s="5">
        <v>34.7</v>
      </c>
      <c r="H517" s="5">
        <v>40.2205</v>
      </c>
      <c r="I517" s="5">
        <v>29.4099</v>
      </c>
    </row>
    <row r="518" ht="15.75" customHeight="1">
      <c r="A518" s="4">
        <v>45162.0</v>
      </c>
      <c r="B518" s="5">
        <v>106.35</v>
      </c>
      <c r="C518" s="5">
        <v>67.43</v>
      </c>
      <c r="D518" s="5">
        <v>30.01</v>
      </c>
      <c r="E518" s="5">
        <v>220.91</v>
      </c>
      <c r="F518" s="5">
        <v>14.69</v>
      </c>
      <c r="G518" s="5">
        <v>34.52</v>
      </c>
      <c r="H518" s="5">
        <v>39.9443</v>
      </c>
      <c r="I518" s="5">
        <v>29.2385</v>
      </c>
    </row>
    <row r="519" ht="15.75" customHeight="1">
      <c r="A519" s="4">
        <v>45163.0</v>
      </c>
      <c r="B519" s="5">
        <v>108.25</v>
      </c>
      <c r="C519" s="5">
        <v>68.09</v>
      </c>
      <c r="D519" s="5">
        <v>30.12</v>
      </c>
      <c r="E519" s="5">
        <v>224.25</v>
      </c>
      <c r="F519" s="5">
        <v>14.75</v>
      </c>
      <c r="G519" s="5">
        <v>34.67</v>
      </c>
      <c r="H519" s="5">
        <v>40.3311</v>
      </c>
      <c r="I519" s="5">
        <v>29.4607</v>
      </c>
    </row>
    <row r="520" ht="15.75" customHeight="1">
      <c r="A520" s="4">
        <v>45166.0</v>
      </c>
      <c r="B520" s="5">
        <v>109.16</v>
      </c>
      <c r="C520" s="5">
        <v>68.13</v>
      </c>
      <c r="D520" s="5">
        <v>29.97</v>
      </c>
      <c r="E520" s="5">
        <v>226.24</v>
      </c>
      <c r="F520" s="5">
        <v>14.9</v>
      </c>
      <c r="G520" s="5">
        <v>34.87</v>
      </c>
      <c r="H520" s="5">
        <v>40.6027</v>
      </c>
      <c r="I520" s="5">
        <v>29.4562</v>
      </c>
    </row>
    <row r="521" ht="15.75" customHeight="1">
      <c r="A521" s="4">
        <v>45167.0</v>
      </c>
      <c r="B521" s="5">
        <v>109.81</v>
      </c>
      <c r="C521" s="5">
        <v>68.57</v>
      </c>
      <c r="D521" s="5">
        <v>30.42</v>
      </c>
      <c r="E521" s="5">
        <v>228.08</v>
      </c>
      <c r="F521" s="5">
        <v>14.84</v>
      </c>
      <c r="G521" s="5">
        <v>34.88</v>
      </c>
      <c r="H521" s="5">
        <v>40.7132</v>
      </c>
      <c r="I521" s="5">
        <v>29.5672</v>
      </c>
    </row>
    <row r="522" ht="15.75" customHeight="1">
      <c r="A522" s="4">
        <v>45168.0</v>
      </c>
      <c r="B522" s="5">
        <v>110.88</v>
      </c>
      <c r="C522" s="5">
        <v>68.62</v>
      </c>
      <c r="D522" s="5">
        <v>31.33</v>
      </c>
      <c r="E522" s="5">
        <v>230.08</v>
      </c>
      <c r="F522" s="5">
        <v>14.61</v>
      </c>
      <c r="G522" s="5">
        <v>35.0</v>
      </c>
      <c r="H522" s="5">
        <v>40.9159</v>
      </c>
      <c r="I522" s="5">
        <v>29.4329</v>
      </c>
    </row>
    <row r="523" ht="15.75" customHeight="1">
      <c r="A523" s="4">
        <v>45169.0</v>
      </c>
      <c r="B523" s="5">
        <v>111.19</v>
      </c>
      <c r="C523" s="5">
        <v>67.73</v>
      </c>
      <c r="D523" s="5">
        <v>31.42</v>
      </c>
      <c r="E523" s="5">
        <v>230.37</v>
      </c>
      <c r="F523" s="5">
        <v>14.44</v>
      </c>
      <c r="G523" s="5">
        <v>34.53</v>
      </c>
      <c r="H523" s="5">
        <v>40.9434</v>
      </c>
      <c r="I523" s="5">
        <v>29.1505</v>
      </c>
    </row>
    <row r="524" ht="15.75" customHeight="1">
      <c r="A524" s="4">
        <v>45170.0</v>
      </c>
      <c r="B524" s="5">
        <v>113.52</v>
      </c>
      <c r="C524" s="5">
        <v>67.22</v>
      </c>
      <c r="D524" s="5">
        <v>31.79</v>
      </c>
      <c r="E524" s="5">
        <v>233.67</v>
      </c>
      <c r="F524" s="5">
        <v>14.21</v>
      </c>
      <c r="G524" s="5">
        <v>34.69</v>
      </c>
      <c r="H524" s="5">
        <v>41.7814</v>
      </c>
      <c r="I524" s="5">
        <v>29.0024</v>
      </c>
    </row>
    <row r="525" ht="15.75" customHeight="1">
      <c r="A525" s="4">
        <v>45174.0</v>
      </c>
      <c r="B525" s="5">
        <v>113.53</v>
      </c>
      <c r="C525" s="5">
        <v>66.3</v>
      </c>
      <c r="D525" s="5">
        <v>32.5</v>
      </c>
      <c r="E525" s="5">
        <v>229.57</v>
      </c>
      <c r="F525" s="5">
        <v>13.65</v>
      </c>
      <c r="G525" s="5">
        <v>34.44</v>
      </c>
      <c r="H525" s="5">
        <v>42.0025</v>
      </c>
      <c r="I525" s="5">
        <v>28.5579</v>
      </c>
    </row>
    <row r="526" ht="15.75" customHeight="1">
      <c r="A526" s="4">
        <v>45175.0</v>
      </c>
      <c r="B526" s="5">
        <v>114.51</v>
      </c>
      <c r="C526" s="5">
        <v>66.25</v>
      </c>
      <c r="D526" s="5">
        <v>32.81</v>
      </c>
      <c r="E526" s="5">
        <v>231.61</v>
      </c>
      <c r="F526" s="5">
        <v>13.47</v>
      </c>
      <c r="G526" s="5">
        <v>33.84</v>
      </c>
      <c r="H526" s="5">
        <v>42.021</v>
      </c>
      <c r="I526" s="5">
        <v>28.6227</v>
      </c>
    </row>
    <row r="527" ht="15.75" customHeight="1">
      <c r="A527" s="4">
        <v>45176.0</v>
      </c>
      <c r="B527" s="5">
        <v>113.95</v>
      </c>
      <c r="C527" s="5">
        <v>67.11</v>
      </c>
      <c r="D527" s="5">
        <v>33.37</v>
      </c>
      <c r="E527" s="5">
        <v>234.81</v>
      </c>
      <c r="F527" s="5">
        <v>13.09</v>
      </c>
      <c r="G527" s="5">
        <v>34.19</v>
      </c>
      <c r="H527" s="5">
        <v>41.9793</v>
      </c>
      <c r="I527" s="5">
        <v>28.9978</v>
      </c>
    </row>
    <row r="528" ht="15.75" customHeight="1">
      <c r="A528" s="4">
        <v>45177.0</v>
      </c>
      <c r="B528" s="5">
        <v>115.61</v>
      </c>
      <c r="C528" s="5">
        <v>67.93</v>
      </c>
      <c r="D528" s="5">
        <v>34.06</v>
      </c>
      <c r="E528" s="5">
        <v>236.13</v>
      </c>
      <c r="F528" s="5">
        <v>12.66</v>
      </c>
      <c r="G528" s="5">
        <v>33.82</v>
      </c>
      <c r="H528" s="5">
        <v>42.3846</v>
      </c>
      <c r="I528" s="5">
        <v>29.2525</v>
      </c>
    </row>
    <row r="529" ht="15.75" customHeight="1">
      <c r="A529" s="4">
        <v>45180.0</v>
      </c>
      <c r="B529" s="5">
        <v>114.16</v>
      </c>
      <c r="C529" s="5">
        <v>68.13</v>
      </c>
      <c r="D529" s="5">
        <v>33.69</v>
      </c>
      <c r="E529" s="5">
        <v>238.04</v>
      </c>
      <c r="F529" s="5">
        <v>12.07</v>
      </c>
      <c r="G529" s="5">
        <v>33.69</v>
      </c>
      <c r="H529" s="5">
        <v>41.8276</v>
      </c>
      <c r="I529" s="5">
        <v>29.3728</v>
      </c>
    </row>
    <row r="530" ht="15.75" customHeight="1">
      <c r="A530" s="4">
        <v>45181.0</v>
      </c>
      <c r="B530" s="5">
        <v>117.49</v>
      </c>
      <c r="C530" s="5">
        <v>68.6</v>
      </c>
      <c r="D530" s="5">
        <v>33.7</v>
      </c>
      <c r="E530" s="5">
        <v>227.9</v>
      </c>
      <c r="F530" s="5">
        <v>12.45</v>
      </c>
      <c r="G530" s="5">
        <v>34.16</v>
      </c>
      <c r="H530" s="5">
        <v>42.8128</v>
      </c>
      <c r="I530" s="5">
        <v>29.4099</v>
      </c>
    </row>
    <row r="531" ht="15.75" customHeight="1">
      <c r="A531" s="4">
        <v>45182.0</v>
      </c>
      <c r="B531" s="5">
        <v>116.44</v>
      </c>
      <c r="C531" s="5">
        <v>69.5</v>
      </c>
      <c r="D531" s="5">
        <v>33.18</v>
      </c>
      <c r="E531" s="5">
        <v>221.41</v>
      </c>
      <c r="F531" s="5">
        <v>12.84</v>
      </c>
      <c r="G531" s="5">
        <v>34.26</v>
      </c>
      <c r="H531" s="5">
        <v>42.4906</v>
      </c>
      <c r="I531" s="5">
        <v>29.7617</v>
      </c>
    </row>
    <row r="532" ht="15.75" customHeight="1">
      <c r="A532" s="4">
        <v>45183.0</v>
      </c>
      <c r="B532" s="5">
        <v>118.52</v>
      </c>
      <c r="C532" s="5">
        <v>70.9</v>
      </c>
      <c r="D532" s="5">
        <v>33.04</v>
      </c>
      <c r="E532" s="5">
        <v>222.15</v>
      </c>
      <c r="F532" s="5">
        <v>12.93</v>
      </c>
      <c r="G532" s="5">
        <v>34.72</v>
      </c>
      <c r="H532" s="5">
        <v>42.9878</v>
      </c>
      <c r="I532" s="5">
        <v>30.197</v>
      </c>
    </row>
    <row r="533" ht="15.75" customHeight="1">
      <c r="A533" s="4">
        <v>45184.0</v>
      </c>
      <c r="B533" s="5">
        <v>116.7</v>
      </c>
      <c r="C533" s="5">
        <v>71.09</v>
      </c>
      <c r="D533" s="5">
        <v>32.91</v>
      </c>
      <c r="E533" s="5">
        <v>217.64</v>
      </c>
      <c r="F533" s="5">
        <v>12.71</v>
      </c>
      <c r="G533" s="5">
        <v>34.34</v>
      </c>
      <c r="H533" s="5">
        <v>42.3662</v>
      </c>
      <c r="I533" s="5">
        <v>30.0673</v>
      </c>
    </row>
    <row r="534" ht="15.75" customHeight="1">
      <c r="A534" s="4">
        <v>45187.0</v>
      </c>
      <c r="B534" s="5">
        <v>117.64</v>
      </c>
      <c r="C534" s="5">
        <v>70.95</v>
      </c>
      <c r="D534" s="5">
        <v>33.49</v>
      </c>
      <c r="E534" s="5">
        <v>219.15</v>
      </c>
      <c r="F534" s="5">
        <v>13.08</v>
      </c>
      <c r="G534" s="5">
        <v>34.43</v>
      </c>
      <c r="H534" s="5">
        <v>42.725</v>
      </c>
      <c r="I534" s="5">
        <v>30.0448</v>
      </c>
    </row>
    <row r="535" ht="15.75" customHeight="1">
      <c r="A535" s="4">
        <v>45188.0</v>
      </c>
      <c r="B535" s="5">
        <v>117.33</v>
      </c>
      <c r="C535" s="5">
        <v>70.91</v>
      </c>
      <c r="D535" s="5">
        <v>33.15</v>
      </c>
      <c r="E535" s="5">
        <v>216.16</v>
      </c>
      <c r="F535" s="5">
        <v>12.94</v>
      </c>
      <c r="G535" s="5">
        <v>34.29</v>
      </c>
      <c r="H535" s="5">
        <v>42.3262</v>
      </c>
      <c r="I535" s="5">
        <v>29.8813</v>
      </c>
    </row>
    <row r="536" ht="15.75" customHeight="1">
      <c r="A536" s="4">
        <v>45189.0</v>
      </c>
      <c r="B536" s="5">
        <v>116.4</v>
      </c>
      <c r="C536" s="5">
        <v>71.2</v>
      </c>
      <c r="D536" s="5">
        <v>32.34</v>
      </c>
      <c r="E536" s="5">
        <v>214.65</v>
      </c>
      <c r="F536" s="5">
        <v>12.79</v>
      </c>
      <c r="G536" s="5">
        <v>34.29</v>
      </c>
      <c r="H536" s="5">
        <v>41.9319</v>
      </c>
      <c r="I536" s="5">
        <v>29.9094</v>
      </c>
    </row>
    <row r="537" ht="15.75" customHeight="1">
      <c r="A537" s="4">
        <v>45190.0</v>
      </c>
      <c r="B537" s="5">
        <v>114.76</v>
      </c>
      <c r="C537" s="5">
        <v>69.9</v>
      </c>
      <c r="D537" s="5">
        <v>33.45</v>
      </c>
      <c r="E537" s="5">
        <v>210.65</v>
      </c>
      <c r="F537" s="5">
        <v>13.12</v>
      </c>
      <c r="G537" s="5">
        <v>33.45</v>
      </c>
      <c r="H537" s="5">
        <v>41.3567</v>
      </c>
      <c r="I537" s="5">
        <v>29.5966</v>
      </c>
    </row>
    <row r="538" ht="15.75" customHeight="1">
      <c r="A538" s="4">
        <v>45191.0</v>
      </c>
      <c r="B538" s="5">
        <v>114.94</v>
      </c>
      <c r="C538" s="5">
        <v>69.37</v>
      </c>
      <c r="D538" s="5">
        <v>33.22</v>
      </c>
      <c r="E538" s="5">
        <v>212.66</v>
      </c>
      <c r="F538" s="5">
        <v>12.87</v>
      </c>
      <c r="G538" s="5">
        <v>33.62</v>
      </c>
      <c r="H538" s="5">
        <v>41.4262</v>
      </c>
      <c r="I538" s="5">
        <v>29.5405</v>
      </c>
    </row>
    <row r="539" ht="15.75" customHeight="1">
      <c r="A539" s="4">
        <v>45194.0</v>
      </c>
      <c r="B539" s="5">
        <v>116.23</v>
      </c>
      <c r="C539" s="5">
        <v>69.29</v>
      </c>
      <c r="D539" s="5">
        <v>33.66</v>
      </c>
      <c r="E539" s="5">
        <v>215.9</v>
      </c>
      <c r="F539" s="5">
        <v>12.58</v>
      </c>
      <c r="G539" s="5">
        <v>33.96</v>
      </c>
      <c r="H539" s="5">
        <v>41.9458</v>
      </c>
      <c r="I539" s="5">
        <v>29.4987</v>
      </c>
    </row>
    <row r="540" ht="15.75" customHeight="1">
      <c r="A540" s="4">
        <v>45195.0</v>
      </c>
      <c r="B540" s="5">
        <v>116.41</v>
      </c>
      <c r="C540" s="5">
        <v>67.11</v>
      </c>
      <c r="D540" s="5">
        <v>32.99</v>
      </c>
      <c r="E540" s="5">
        <v>211.07</v>
      </c>
      <c r="F540" s="5">
        <v>12.21</v>
      </c>
      <c r="G540" s="5">
        <v>33.58</v>
      </c>
      <c r="H540" s="5">
        <v>41.7046</v>
      </c>
      <c r="I540" s="5">
        <v>28.6165</v>
      </c>
    </row>
    <row r="541" ht="15.75" customHeight="1">
      <c r="A541" s="4">
        <v>45196.0</v>
      </c>
      <c r="B541" s="5">
        <v>120.2</v>
      </c>
      <c r="C541" s="5">
        <v>66.14</v>
      </c>
      <c r="D541" s="5">
        <v>33.32</v>
      </c>
      <c r="E541" s="5">
        <v>214.36</v>
      </c>
      <c r="F541" s="5">
        <v>12.69</v>
      </c>
      <c r="G541" s="5">
        <v>34.1</v>
      </c>
      <c r="H541" s="5">
        <v>42.7436</v>
      </c>
      <c r="I541" s="5">
        <v>28.0658</v>
      </c>
    </row>
    <row r="542" ht="15.75" customHeight="1">
      <c r="A542" s="4">
        <v>45197.0</v>
      </c>
      <c r="B542" s="5">
        <v>119.47</v>
      </c>
      <c r="C542" s="5">
        <v>65.07</v>
      </c>
      <c r="D542" s="5">
        <v>33.43</v>
      </c>
      <c r="E542" s="5">
        <v>215.53</v>
      </c>
      <c r="F542" s="5">
        <v>12.62</v>
      </c>
      <c r="G542" s="5">
        <v>34.41</v>
      </c>
      <c r="H542" s="5">
        <v>42.79</v>
      </c>
      <c r="I542" s="5">
        <v>27.4589</v>
      </c>
    </row>
    <row r="543" ht="15.75" customHeight="1">
      <c r="A543" s="4">
        <v>45198.0</v>
      </c>
      <c r="B543" s="5">
        <v>117.58</v>
      </c>
      <c r="C543" s="5">
        <v>64.72</v>
      </c>
      <c r="D543" s="5">
        <v>33.18</v>
      </c>
      <c r="E543" s="5">
        <v>213.28</v>
      </c>
      <c r="F543" s="5">
        <v>12.25</v>
      </c>
      <c r="G543" s="5">
        <v>33.69</v>
      </c>
      <c r="H543" s="5">
        <v>41.9272</v>
      </c>
      <c r="I543" s="5">
        <v>27.5055</v>
      </c>
    </row>
    <row r="544" ht="15.75" customHeight="1">
      <c r="A544" s="4">
        <v>45201.0</v>
      </c>
      <c r="B544" s="5">
        <v>115.63</v>
      </c>
      <c r="C544" s="5">
        <v>62.71</v>
      </c>
      <c r="D544" s="5">
        <v>32.53</v>
      </c>
      <c r="E544" s="5">
        <v>210.24</v>
      </c>
      <c r="F544" s="5">
        <v>12.12</v>
      </c>
      <c r="G544" s="5">
        <v>32.93</v>
      </c>
      <c r="H544" s="5">
        <v>41.0923</v>
      </c>
      <c r="I544" s="5">
        <v>26.2267</v>
      </c>
    </row>
    <row r="545" ht="15.75" customHeight="1">
      <c r="A545" s="4">
        <v>45202.0</v>
      </c>
      <c r="B545" s="5">
        <v>115.83</v>
      </c>
      <c r="C545" s="5">
        <v>64.03</v>
      </c>
      <c r="D545" s="5">
        <v>32.0</v>
      </c>
      <c r="E545" s="5">
        <v>209.05</v>
      </c>
      <c r="F545" s="5">
        <v>11.64</v>
      </c>
      <c r="G545" s="5">
        <v>32.97</v>
      </c>
      <c r="H545" s="5">
        <v>41.0645</v>
      </c>
      <c r="I545" s="5">
        <v>26.5301</v>
      </c>
    </row>
    <row r="546" ht="15.75" customHeight="1">
      <c r="A546" s="4">
        <v>45203.0</v>
      </c>
      <c r="B546" s="5">
        <v>111.5</v>
      </c>
      <c r="C546" s="5">
        <v>64.62</v>
      </c>
      <c r="D546" s="5">
        <v>31.39</v>
      </c>
      <c r="E546" s="5">
        <v>209.34</v>
      </c>
      <c r="F546" s="5">
        <v>11.46</v>
      </c>
      <c r="G546" s="5">
        <v>32.93</v>
      </c>
      <c r="H546" s="5">
        <v>39.7749</v>
      </c>
      <c r="I546" s="5">
        <v>26.5021</v>
      </c>
    </row>
    <row r="547" ht="15.75" customHeight="1">
      <c r="A547" s="4">
        <v>45204.0</v>
      </c>
      <c r="B547" s="5">
        <v>108.99</v>
      </c>
      <c r="C547" s="5">
        <v>64.59</v>
      </c>
      <c r="D547" s="5">
        <v>31.83</v>
      </c>
      <c r="E547" s="5">
        <v>203.18</v>
      </c>
      <c r="F547" s="5">
        <v>11.49</v>
      </c>
      <c r="G547" s="5">
        <v>33.36</v>
      </c>
      <c r="H547" s="5">
        <v>39.5291</v>
      </c>
      <c r="I547" s="5">
        <v>26.348</v>
      </c>
    </row>
    <row r="548" ht="15.75" customHeight="1">
      <c r="A548" s="4">
        <v>45205.0</v>
      </c>
      <c r="B548" s="5">
        <v>107.17</v>
      </c>
      <c r="C548" s="5">
        <v>64.97</v>
      </c>
      <c r="D548" s="5">
        <v>31.54</v>
      </c>
      <c r="E548" s="5">
        <v>210.19</v>
      </c>
      <c r="F548" s="5">
        <v>11.4</v>
      </c>
      <c r="G548" s="5">
        <v>33.68</v>
      </c>
      <c r="H548" s="5">
        <v>39.7658</v>
      </c>
      <c r="I548" s="5">
        <v>26.7215</v>
      </c>
    </row>
    <row r="549" ht="15.75" customHeight="1">
      <c r="A549" s="4">
        <v>45208.0</v>
      </c>
      <c r="B549" s="5">
        <v>110.92</v>
      </c>
      <c r="C549" s="5">
        <v>65.91</v>
      </c>
      <c r="D549" s="5">
        <v>31.85</v>
      </c>
      <c r="E549" s="5">
        <v>213.28</v>
      </c>
      <c r="F549" s="5">
        <v>11.97</v>
      </c>
      <c r="G549" s="5">
        <v>34.36</v>
      </c>
      <c r="H549" s="5">
        <v>41.0923</v>
      </c>
      <c r="I549" s="5">
        <v>26.9875</v>
      </c>
    </row>
    <row r="550" ht="15.75" customHeight="1">
      <c r="A550" s="4">
        <v>45209.0</v>
      </c>
      <c r="B550" s="5">
        <v>110.45</v>
      </c>
      <c r="C550" s="5">
        <v>66.44</v>
      </c>
      <c r="D550" s="5">
        <v>32.1</v>
      </c>
      <c r="E550" s="5">
        <v>213.24</v>
      </c>
      <c r="F550" s="5">
        <v>12.08</v>
      </c>
      <c r="G550" s="5">
        <v>34.42</v>
      </c>
      <c r="H550" s="5">
        <v>41.1435</v>
      </c>
      <c r="I550" s="5">
        <v>27.3562</v>
      </c>
    </row>
    <row r="551" ht="15.75" customHeight="1">
      <c r="A551" s="4">
        <v>45210.0</v>
      </c>
      <c r="B551" s="5">
        <v>106.49</v>
      </c>
      <c r="C551" s="5">
        <v>67.1</v>
      </c>
      <c r="D551" s="5">
        <v>32.77</v>
      </c>
      <c r="E551" s="5">
        <v>215.87</v>
      </c>
      <c r="F551" s="5">
        <v>12.5</v>
      </c>
      <c r="G551" s="5">
        <v>34.69</v>
      </c>
      <c r="H551" s="5">
        <v>40.6146</v>
      </c>
      <c r="I551" s="5">
        <v>27.7996</v>
      </c>
    </row>
    <row r="552" ht="15.75" customHeight="1">
      <c r="A552" s="4">
        <v>45211.0</v>
      </c>
      <c r="B552" s="5">
        <v>106.47</v>
      </c>
      <c r="C552" s="5">
        <v>65.7</v>
      </c>
      <c r="D552" s="5">
        <v>31.8</v>
      </c>
      <c r="E552" s="5">
        <v>217.45</v>
      </c>
      <c r="F552" s="5">
        <v>12.86</v>
      </c>
      <c r="G552" s="5">
        <v>34.8</v>
      </c>
      <c r="H552" s="5">
        <v>40.661</v>
      </c>
      <c r="I552" s="5">
        <v>27.3702</v>
      </c>
    </row>
    <row r="553" ht="15.75" customHeight="1">
      <c r="A553" s="4">
        <v>45212.0</v>
      </c>
      <c r="B553" s="5">
        <v>109.87</v>
      </c>
      <c r="C553" s="5">
        <v>66.55</v>
      </c>
      <c r="D553" s="5">
        <v>31.64</v>
      </c>
      <c r="E553" s="5">
        <v>208.6</v>
      </c>
      <c r="F553" s="5">
        <v>12.74</v>
      </c>
      <c r="G553" s="5">
        <v>35.19</v>
      </c>
      <c r="H553" s="5">
        <v>41.5562</v>
      </c>
      <c r="I553" s="5">
        <v>27.6783</v>
      </c>
    </row>
    <row r="554" ht="15.75" customHeight="1">
      <c r="A554" s="4">
        <v>45215.0</v>
      </c>
      <c r="B554" s="5">
        <v>109.95</v>
      </c>
      <c r="C554" s="5">
        <v>67.5</v>
      </c>
      <c r="D554" s="5">
        <v>32.29</v>
      </c>
      <c r="E554" s="5">
        <v>211.63</v>
      </c>
      <c r="F554" s="5">
        <v>12.98</v>
      </c>
      <c r="G554" s="5">
        <v>35.73</v>
      </c>
      <c r="H554" s="5">
        <v>41.8346</v>
      </c>
      <c r="I554" s="5">
        <v>27.963</v>
      </c>
    </row>
    <row r="555" ht="15.75" customHeight="1">
      <c r="A555" s="4">
        <v>45216.0</v>
      </c>
      <c r="B555" s="5">
        <v>111.39</v>
      </c>
      <c r="C555" s="5">
        <v>67.11</v>
      </c>
      <c r="D555" s="5">
        <v>32.57</v>
      </c>
      <c r="E555" s="5">
        <v>211.77</v>
      </c>
      <c r="F555" s="5">
        <v>13.72</v>
      </c>
      <c r="G555" s="5">
        <v>35.9</v>
      </c>
      <c r="H555" s="5">
        <v>42.2706</v>
      </c>
      <c r="I555" s="5">
        <v>27.8883</v>
      </c>
    </row>
    <row r="556" ht="15.75" customHeight="1">
      <c r="A556" s="4">
        <v>45217.0</v>
      </c>
      <c r="B556" s="5">
        <v>112.95</v>
      </c>
      <c r="C556" s="5">
        <v>66.6</v>
      </c>
      <c r="D556" s="5">
        <v>32.42</v>
      </c>
      <c r="E556" s="5">
        <v>202.41</v>
      </c>
      <c r="F556" s="5">
        <v>13.5</v>
      </c>
      <c r="G556" s="5">
        <v>35.65</v>
      </c>
      <c r="H556" s="5">
        <v>42.6555</v>
      </c>
      <c r="I556" s="5">
        <v>27.6455</v>
      </c>
    </row>
    <row r="557" ht="15.75" customHeight="1">
      <c r="A557" s="4">
        <v>45218.0</v>
      </c>
      <c r="B557" s="5">
        <v>113.02</v>
      </c>
      <c r="C557" s="5">
        <v>66.44</v>
      </c>
      <c r="D557" s="5">
        <v>32.11</v>
      </c>
      <c r="E557" s="5">
        <v>199.91</v>
      </c>
      <c r="F557" s="5">
        <v>12.61</v>
      </c>
      <c r="G557" s="5">
        <v>35.57</v>
      </c>
      <c r="H557" s="5">
        <v>42.5812</v>
      </c>
      <c r="I557" s="5">
        <v>27.3702</v>
      </c>
    </row>
    <row r="558" ht="15.75" customHeight="1">
      <c r="A558" s="4">
        <v>45219.0</v>
      </c>
      <c r="B558" s="5">
        <v>111.08</v>
      </c>
      <c r="C558" s="5">
        <v>65.73</v>
      </c>
      <c r="D558" s="5">
        <v>31.93</v>
      </c>
      <c r="E558" s="5">
        <v>193.99</v>
      </c>
      <c r="F558" s="5">
        <v>12.29</v>
      </c>
      <c r="G558" s="5">
        <v>34.92</v>
      </c>
      <c r="H558" s="5">
        <v>41.8669</v>
      </c>
      <c r="I558" s="5">
        <v>27.0855</v>
      </c>
    </row>
    <row r="559" ht="15.75" customHeight="1">
      <c r="A559" s="4">
        <v>45222.0</v>
      </c>
      <c r="B559" s="5">
        <v>109.45</v>
      </c>
      <c r="C559" s="5">
        <v>65.43</v>
      </c>
      <c r="D559" s="5">
        <v>31.89</v>
      </c>
      <c r="E559" s="5">
        <v>195.47</v>
      </c>
      <c r="F559" s="5">
        <v>11.49</v>
      </c>
      <c r="G559" s="5">
        <v>34.84</v>
      </c>
      <c r="H559" s="5">
        <v>41.1898</v>
      </c>
      <c r="I559" s="5">
        <v>26.8569</v>
      </c>
    </row>
    <row r="560" ht="15.75" customHeight="1">
      <c r="A560" s="4">
        <v>45223.0</v>
      </c>
      <c r="B560" s="5">
        <v>108.39</v>
      </c>
      <c r="C560" s="5">
        <v>66.45</v>
      </c>
      <c r="D560" s="5">
        <v>32.7</v>
      </c>
      <c r="E560" s="5">
        <v>199.64</v>
      </c>
      <c r="F560" s="5">
        <v>11.24</v>
      </c>
      <c r="G560" s="5">
        <v>34.46</v>
      </c>
      <c r="H560" s="5">
        <v>40.6099</v>
      </c>
      <c r="I560" s="5">
        <v>27.5476</v>
      </c>
    </row>
    <row r="561" ht="15.75" customHeight="1">
      <c r="A561" s="4">
        <v>45224.0</v>
      </c>
      <c r="B561" s="5">
        <v>108.59</v>
      </c>
      <c r="C561" s="5">
        <v>66.61</v>
      </c>
      <c r="D561" s="5">
        <v>32.78</v>
      </c>
      <c r="E561" s="5">
        <v>195.23</v>
      </c>
      <c r="F561" s="5">
        <v>11.27</v>
      </c>
      <c r="G561" s="5">
        <v>34.46</v>
      </c>
      <c r="H561" s="5">
        <v>40.5357</v>
      </c>
      <c r="I561" s="5">
        <v>27.7017</v>
      </c>
    </row>
    <row r="562" ht="15.75" customHeight="1">
      <c r="A562" s="4">
        <v>45225.0</v>
      </c>
      <c r="B562" s="5">
        <v>107.6</v>
      </c>
      <c r="C562" s="5">
        <v>67.16</v>
      </c>
      <c r="D562" s="5">
        <v>32.9</v>
      </c>
      <c r="E562" s="5">
        <v>196.55</v>
      </c>
      <c r="F562" s="5">
        <v>11.3</v>
      </c>
      <c r="G562" s="5">
        <v>34.58</v>
      </c>
      <c r="H562" s="5">
        <v>40.2203</v>
      </c>
      <c r="I562" s="5">
        <v>27.9396</v>
      </c>
    </row>
    <row r="563" ht="15.75" customHeight="1">
      <c r="A563" s="4">
        <v>45226.0</v>
      </c>
      <c r="B563" s="5">
        <v>105.55</v>
      </c>
      <c r="C563" s="5">
        <v>66.53</v>
      </c>
      <c r="D563" s="5">
        <v>32.02</v>
      </c>
      <c r="E563" s="5">
        <v>195.31</v>
      </c>
      <c r="F563" s="5">
        <v>11.04</v>
      </c>
      <c r="G563" s="5">
        <v>34.05</v>
      </c>
      <c r="H563" s="5">
        <v>39.2555</v>
      </c>
      <c r="I563" s="5">
        <v>27.4123</v>
      </c>
    </row>
    <row r="564" ht="15.75" customHeight="1">
      <c r="A564" s="4">
        <v>45229.0</v>
      </c>
      <c r="B564" s="5">
        <v>105.88</v>
      </c>
      <c r="C564" s="5">
        <v>66.79</v>
      </c>
      <c r="D564" s="5">
        <v>32.58</v>
      </c>
      <c r="E564" s="5">
        <v>197.78</v>
      </c>
      <c r="F564" s="5">
        <v>10.45</v>
      </c>
      <c r="G564" s="5">
        <v>34.23</v>
      </c>
      <c r="H564" s="5">
        <v>39.3852</v>
      </c>
      <c r="I564" s="5">
        <v>27.6223</v>
      </c>
    </row>
    <row r="565" ht="15.75" customHeight="1">
      <c r="A565" s="4">
        <v>45230.0</v>
      </c>
      <c r="B565" s="5">
        <v>105.85</v>
      </c>
      <c r="C565" s="5">
        <v>67.3</v>
      </c>
      <c r="D565" s="5">
        <v>32.72</v>
      </c>
      <c r="E565" s="5">
        <v>207.91</v>
      </c>
      <c r="F565" s="5">
        <v>9.93</v>
      </c>
      <c r="G565" s="5">
        <v>34.4</v>
      </c>
      <c r="H565" s="5">
        <v>39.5152</v>
      </c>
      <c r="I565" s="5">
        <v>27.8603</v>
      </c>
    </row>
    <row r="566" ht="15.75" customHeight="1">
      <c r="A566" s="4">
        <v>45231.0</v>
      </c>
      <c r="B566" s="5">
        <v>105.64</v>
      </c>
      <c r="C566" s="5">
        <v>68.43</v>
      </c>
      <c r="D566" s="5">
        <v>33.93</v>
      </c>
      <c r="E566" s="5">
        <v>214.83</v>
      </c>
      <c r="F566" s="5">
        <v>10.35</v>
      </c>
      <c r="G566" s="5">
        <v>34.72</v>
      </c>
      <c r="H566" s="5">
        <v>39.4225</v>
      </c>
      <c r="I566" s="5">
        <v>28.1778</v>
      </c>
    </row>
    <row r="567" ht="15.75" customHeight="1">
      <c r="A567" s="4">
        <v>45232.0</v>
      </c>
      <c r="B567" s="5">
        <v>109.11</v>
      </c>
      <c r="C567" s="5">
        <v>70.12</v>
      </c>
      <c r="D567" s="5">
        <v>34.66</v>
      </c>
      <c r="E567" s="5">
        <v>216.16</v>
      </c>
      <c r="F567" s="5">
        <v>10.7</v>
      </c>
      <c r="G567" s="5">
        <v>35.79</v>
      </c>
      <c r="H567" s="5">
        <v>40.6146</v>
      </c>
      <c r="I567" s="5">
        <v>28.7052</v>
      </c>
    </row>
    <row r="568" ht="15.75" customHeight="1">
      <c r="A568" s="4">
        <v>45233.0</v>
      </c>
      <c r="B568" s="5">
        <v>107.78</v>
      </c>
      <c r="C568" s="5">
        <v>70.39</v>
      </c>
      <c r="D568" s="5">
        <v>34.99</v>
      </c>
      <c r="E568" s="5">
        <v>214.79</v>
      </c>
      <c r="F568" s="5">
        <v>10.72</v>
      </c>
      <c r="G568" s="5">
        <v>36.08</v>
      </c>
      <c r="H568" s="5">
        <v>40.2064</v>
      </c>
      <c r="I568" s="5">
        <v>28.8731</v>
      </c>
    </row>
    <row r="569" ht="15.75" customHeight="1">
      <c r="A569" s="4">
        <v>45236.0</v>
      </c>
      <c r="B569" s="5">
        <v>105.87</v>
      </c>
      <c r="C569" s="5">
        <v>69.23</v>
      </c>
      <c r="D569" s="5">
        <v>35.33</v>
      </c>
      <c r="E569" s="5">
        <v>216.43</v>
      </c>
      <c r="F569" s="5">
        <v>10.24</v>
      </c>
      <c r="G569" s="5">
        <v>35.75</v>
      </c>
      <c r="H569" s="5">
        <v>39.7517</v>
      </c>
      <c r="I569" s="5">
        <v>28.7985</v>
      </c>
    </row>
    <row r="570" ht="15.75" customHeight="1">
      <c r="A570" s="4">
        <v>45237.0</v>
      </c>
      <c r="B570" s="5">
        <v>104.21</v>
      </c>
      <c r="C570" s="5">
        <v>68.72</v>
      </c>
      <c r="D570" s="5">
        <v>34.75</v>
      </c>
      <c r="E570" s="5">
        <v>215.84</v>
      </c>
      <c r="F570" s="5">
        <v>10.14</v>
      </c>
      <c r="G570" s="5">
        <v>35.3</v>
      </c>
      <c r="H570" s="5">
        <v>38.8704</v>
      </c>
      <c r="I570" s="5">
        <v>28.5885</v>
      </c>
    </row>
    <row r="571" ht="15.75" customHeight="1">
      <c r="A571" s="4">
        <v>45238.0</v>
      </c>
      <c r="B571" s="5">
        <v>102.93</v>
      </c>
      <c r="C571" s="5">
        <v>68.6</v>
      </c>
      <c r="D571" s="5">
        <v>34.67</v>
      </c>
      <c r="E571" s="5">
        <v>217.6</v>
      </c>
      <c r="F571" s="5">
        <v>10.03</v>
      </c>
      <c r="G571" s="5">
        <v>35.12</v>
      </c>
      <c r="H571" s="5">
        <v>38.3835</v>
      </c>
      <c r="I571" s="5">
        <v>28.3785</v>
      </c>
    </row>
    <row r="572" ht="15.75" customHeight="1">
      <c r="A572" s="4">
        <v>45239.0</v>
      </c>
      <c r="B572" s="5">
        <v>102.96</v>
      </c>
      <c r="C572" s="5">
        <v>68.04</v>
      </c>
      <c r="D572" s="5">
        <v>34.56</v>
      </c>
      <c r="E572" s="5">
        <v>218.38</v>
      </c>
      <c r="F572" s="5">
        <v>9.96</v>
      </c>
      <c r="G572" s="5">
        <v>34.84</v>
      </c>
      <c r="H572" s="5">
        <v>38.2675</v>
      </c>
      <c r="I572" s="5">
        <v>28.0051</v>
      </c>
    </row>
    <row r="573" ht="15.75" customHeight="1">
      <c r="A573" s="4">
        <v>45240.0</v>
      </c>
      <c r="B573" s="5">
        <v>103.75</v>
      </c>
      <c r="C573" s="5">
        <v>68.1</v>
      </c>
      <c r="D573" s="5">
        <v>34.48</v>
      </c>
      <c r="E573" s="5">
        <v>221.82</v>
      </c>
      <c r="F573" s="5">
        <v>10.32</v>
      </c>
      <c r="G573" s="5">
        <v>34.88</v>
      </c>
      <c r="H573" s="5">
        <v>38.6896</v>
      </c>
      <c r="I573" s="5">
        <v>28.1543</v>
      </c>
    </row>
    <row r="574" ht="15.75" customHeight="1">
      <c r="A574" s="4">
        <v>45243.0</v>
      </c>
      <c r="B574" s="5">
        <v>104.84</v>
      </c>
      <c r="C574" s="5">
        <v>67.34</v>
      </c>
      <c r="D574" s="5">
        <v>34.4</v>
      </c>
      <c r="E574" s="5">
        <v>222.57</v>
      </c>
      <c r="F574" s="5">
        <v>10.16</v>
      </c>
      <c r="G574" s="5">
        <v>34.93</v>
      </c>
      <c r="H574" s="5">
        <v>38.9679</v>
      </c>
      <c r="I574" s="5">
        <v>27.8183</v>
      </c>
    </row>
    <row r="575" ht="15.75" customHeight="1">
      <c r="A575" s="4">
        <v>45244.0</v>
      </c>
      <c r="B575" s="5">
        <v>104.29</v>
      </c>
      <c r="C575" s="5">
        <v>69.21</v>
      </c>
      <c r="D575" s="5">
        <v>35.22</v>
      </c>
      <c r="E575" s="5">
        <v>228.1</v>
      </c>
      <c r="F575" s="5">
        <v>10.47</v>
      </c>
      <c r="G575" s="5">
        <v>35.29</v>
      </c>
      <c r="H575" s="5">
        <v>39.3157</v>
      </c>
      <c r="I575" s="5">
        <v>28.9291</v>
      </c>
    </row>
    <row r="576" ht="15.75" customHeight="1">
      <c r="A576" s="4">
        <v>45245.0</v>
      </c>
      <c r="B576" s="5">
        <v>103.66</v>
      </c>
      <c r="C576" s="5">
        <v>68.77</v>
      </c>
      <c r="D576" s="5">
        <v>34.7</v>
      </c>
      <c r="E576" s="5">
        <v>225.65</v>
      </c>
      <c r="F576" s="5">
        <v>10.25</v>
      </c>
      <c r="G576" s="5">
        <v>35.38</v>
      </c>
      <c r="H576" s="5">
        <v>39.2415</v>
      </c>
      <c r="I576" s="5">
        <v>28.8404</v>
      </c>
    </row>
    <row r="577" ht="15.75" customHeight="1">
      <c r="A577" s="4">
        <v>45246.0</v>
      </c>
      <c r="B577" s="5">
        <v>102.46</v>
      </c>
      <c r="C577" s="5">
        <v>70.27</v>
      </c>
      <c r="D577" s="5">
        <v>34.74</v>
      </c>
      <c r="E577" s="5">
        <v>226.8</v>
      </c>
      <c r="F577" s="5">
        <v>10.21</v>
      </c>
      <c r="G577" s="5">
        <v>34.75</v>
      </c>
      <c r="H577" s="5">
        <v>38.4763</v>
      </c>
      <c r="I577" s="5">
        <v>28.9945</v>
      </c>
    </row>
    <row r="578" ht="15.75" customHeight="1">
      <c r="A578" s="4">
        <v>45247.0</v>
      </c>
      <c r="B578" s="5">
        <v>104.96</v>
      </c>
      <c r="C578" s="5">
        <v>69.77</v>
      </c>
      <c r="D578" s="5">
        <v>34.86</v>
      </c>
      <c r="E578" s="5">
        <v>227.8</v>
      </c>
      <c r="F578" s="5">
        <v>10.73</v>
      </c>
      <c r="G578" s="5">
        <v>35.43</v>
      </c>
      <c r="H578" s="5">
        <v>39.2833</v>
      </c>
      <c r="I578" s="5">
        <v>29.0738</v>
      </c>
    </row>
    <row r="579" ht="15.75" customHeight="1">
      <c r="A579" s="4">
        <v>45250.0</v>
      </c>
      <c r="B579" s="5">
        <v>104.5</v>
      </c>
      <c r="C579" s="5">
        <v>69.44</v>
      </c>
      <c r="D579" s="5">
        <v>34.69</v>
      </c>
      <c r="E579" s="5">
        <v>226.92</v>
      </c>
      <c r="F579" s="5">
        <v>15.01</v>
      </c>
      <c r="G579" s="5">
        <v>35.61</v>
      </c>
      <c r="H579" s="5">
        <v>39.3389</v>
      </c>
      <c r="I579" s="5">
        <v>28.9852</v>
      </c>
    </row>
    <row r="580" ht="15.75" customHeight="1">
      <c r="A580" s="4">
        <v>45251.0</v>
      </c>
      <c r="B580" s="5">
        <v>104.46</v>
      </c>
      <c r="C580" s="5">
        <v>69.65</v>
      </c>
      <c r="D580" s="5">
        <v>34.49</v>
      </c>
      <c r="E580" s="5">
        <v>227.01</v>
      </c>
      <c r="F580" s="5">
        <v>14.83</v>
      </c>
      <c r="G580" s="5">
        <v>35.95</v>
      </c>
      <c r="H580" s="5">
        <v>39.2508</v>
      </c>
      <c r="I580" s="5">
        <v>29.0459</v>
      </c>
    </row>
    <row r="581" ht="15.75" customHeight="1">
      <c r="A581" s="4">
        <v>45252.0</v>
      </c>
      <c r="B581" s="5">
        <v>104.01</v>
      </c>
      <c r="C581" s="5">
        <v>69.59</v>
      </c>
      <c r="D581" s="5">
        <v>34.81</v>
      </c>
      <c r="E581" s="5">
        <v>228.91</v>
      </c>
      <c r="F581" s="5">
        <v>15.0</v>
      </c>
      <c r="G581" s="5">
        <v>36.23</v>
      </c>
      <c r="H581" s="5">
        <v>39.2324</v>
      </c>
      <c r="I581" s="5">
        <v>29.1858</v>
      </c>
    </row>
    <row r="582" ht="15.75" customHeight="1">
      <c r="A582" s="4">
        <v>45254.0</v>
      </c>
      <c r="B582" s="5">
        <v>104.57</v>
      </c>
      <c r="C582" s="5">
        <v>69.61</v>
      </c>
      <c r="D582" s="5">
        <v>34.86</v>
      </c>
      <c r="E582" s="5">
        <v>228.72</v>
      </c>
      <c r="F582" s="5">
        <v>16.84</v>
      </c>
      <c r="G582" s="5">
        <v>36.32</v>
      </c>
      <c r="H582" s="5">
        <v>39.3948</v>
      </c>
      <c r="I582" s="5">
        <v>29.2606</v>
      </c>
    </row>
    <row r="583" ht="15.75" customHeight="1">
      <c r="A583" s="4">
        <v>45257.0</v>
      </c>
      <c r="B583" s="5">
        <v>103.96</v>
      </c>
      <c r="C583" s="5">
        <v>70.26</v>
      </c>
      <c r="D583" s="5">
        <v>35.64</v>
      </c>
      <c r="E583" s="5">
        <v>228.78</v>
      </c>
      <c r="F583" s="5">
        <v>17.26</v>
      </c>
      <c r="G583" s="5">
        <v>36.39</v>
      </c>
      <c r="H583" s="5">
        <v>39.2555</v>
      </c>
      <c r="I583" s="5">
        <v>29.3072</v>
      </c>
    </row>
    <row r="584" ht="15.75" customHeight="1">
      <c r="A584" s="4">
        <v>45258.0</v>
      </c>
      <c r="B584" s="5">
        <v>103.9</v>
      </c>
      <c r="C584" s="5">
        <v>70.49</v>
      </c>
      <c r="D584" s="5">
        <v>35.22</v>
      </c>
      <c r="E584" s="5">
        <v>224.59</v>
      </c>
      <c r="F584" s="5">
        <v>16.79</v>
      </c>
      <c r="G584" s="5">
        <v>36.33</v>
      </c>
      <c r="H584" s="5">
        <v>39.2647</v>
      </c>
      <c r="I584" s="5">
        <v>29.4006</v>
      </c>
    </row>
    <row r="585" ht="15.75" customHeight="1">
      <c r="A585" s="4">
        <v>45259.0</v>
      </c>
      <c r="B585" s="5">
        <v>102.34</v>
      </c>
      <c r="C585" s="5">
        <v>70.23</v>
      </c>
      <c r="D585" s="5">
        <v>34.92</v>
      </c>
      <c r="E585" s="5">
        <v>225.8</v>
      </c>
      <c r="F585" s="5">
        <v>16.98</v>
      </c>
      <c r="G585" s="5">
        <v>36.44</v>
      </c>
      <c r="H585" s="5">
        <v>38.9726</v>
      </c>
      <c r="I585" s="5">
        <v>29.1671</v>
      </c>
    </row>
    <row r="586" ht="15.75" customHeight="1">
      <c r="A586" s="4">
        <v>45260.0</v>
      </c>
      <c r="B586" s="5">
        <v>102.74</v>
      </c>
      <c r="C586" s="5">
        <v>70.98</v>
      </c>
      <c r="D586" s="5">
        <v>35.41</v>
      </c>
      <c r="E586" s="5">
        <v>227.69</v>
      </c>
      <c r="F586" s="5">
        <v>16.61</v>
      </c>
      <c r="G586" s="5">
        <v>36.79</v>
      </c>
      <c r="H586" s="5">
        <v>39.2324</v>
      </c>
      <c r="I586" s="5">
        <v>29.2932</v>
      </c>
    </row>
    <row r="587" ht="15.75" customHeight="1">
      <c r="A587" s="4">
        <v>45261.0</v>
      </c>
      <c r="B587" s="5">
        <v>102.99</v>
      </c>
      <c r="C587" s="5">
        <v>71.52</v>
      </c>
      <c r="D587" s="5">
        <v>36.28</v>
      </c>
      <c r="E587" s="5">
        <v>230.46</v>
      </c>
      <c r="F587" s="5">
        <v>16.15</v>
      </c>
      <c r="G587" s="5">
        <v>37.28</v>
      </c>
      <c r="H587" s="5">
        <v>39.4364</v>
      </c>
      <c r="I587" s="5">
        <v>29.6526</v>
      </c>
    </row>
    <row r="588" ht="15.75" customHeight="1">
      <c r="A588" s="4">
        <v>45264.0</v>
      </c>
      <c r="B588" s="5">
        <v>102.43</v>
      </c>
      <c r="C588" s="5">
        <v>71.28</v>
      </c>
      <c r="D588" s="5">
        <v>37.12</v>
      </c>
      <c r="E588" s="5">
        <v>228.2</v>
      </c>
      <c r="F588" s="5">
        <v>16.04</v>
      </c>
      <c r="G588" s="5">
        <v>36.99</v>
      </c>
      <c r="H588" s="5">
        <v>39.2555</v>
      </c>
      <c r="I588" s="5">
        <v>29.536</v>
      </c>
    </row>
    <row r="589" ht="15.75" customHeight="1">
      <c r="A589" s="4">
        <v>45265.0</v>
      </c>
      <c r="B589" s="5">
        <v>100.44</v>
      </c>
      <c r="C589" s="5">
        <v>70.93</v>
      </c>
      <c r="D589" s="5">
        <v>37.37</v>
      </c>
      <c r="E589" s="5">
        <v>225.6</v>
      </c>
      <c r="F589" s="5">
        <v>17.09</v>
      </c>
      <c r="G589" s="5">
        <v>36.26</v>
      </c>
      <c r="H589" s="5">
        <v>38.569</v>
      </c>
      <c r="I589" s="5">
        <v>29.3259</v>
      </c>
    </row>
    <row r="590" ht="15.75" customHeight="1">
      <c r="A590" s="4">
        <v>45266.0</v>
      </c>
      <c r="B590" s="5">
        <v>99.11</v>
      </c>
      <c r="C590" s="5">
        <v>72.26</v>
      </c>
      <c r="D590" s="5">
        <v>36.28</v>
      </c>
      <c r="E590" s="5">
        <v>226.92</v>
      </c>
      <c r="F590" s="5">
        <v>16.41</v>
      </c>
      <c r="G590" s="5">
        <v>35.84</v>
      </c>
      <c r="H590" s="5">
        <v>37.9938</v>
      </c>
      <c r="I590" s="5">
        <v>29.7179</v>
      </c>
    </row>
    <row r="591" ht="15.75" customHeight="1">
      <c r="A591" s="4">
        <v>45267.0</v>
      </c>
      <c r="B591" s="5">
        <v>98.42</v>
      </c>
      <c r="C591" s="5">
        <v>71.65</v>
      </c>
      <c r="D591" s="5">
        <v>37.17</v>
      </c>
      <c r="E591" s="5">
        <v>227.93</v>
      </c>
      <c r="F591" s="5">
        <v>16.5</v>
      </c>
      <c r="G591" s="5">
        <v>34.93</v>
      </c>
      <c r="H591" s="5">
        <v>37.734</v>
      </c>
      <c r="I591" s="5">
        <v>29.6526</v>
      </c>
    </row>
    <row r="592" ht="15.75" customHeight="1">
      <c r="A592" s="4">
        <v>45268.0</v>
      </c>
      <c r="B592" s="5">
        <v>99.55</v>
      </c>
      <c r="C592" s="5">
        <v>71.5</v>
      </c>
      <c r="D592" s="5">
        <v>36.96</v>
      </c>
      <c r="E592" s="5">
        <v>232.31</v>
      </c>
      <c r="F592" s="5">
        <v>17.14</v>
      </c>
      <c r="G592" s="5">
        <v>35.52</v>
      </c>
      <c r="H592" s="5">
        <v>38.1422</v>
      </c>
      <c r="I592" s="5">
        <v>29.5966</v>
      </c>
    </row>
    <row r="593" ht="15.75" customHeight="1">
      <c r="A593" s="4">
        <v>45271.0</v>
      </c>
      <c r="B593" s="5">
        <v>99.62</v>
      </c>
      <c r="C593" s="5">
        <v>71.36</v>
      </c>
      <c r="D593" s="5">
        <v>36.88</v>
      </c>
      <c r="E593" s="5">
        <v>234.68</v>
      </c>
      <c r="F593" s="5">
        <v>17.08</v>
      </c>
      <c r="G593" s="5">
        <v>34.89</v>
      </c>
      <c r="H593" s="5">
        <v>38.1886</v>
      </c>
      <c r="I593" s="5">
        <v>29.7879</v>
      </c>
    </row>
    <row r="594" ht="15.75" customHeight="1">
      <c r="A594" s="4">
        <v>45272.0</v>
      </c>
      <c r="B594" s="5">
        <v>98.05</v>
      </c>
      <c r="C594" s="5">
        <v>70.47</v>
      </c>
      <c r="D594" s="5">
        <v>37.33</v>
      </c>
      <c r="E594" s="5">
        <v>237.05</v>
      </c>
      <c r="F594" s="5">
        <v>17.26</v>
      </c>
      <c r="G594" s="5">
        <v>34.41</v>
      </c>
      <c r="H594" s="5">
        <v>37.6645</v>
      </c>
      <c r="I594" s="5">
        <v>29.6666</v>
      </c>
    </row>
    <row r="595" ht="15.75" customHeight="1">
      <c r="A595" s="4">
        <v>45273.0</v>
      </c>
      <c r="B595" s="5">
        <v>98.92</v>
      </c>
      <c r="C595" s="5">
        <v>73.08</v>
      </c>
      <c r="D595" s="5">
        <v>38.12</v>
      </c>
      <c r="E595" s="5">
        <v>236.79</v>
      </c>
      <c r="F595" s="5">
        <v>17.6</v>
      </c>
      <c r="G595" s="5">
        <v>34.66</v>
      </c>
      <c r="H595" s="5">
        <v>38.1886</v>
      </c>
      <c r="I595" s="5">
        <v>30.7869</v>
      </c>
    </row>
    <row r="596" ht="15.75" customHeight="1">
      <c r="A596" s="4">
        <v>45274.0</v>
      </c>
      <c r="B596" s="5">
        <v>101.58</v>
      </c>
      <c r="C596" s="5">
        <v>71.5</v>
      </c>
      <c r="D596" s="5">
        <v>37.49</v>
      </c>
      <c r="E596" s="5">
        <v>237.7</v>
      </c>
      <c r="F596" s="5">
        <v>17.43</v>
      </c>
      <c r="G596" s="5">
        <v>34.66</v>
      </c>
      <c r="H596" s="5">
        <v>39.3111</v>
      </c>
      <c r="I596" s="5">
        <v>30.3854</v>
      </c>
    </row>
    <row r="597" ht="15.75" customHeight="1">
      <c r="A597" s="4">
        <v>45275.0</v>
      </c>
      <c r="B597" s="5">
        <v>100.9</v>
      </c>
      <c r="C597" s="5">
        <v>70.86</v>
      </c>
      <c r="D597" s="5">
        <v>37.68</v>
      </c>
      <c r="E597" s="5">
        <v>237.41</v>
      </c>
      <c r="F597" s="5">
        <v>17.04</v>
      </c>
      <c r="G597" s="5">
        <v>34.62</v>
      </c>
      <c r="H597" s="5">
        <v>39.1025</v>
      </c>
      <c r="I597" s="5">
        <v>29.858</v>
      </c>
    </row>
    <row r="598" ht="15.75" customHeight="1">
      <c r="A598" s="4">
        <v>45278.0</v>
      </c>
      <c r="B598" s="5">
        <v>101.65</v>
      </c>
      <c r="C598" s="5">
        <v>71.42</v>
      </c>
      <c r="D598" s="5">
        <v>37.76</v>
      </c>
      <c r="E598" s="5">
        <v>237.13</v>
      </c>
      <c r="F598" s="5">
        <v>17.52</v>
      </c>
      <c r="G598" s="5">
        <v>34.7</v>
      </c>
      <c r="H598" s="5">
        <v>39.4219</v>
      </c>
      <c r="I598" s="5">
        <v>29.7907</v>
      </c>
    </row>
    <row r="599" ht="15.75" customHeight="1">
      <c r="A599" s="4">
        <v>45279.0</v>
      </c>
      <c r="B599" s="5">
        <v>102.99</v>
      </c>
      <c r="C599" s="5">
        <v>71.26</v>
      </c>
      <c r="D599" s="5">
        <v>37.72</v>
      </c>
      <c r="E599" s="5">
        <v>238.15</v>
      </c>
      <c r="F599" s="5">
        <v>17.32</v>
      </c>
      <c r="G599" s="5">
        <v>35.07</v>
      </c>
      <c r="H599" s="5">
        <v>39.8949</v>
      </c>
      <c r="I599" s="5">
        <v>29.9604</v>
      </c>
    </row>
    <row r="600" ht="15.75" customHeight="1">
      <c r="A600" s="4">
        <v>45280.0</v>
      </c>
      <c r="B600" s="5">
        <v>101.27</v>
      </c>
      <c r="C600" s="5">
        <v>69.69</v>
      </c>
      <c r="D600" s="5">
        <v>37.61</v>
      </c>
      <c r="E600" s="5">
        <v>233.95</v>
      </c>
      <c r="F600" s="5">
        <v>17.7</v>
      </c>
      <c r="G600" s="5">
        <v>34.67</v>
      </c>
      <c r="H600" s="5">
        <v>39.5249</v>
      </c>
      <c r="I600" s="5">
        <v>29.3526</v>
      </c>
    </row>
    <row r="601" ht="15.75" customHeight="1">
      <c r="A601" s="4">
        <v>45281.0</v>
      </c>
      <c r="B601" s="5">
        <v>101.73</v>
      </c>
      <c r="C601" s="5">
        <v>69.37</v>
      </c>
      <c r="D601" s="5">
        <v>37.79</v>
      </c>
      <c r="E601" s="5">
        <v>237.29</v>
      </c>
      <c r="F601" s="5">
        <v>17.65</v>
      </c>
      <c r="G601" s="5">
        <v>34.97</v>
      </c>
      <c r="H601" s="5">
        <v>39.6794</v>
      </c>
      <c r="I601" s="5">
        <v>29.4044</v>
      </c>
    </row>
    <row r="602" ht="15.75" customHeight="1">
      <c r="A602" s="4">
        <v>45282.0</v>
      </c>
      <c r="B602" s="5">
        <v>101.91</v>
      </c>
      <c r="C602" s="5">
        <v>69.44</v>
      </c>
      <c r="D602" s="5">
        <v>38.02</v>
      </c>
      <c r="E602" s="5">
        <v>238.64</v>
      </c>
      <c r="F602" s="5">
        <v>17.5</v>
      </c>
      <c r="G602" s="5">
        <v>35.14</v>
      </c>
      <c r="H602" s="5">
        <v>39.7965</v>
      </c>
      <c r="I602" s="5">
        <v>29.5033</v>
      </c>
    </row>
    <row r="603" ht="15.75" customHeight="1">
      <c r="A603" s="4">
        <v>45286.0</v>
      </c>
      <c r="B603" s="5">
        <v>102.14</v>
      </c>
      <c r="C603" s="5">
        <v>69.45</v>
      </c>
      <c r="D603" s="5">
        <v>38.2</v>
      </c>
      <c r="E603" s="5">
        <v>240.21</v>
      </c>
      <c r="F603" s="5">
        <v>17.47</v>
      </c>
      <c r="G603" s="5">
        <v>35.12</v>
      </c>
      <c r="H603" s="5">
        <v>40.1384</v>
      </c>
      <c r="I603" s="5">
        <v>29.6823</v>
      </c>
    </row>
    <row r="604" ht="15.75" customHeight="1">
      <c r="A604" s="4">
        <v>45287.0</v>
      </c>
      <c r="B604" s="5">
        <v>101.66</v>
      </c>
      <c r="C604" s="5">
        <v>69.41</v>
      </c>
      <c r="D604" s="5">
        <v>38.38</v>
      </c>
      <c r="E604" s="5">
        <v>240.82</v>
      </c>
      <c r="F604" s="5">
        <v>17.24</v>
      </c>
      <c r="G604" s="5">
        <v>35.03</v>
      </c>
      <c r="H604" s="5">
        <v>39.9603</v>
      </c>
      <c r="I604" s="5">
        <v>29.6635</v>
      </c>
    </row>
    <row r="605" ht="15.75" customHeight="1">
      <c r="A605" s="4">
        <v>45288.0</v>
      </c>
      <c r="B605" s="5">
        <v>100.19</v>
      </c>
      <c r="C605" s="5">
        <v>70.16</v>
      </c>
      <c r="D605" s="5">
        <v>38.82</v>
      </c>
      <c r="E605" s="5">
        <v>240.75</v>
      </c>
      <c r="F605" s="5">
        <v>17.01</v>
      </c>
      <c r="G605" s="5">
        <v>34.93</v>
      </c>
      <c r="H605" s="5">
        <v>39.3516</v>
      </c>
      <c r="I605" s="5">
        <v>29.8754</v>
      </c>
    </row>
    <row r="606" ht="15.75" customHeight="1">
      <c r="A606" s="4">
        <v>45289.0</v>
      </c>
      <c r="B606" s="5">
        <v>99.98</v>
      </c>
      <c r="C606" s="5">
        <v>70.12</v>
      </c>
      <c r="D606" s="5">
        <v>38.52</v>
      </c>
      <c r="E606" s="5">
        <v>240.82</v>
      </c>
      <c r="F606" s="5">
        <v>17.19</v>
      </c>
      <c r="G606" s="5">
        <v>34.83</v>
      </c>
      <c r="H606" s="5">
        <v>39.2626</v>
      </c>
      <c r="I606" s="5">
        <v>29.8377</v>
      </c>
    </row>
    <row r="607" ht="15.75" customHeight="1">
      <c r="A607" s="4">
        <v>45293.0</v>
      </c>
      <c r="B607" s="5">
        <v>102.36</v>
      </c>
      <c r="C607" s="5">
        <v>70.85</v>
      </c>
      <c r="D607" s="5">
        <v>38.07</v>
      </c>
      <c r="E607" s="5">
        <v>238.9</v>
      </c>
      <c r="F607" s="5">
        <v>16.52</v>
      </c>
      <c r="G607" s="5">
        <v>35.52</v>
      </c>
      <c r="H607" s="5">
        <v>39.6841</v>
      </c>
      <c r="I607" s="5">
        <v>30.2713</v>
      </c>
    </row>
    <row r="608" ht="15.75" customHeight="1">
      <c r="A608" s="4">
        <v>45294.0</v>
      </c>
      <c r="B608" s="5">
        <v>103.22</v>
      </c>
      <c r="C608" s="5">
        <v>72.24</v>
      </c>
      <c r="D608" s="5">
        <v>38.18</v>
      </c>
      <c r="E608" s="5">
        <v>233.1</v>
      </c>
      <c r="F608" s="5">
        <v>16.77</v>
      </c>
      <c r="G608" s="5">
        <v>36.31</v>
      </c>
      <c r="H608" s="5">
        <v>40.3304</v>
      </c>
      <c r="I608" s="5">
        <v>30.3843</v>
      </c>
    </row>
    <row r="609" ht="15.75" customHeight="1">
      <c r="A609" s="4">
        <v>45295.0</v>
      </c>
      <c r="B609" s="5">
        <v>102.32</v>
      </c>
      <c r="C609" s="5">
        <v>71.71</v>
      </c>
      <c r="D609" s="5">
        <v>38.4</v>
      </c>
      <c r="E609" s="5">
        <v>234.48</v>
      </c>
      <c r="F609" s="5">
        <v>16.23</v>
      </c>
      <c r="G609" s="5">
        <v>35.82</v>
      </c>
      <c r="H609" s="5">
        <v>39.6232</v>
      </c>
      <c r="I609" s="5">
        <v>30.2901</v>
      </c>
    </row>
    <row r="610" ht="15.75" customHeight="1">
      <c r="A610" s="4">
        <v>45296.0</v>
      </c>
      <c r="B610" s="5">
        <v>102.63</v>
      </c>
      <c r="C610" s="5">
        <v>71.61</v>
      </c>
      <c r="D610" s="5">
        <v>38.59</v>
      </c>
      <c r="E610" s="5">
        <v>234.86</v>
      </c>
      <c r="F610" s="5">
        <v>16.7</v>
      </c>
      <c r="G610" s="5">
        <v>35.55</v>
      </c>
      <c r="H610" s="5">
        <v>39.6559</v>
      </c>
      <c r="I610" s="5">
        <v>30.4033</v>
      </c>
    </row>
    <row r="611" ht="15.75" customHeight="1">
      <c r="A611" s="4">
        <v>45299.0</v>
      </c>
      <c r="B611" s="5">
        <v>100.92</v>
      </c>
      <c r="C611" s="5">
        <v>72.16</v>
      </c>
      <c r="D611" s="5">
        <v>39.14</v>
      </c>
      <c r="E611" s="5">
        <v>238.98</v>
      </c>
      <c r="F611" s="5">
        <v>16.71</v>
      </c>
      <c r="G611" s="5">
        <v>35.65</v>
      </c>
      <c r="H611" s="5">
        <v>39.1972</v>
      </c>
      <c r="I611" s="5">
        <v>30.6247</v>
      </c>
    </row>
    <row r="612" ht="15.75" customHeight="1">
      <c r="A612" s="4">
        <v>45300.0</v>
      </c>
      <c r="B612" s="5">
        <v>99.67</v>
      </c>
      <c r="C612" s="5">
        <v>71.87</v>
      </c>
      <c r="D612" s="5">
        <v>39.59</v>
      </c>
      <c r="E612" s="5">
        <v>239.48</v>
      </c>
      <c r="F612" s="5">
        <v>16.04</v>
      </c>
      <c r="G612" s="5">
        <v>35.42</v>
      </c>
      <c r="H612" s="5">
        <v>38.5696</v>
      </c>
      <c r="I612" s="5">
        <v>30.3749</v>
      </c>
    </row>
    <row r="613" ht="15.75" customHeight="1">
      <c r="A613" s="4">
        <v>45301.0</v>
      </c>
      <c r="B613" s="5">
        <v>98.69</v>
      </c>
      <c r="C613" s="5">
        <v>71.83</v>
      </c>
      <c r="D613" s="5">
        <v>38.46</v>
      </c>
      <c r="E613" s="5">
        <v>240.89</v>
      </c>
      <c r="F613" s="5">
        <v>15.9</v>
      </c>
      <c r="G613" s="5">
        <v>35.23</v>
      </c>
      <c r="H613" s="5">
        <v>38.1902</v>
      </c>
      <c r="I613" s="5">
        <v>30.3702</v>
      </c>
    </row>
    <row r="614" ht="15.75" customHeight="1">
      <c r="A614" s="4">
        <v>45302.0</v>
      </c>
      <c r="B614" s="5">
        <v>98.67</v>
      </c>
      <c r="C614" s="5">
        <v>70.58</v>
      </c>
      <c r="D614" s="5">
        <v>38.87</v>
      </c>
      <c r="E614" s="5">
        <v>243.42</v>
      </c>
      <c r="F614" s="5">
        <v>15.99</v>
      </c>
      <c r="G614" s="5">
        <v>34.78</v>
      </c>
      <c r="H614" s="5">
        <v>38.2886</v>
      </c>
      <c r="I614" s="5">
        <v>29.6635</v>
      </c>
    </row>
    <row r="615" ht="15.75" customHeight="1">
      <c r="A615" s="4">
        <v>45303.0</v>
      </c>
      <c r="B615" s="5">
        <v>99.95</v>
      </c>
      <c r="C615" s="5">
        <v>71.42</v>
      </c>
      <c r="D615" s="5">
        <v>39.22</v>
      </c>
      <c r="E615" s="5">
        <v>242.11</v>
      </c>
      <c r="F615" s="5">
        <v>15.89</v>
      </c>
      <c r="G615" s="5">
        <v>34.92</v>
      </c>
      <c r="H615" s="5">
        <v>38.7194</v>
      </c>
      <c r="I615" s="5">
        <v>29.8331</v>
      </c>
    </row>
    <row r="616" ht="15.75" customHeight="1">
      <c r="A616" s="4">
        <v>45307.0</v>
      </c>
      <c r="B616" s="5">
        <v>97.69</v>
      </c>
      <c r="C616" s="5">
        <v>70.32</v>
      </c>
      <c r="D616" s="5">
        <v>39.32</v>
      </c>
      <c r="E616" s="5">
        <v>241.74</v>
      </c>
      <c r="F616" s="5">
        <v>14.91</v>
      </c>
      <c r="G616" s="5">
        <v>34.57</v>
      </c>
      <c r="H616" s="5">
        <v>37.7968</v>
      </c>
      <c r="I616" s="5">
        <v>29.508</v>
      </c>
    </row>
    <row r="617" ht="15.75" customHeight="1">
      <c r="A617" s="4">
        <v>45308.0</v>
      </c>
      <c r="B617" s="5">
        <v>96.98</v>
      </c>
      <c r="C617" s="5">
        <v>69.63</v>
      </c>
      <c r="D617" s="5">
        <v>39.72</v>
      </c>
      <c r="E617" s="5">
        <v>237.26</v>
      </c>
      <c r="F617" s="5">
        <v>15.0</v>
      </c>
      <c r="G617" s="5">
        <v>33.99</v>
      </c>
      <c r="H617" s="5">
        <v>37.4831</v>
      </c>
      <c r="I617" s="5">
        <v>29.0792</v>
      </c>
    </row>
    <row r="618" ht="15.75" customHeight="1">
      <c r="A618" s="4">
        <v>45309.0</v>
      </c>
      <c r="B618" s="5">
        <v>96.8</v>
      </c>
      <c r="C618" s="5">
        <v>68.77</v>
      </c>
      <c r="D618" s="5">
        <v>39.41</v>
      </c>
      <c r="E618" s="5">
        <v>240.12</v>
      </c>
      <c r="F618" s="5">
        <v>15.2</v>
      </c>
      <c r="G618" s="5">
        <v>33.85</v>
      </c>
      <c r="H618" s="5">
        <v>37.4222</v>
      </c>
      <c r="I618" s="5">
        <v>28.7683</v>
      </c>
    </row>
    <row r="619" ht="15.75" customHeight="1">
      <c r="A619" s="4">
        <v>45310.0</v>
      </c>
      <c r="B619" s="5">
        <v>96.95</v>
      </c>
      <c r="C619" s="5">
        <v>68.95</v>
      </c>
      <c r="D619" s="5">
        <v>40.17</v>
      </c>
      <c r="E619" s="5">
        <v>244.6</v>
      </c>
      <c r="F619" s="5">
        <v>15.63</v>
      </c>
      <c r="G619" s="5">
        <v>33.86</v>
      </c>
      <c r="H619" s="5">
        <v>37.5439</v>
      </c>
      <c r="I619" s="5">
        <v>28.7306</v>
      </c>
    </row>
    <row r="620" ht="15.75" customHeight="1">
      <c r="A620" s="4">
        <v>45313.0</v>
      </c>
      <c r="B620" s="5">
        <v>96.82</v>
      </c>
      <c r="C620" s="5">
        <v>68.82</v>
      </c>
      <c r="D620" s="5">
        <v>39.97</v>
      </c>
      <c r="E620" s="5">
        <v>243.9</v>
      </c>
      <c r="F620" s="5">
        <v>15.64</v>
      </c>
      <c r="G620" s="5">
        <v>33.97</v>
      </c>
      <c r="H620" s="5">
        <v>37.6845</v>
      </c>
      <c r="I620" s="5">
        <v>28.5845</v>
      </c>
    </row>
    <row r="621" ht="15.75" customHeight="1">
      <c r="A621" s="4">
        <v>45314.0</v>
      </c>
      <c r="B621" s="5">
        <v>97.91</v>
      </c>
      <c r="C621" s="5">
        <v>68.83</v>
      </c>
      <c r="D621" s="5">
        <v>39.85</v>
      </c>
      <c r="E621" s="5">
        <v>243.25</v>
      </c>
      <c r="F621" s="5">
        <v>15.79</v>
      </c>
      <c r="G621" s="5">
        <v>33.95</v>
      </c>
      <c r="H621" s="5">
        <v>37.7641</v>
      </c>
      <c r="I621" s="5">
        <v>28.6364</v>
      </c>
    </row>
    <row r="622" ht="15.75" customHeight="1">
      <c r="A622" s="4">
        <v>45315.0</v>
      </c>
      <c r="B622" s="5">
        <v>99.6</v>
      </c>
      <c r="C622" s="5">
        <v>68.2</v>
      </c>
      <c r="D622" s="5">
        <v>39.23</v>
      </c>
      <c r="E622" s="5">
        <v>241.57</v>
      </c>
      <c r="F622" s="5">
        <v>16.44</v>
      </c>
      <c r="G622" s="5">
        <v>34.03</v>
      </c>
      <c r="H622" s="5">
        <v>38.3027</v>
      </c>
      <c r="I622" s="5">
        <v>28.2454</v>
      </c>
    </row>
    <row r="623" ht="15.75" customHeight="1">
      <c r="A623" s="4">
        <v>45316.0</v>
      </c>
      <c r="B623" s="5">
        <v>102.13</v>
      </c>
      <c r="C623" s="5">
        <v>69.24</v>
      </c>
      <c r="D623" s="5">
        <v>40.43</v>
      </c>
      <c r="E623" s="5">
        <v>245.82</v>
      </c>
      <c r="F623" s="5">
        <v>17.37</v>
      </c>
      <c r="G623" s="5">
        <v>34.44</v>
      </c>
      <c r="H623" s="5">
        <v>39.1643</v>
      </c>
      <c r="I623" s="5">
        <v>28.7542</v>
      </c>
    </row>
    <row r="624" ht="15.75" customHeight="1">
      <c r="A624" s="4">
        <v>45317.0</v>
      </c>
      <c r="B624" s="5">
        <v>103.0</v>
      </c>
      <c r="C624" s="5">
        <v>69.11</v>
      </c>
      <c r="D624" s="5">
        <v>40.78</v>
      </c>
      <c r="E624" s="5">
        <v>245.89</v>
      </c>
      <c r="F624" s="5">
        <v>17.69</v>
      </c>
      <c r="G624" s="5">
        <v>34.87</v>
      </c>
      <c r="H624" s="5">
        <v>39.4547</v>
      </c>
      <c r="I624" s="5">
        <v>28.839</v>
      </c>
    </row>
    <row r="625" ht="15.75" customHeight="1">
      <c r="A625" s="4">
        <v>45320.0</v>
      </c>
      <c r="B625" s="5">
        <v>103.13</v>
      </c>
      <c r="C625" s="5">
        <v>69.19</v>
      </c>
      <c r="D625" s="5">
        <v>40.56</v>
      </c>
      <c r="E625" s="5">
        <v>248.72</v>
      </c>
      <c r="F625" s="5">
        <v>17.54</v>
      </c>
      <c r="G625" s="5">
        <v>34.81</v>
      </c>
      <c r="H625" s="5">
        <v>39.3984</v>
      </c>
      <c r="I625" s="5">
        <v>29.0228</v>
      </c>
    </row>
    <row r="626" ht="15.75" customHeight="1">
      <c r="A626" s="4">
        <v>45321.0</v>
      </c>
      <c r="B626" s="5">
        <v>104.85</v>
      </c>
      <c r="C626" s="5">
        <v>69.25</v>
      </c>
      <c r="D626" s="5">
        <v>41.23</v>
      </c>
      <c r="E626" s="5">
        <v>250.27</v>
      </c>
      <c r="F626" s="5">
        <v>17.29</v>
      </c>
      <c r="G626" s="5">
        <v>35.2</v>
      </c>
      <c r="H626" s="5">
        <v>39.8059</v>
      </c>
      <c r="I626" s="5">
        <v>29.0133</v>
      </c>
    </row>
    <row r="627" ht="15.75" customHeight="1">
      <c r="A627" s="4">
        <v>45322.0</v>
      </c>
      <c r="B627" s="5">
        <v>102.81</v>
      </c>
      <c r="C627" s="5">
        <v>69.52</v>
      </c>
      <c r="D627" s="5">
        <v>41.03</v>
      </c>
      <c r="E627" s="5">
        <v>246.08</v>
      </c>
      <c r="F627" s="5">
        <v>17.28</v>
      </c>
      <c r="G627" s="5">
        <v>34.66</v>
      </c>
      <c r="H627" s="5">
        <v>39.0612</v>
      </c>
      <c r="I627" s="5">
        <v>28.9521</v>
      </c>
    </row>
    <row r="628" ht="15.75" customHeight="1">
      <c r="A628" s="4">
        <v>45323.0</v>
      </c>
      <c r="B628" s="5">
        <v>102.39</v>
      </c>
      <c r="C628" s="5">
        <v>70.5</v>
      </c>
      <c r="D628" s="5">
        <v>43.26</v>
      </c>
      <c r="E628" s="5">
        <v>264.57</v>
      </c>
      <c r="F628" s="5">
        <v>17.49</v>
      </c>
      <c r="G628" s="5">
        <v>34.87</v>
      </c>
      <c r="H628" s="5">
        <v>39.0566</v>
      </c>
      <c r="I628" s="5">
        <v>29.5033</v>
      </c>
    </row>
    <row r="629" ht="15.75" customHeight="1">
      <c r="A629" s="4">
        <v>45324.0</v>
      </c>
      <c r="B629" s="5">
        <v>101.97</v>
      </c>
      <c r="C629" s="5">
        <v>68.65</v>
      </c>
      <c r="D629" s="5">
        <v>44.55</v>
      </c>
      <c r="E629" s="5">
        <v>270.1</v>
      </c>
      <c r="F629" s="5">
        <v>17.18</v>
      </c>
      <c r="G629" s="5">
        <v>34.8</v>
      </c>
      <c r="H629" s="5">
        <v>39.1128</v>
      </c>
      <c r="I629" s="5">
        <v>28.971</v>
      </c>
    </row>
    <row r="630" ht="15.75" customHeight="1">
      <c r="A630" s="4">
        <v>45327.0</v>
      </c>
      <c r="B630" s="5">
        <v>101.55</v>
      </c>
      <c r="C630" s="5">
        <v>67.18</v>
      </c>
      <c r="D630" s="5">
        <v>43.35</v>
      </c>
      <c r="E630" s="5">
        <v>269.42</v>
      </c>
      <c r="F630" s="5">
        <v>16.41</v>
      </c>
      <c r="G630" s="5">
        <v>34.43</v>
      </c>
      <c r="H630" s="5">
        <v>39.0144</v>
      </c>
      <c r="I630" s="5">
        <v>28.3678</v>
      </c>
    </row>
    <row r="631" ht="15.75" customHeight="1">
      <c r="A631" s="4">
        <v>45328.0</v>
      </c>
      <c r="B631" s="5">
        <v>102.25</v>
      </c>
      <c r="C631" s="5">
        <v>67.4</v>
      </c>
      <c r="D631" s="5">
        <v>43.26</v>
      </c>
      <c r="E631" s="5">
        <v>271.12</v>
      </c>
      <c r="F631" s="5">
        <v>16.53</v>
      </c>
      <c r="G631" s="5">
        <v>34.3</v>
      </c>
      <c r="H631" s="5">
        <v>39.1409</v>
      </c>
      <c r="I631" s="5">
        <v>28.4716</v>
      </c>
    </row>
    <row r="632" ht="15.75" customHeight="1">
      <c r="A632" s="4">
        <v>45329.0</v>
      </c>
      <c r="B632" s="5">
        <v>102.22</v>
      </c>
      <c r="C632" s="5">
        <v>66.95</v>
      </c>
      <c r="D632" s="5">
        <v>43.76</v>
      </c>
      <c r="E632" s="5">
        <v>272.85</v>
      </c>
      <c r="F632" s="5">
        <v>16.04</v>
      </c>
      <c r="G632" s="5">
        <v>34.29</v>
      </c>
      <c r="H632" s="5">
        <v>39.2205</v>
      </c>
      <c r="I632" s="5">
        <v>28.4902</v>
      </c>
    </row>
    <row r="633" ht="15.75" customHeight="1">
      <c r="A633" s="4">
        <v>45330.0</v>
      </c>
      <c r="B633" s="5">
        <v>103.97</v>
      </c>
      <c r="C633" s="5">
        <v>66.94</v>
      </c>
      <c r="D633" s="5">
        <v>42.9</v>
      </c>
      <c r="E633" s="5">
        <v>273.21</v>
      </c>
      <c r="F633" s="5">
        <v>15.81</v>
      </c>
      <c r="G633" s="5">
        <v>34.04</v>
      </c>
      <c r="H633" s="5">
        <v>39.6232</v>
      </c>
      <c r="I633" s="5">
        <v>28.2877</v>
      </c>
    </row>
    <row r="634" ht="15.75" customHeight="1">
      <c r="A634" s="4">
        <v>45331.0</v>
      </c>
      <c r="B634" s="5">
        <v>101.77</v>
      </c>
      <c r="C634" s="5">
        <v>66.91</v>
      </c>
      <c r="D634" s="5">
        <v>43.23</v>
      </c>
      <c r="E634" s="5">
        <v>277.96</v>
      </c>
      <c r="F634" s="5">
        <v>16.64</v>
      </c>
      <c r="G634" s="5">
        <v>34.03</v>
      </c>
      <c r="H634" s="5">
        <v>39.0144</v>
      </c>
      <c r="I634" s="5">
        <v>28.3961</v>
      </c>
    </row>
    <row r="635" ht="15.75" customHeight="1">
      <c r="A635" s="4">
        <v>45334.0</v>
      </c>
      <c r="B635" s="5">
        <v>103.17</v>
      </c>
      <c r="C635" s="5">
        <v>68.31</v>
      </c>
      <c r="D635" s="5">
        <v>42.81</v>
      </c>
      <c r="E635" s="5">
        <v>274.05</v>
      </c>
      <c r="F635" s="5">
        <v>16.74</v>
      </c>
      <c r="G635" s="5">
        <v>34.55</v>
      </c>
      <c r="H635" s="5">
        <v>39.4453</v>
      </c>
      <c r="I635" s="5">
        <v>28.7258</v>
      </c>
    </row>
    <row r="636" ht="15.75" customHeight="1">
      <c r="A636" s="4">
        <v>45335.0</v>
      </c>
      <c r="B636" s="5">
        <v>101.34</v>
      </c>
      <c r="C636" s="5">
        <v>67.51</v>
      </c>
      <c r="D636" s="5">
        <v>44.2</v>
      </c>
      <c r="E636" s="5">
        <v>272.38</v>
      </c>
      <c r="F636" s="5">
        <v>16.66</v>
      </c>
      <c r="G636" s="5">
        <v>34.04</v>
      </c>
      <c r="H636" s="5">
        <v>39.0472</v>
      </c>
      <c r="I636" s="5">
        <v>28.25</v>
      </c>
    </row>
    <row r="637" ht="15.75" customHeight="1">
      <c r="A637" s="4">
        <v>45336.0</v>
      </c>
      <c r="B637" s="5">
        <v>100.84</v>
      </c>
      <c r="C637" s="5">
        <v>67.81</v>
      </c>
      <c r="D637" s="5">
        <v>44.27</v>
      </c>
      <c r="E637" s="5">
        <v>275.62</v>
      </c>
      <c r="F637" s="5">
        <v>17.02</v>
      </c>
      <c r="G637" s="5">
        <v>33.05</v>
      </c>
      <c r="H637" s="5">
        <v>39.0098</v>
      </c>
      <c r="I637" s="5">
        <v>28.4055</v>
      </c>
    </row>
    <row r="638" ht="15.75" customHeight="1">
      <c r="A638" s="4">
        <v>45337.0</v>
      </c>
      <c r="B638" s="5">
        <v>103.73</v>
      </c>
      <c r="C638" s="5">
        <v>66.83</v>
      </c>
      <c r="D638" s="5">
        <v>45.39</v>
      </c>
      <c r="E638" s="5">
        <v>275.79</v>
      </c>
      <c r="F638" s="5">
        <v>17.0</v>
      </c>
      <c r="G638" s="5">
        <v>34.19</v>
      </c>
      <c r="H638" s="5">
        <v>40.0962</v>
      </c>
      <c r="I638" s="5">
        <v>28.8815</v>
      </c>
    </row>
    <row r="639" ht="15.75" customHeight="1">
      <c r="A639" s="4">
        <v>45338.0</v>
      </c>
      <c r="B639" s="5">
        <v>103.73</v>
      </c>
      <c r="C639" s="5">
        <v>66.48</v>
      </c>
      <c r="D639" s="5">
        <v>45.58</v>
      </c>
      <c r="E639" s="5">
        <v>277.52</v>
      </c>
      <c r="F639" s="5">
        <v>16.85</v>
      </c>
      <c r="G639" s="5">
        <v>34.31</v>
      </c>
      <c r="H639" s="5">
        <v>40.0728</v>
      </c>
      <c r="I639" s="5">
        <v>28.8483</v>
      </c>
    </row>
    <row r="640" ht="15.75" customHeight="1">
      <c r="A640" s="4">
        <v>45342.0</v>
      </c>
      <c r="B640" s="5">
        <v>102.75</v>
      </c>
      <c r="C640" s="5">
        <v>67.04</v>
      </c>
      <c r="D640" s="5">
        <v>46.15</v>
      </c>
      <c r="E640" s="5">
        <v>276.09</v>
      </c>
      <c r="F640" s="5">
        <v>16.71</v>
      </c>
      <c r="G640" s="5">
        <v>34.11</v>
      </c>
      <c r="H640" s="5">
        <v>39.7075</v>
      </c>
      <c r="I640" s="5">
        <v>28.8296</v>
      </c>
    </row>
    <row r="641" ht="15.75" customHeight="1">
      <c r="A641" s="4">
        <v>45343.0</v>
      </c>
      <c r="B641" s="5">
        <v>104.85</v>
      </c>
      <c r="C641" s="5">
        <v>67.73</v>
      </c>
      <c r="D641" s="5">
        <v>46.18</v>
      </c>
      <c r="E641" s="5">
        <v>277.16</v>
      </c>
      <c r="F641" s="5">
        <v>16.96</v>
      </c>
      <c r="G641" s="5">
        <v>34.68</v>
      </c>
      <c r="H641" s="5">
        <v>40.4522</v>
      </c>
      <c r="I641" s="5">
        <v>29.2112</v>
      </c>
    </row>
    <row r="642" ht="15.75" customHeight="1">
      <c r="A642" s="4">
        <v>45344.0</v>
      </c>
      <c r="B642" s="5">
        <v>104.76</v>
      </c>
      <c r="C642" s="5">
        <v>67.28</v>
      </c>
      <c r="D642" s="5">
        <v>47.62</v>
      </c>
      <c r="E642" s="5">
        <v>284.58</v>
      </c>
      <c r="F642" s="5">
        <v>18.05</v>
      </c>
      <c r="G642" s="5">
        <v>34.9</v>
      </c>
      <c r="H642" s="5">
        <v>40.5224</v>
      </c>
      <c r="I642" s="5">
        <v>28.9851</v>
      </c>
    </row>
    <row r="643" ht="15.75" customHeight="1">
      <c r="A643" s="4">
        <v>45345.0</v>
      </c>
      <c r="B643" s="5">
        <v>103.84</v>
      </c>
      <c r="C643" s="5">
        <v>67.69</v>
      </c>
      <c r="D643" s="5">
        <v>48.62</v>
      </c>
      <c r="E643" s="5">
        <v>284.93</v>
      </c>
      <c r="F643" s="5">
        <v>18.04</v>
      </c>
      <c r="G643" s="5">
        <v>34.94</v>
      </c>
      <c r="H643" s="5">
        <v>40.2554</v>
      </c>
      <c r="I643" s="5">
        <v>29.1924</v>
      </c>
    </row>
    <row r="644" ht="15.75" customHeight="1">
      <c r="A644" s="4">
        <v>45348.0</v>
      </c>
      <c r="B644" s="5">
        <v>104.25</v>
      </c>
      <c r="C644" s="5">
        <v>66.25</v>
      </c>
      <c r="D644" s="5">
        <v>48.75</v>
      </c>
      <c r="E644" s="5">
        <v>284.3</v>
      </c>
      <c r="F644" s="5">
        <v>17.91</v>
      </c>
      <c r="G644" s="5">
        <v>34.72</v>
      </c>
      <c r="H644" s="5">
        <v>40.3959</v>
      </c>
      <c r="I644" s="5">
        <v>28.6176</v>
      </c>
    </row>
    <row r="645" ht="15.75" customHeight="1">
      <c r="A645" s="4">
        <v>45349.0</v>
      </c>
      <c r="B645" s="5">
        <v>104.03</v>
      </c>
      <c r="C645" s="5">
        <v>66.46</v>
      </c>
      <c r="D645" s="5">
        <v>50.98</v>
      </c>
      <c r="E645" s="5">
        <v>283.57</v>
      </c>
      <c r="F645" s="5">
        <v>17.41</v>
      </c>
      <c r="G645" s="5">
        <v>35.04</v>
      </c>
      <c r="H645" s="5">
        <v>40.2226</v>
      </c>
      <c r="I645" s="5">
        <v>29.1594</v>
      </c>
    </row>
    <row r="646" ht="15.75" customHeight="1">
      <c r="A646" s="4">
        <v>45350.0</v>
      </c>
      <c r="B646" s="5">
        <v>104.32</v>
      </c>
      <c r="C646" s="5">
        <v>66.81</v>
      </c>
      <c r="D646" s="5">
        <v>53.02</v>
      </c>
      <c r="E646" s="5">
        <v>286.96</v>
      </c>
      <c r="F646" s="5">
        <v>17.07</v>
      </c>
      <c r="G646" s="5">
        <v>35.26</v>
      </c>
      <c r="H646" s="5">
        <v>40.1431</v>
      </c>
      <c r="I646" s="5">
        <v>29.2488</v>
      </c>
    </row>
    <row r="647" ht="15.75" customHeight="1">
      <c r="A647" s="4">
        <v>45351.0</v>
      </c>
      <c r="B647" s="5">
        <v>104.52</v>
      </c>
      <c r="C647" s="5">
        <v>67.25</v>
      </c>
      <c r="D647" s="5">
        <v>54.54</v>
      </c>
      <c r="E647" s="5">
        <v>289.0</v>
      </c>
      <c r="F647" s="5">
        <v>17.3</v>
      </c>
      <c r="G647" s="5">
        <v>35.94</v>
      </c>
      <c r="H647" s="5">
        <v>40.3397</v>
      </c>
      <c r="I647" s="5">
        <v>29.2584</v>
      </c>
    </row>
    <row r="648" ht="15.75" customHeight="1">
      <c r="A648" s="4">
        <v>45352.0</v>
      </c>
      <c r="B648" s="5">
        <v>105.84</v>
      </c>
      <c r="C648" s="5">
        <v>66.86</v>
      </c>
      <c r="D648" s="5">
        <v>54.5</v>
      </c>
      <c r="E648" s="5">
        <v>293.7</v>
      </c>
      <c r="F648" s="5">
        <v>17.83</v>
      </c>
      <c r="G648" s="5">
        <v>36.4</v>
      </c>
      <c r="H648" s="5">
        <v>40.8079</v>
      </c>
      <c r="I648" s="5">
        <v>29.0792</v>
      </c>
    </row>
    <row r="649" ht="15.75" customHeight="1">
      <c r="A649" s="4">
        <v>45355.0</v>
      </c>
      <c r="B649" s="5">
        <v>104.36</v>
      </c>
      <c r="C649" s="5">
        <v>68.2</v>
      </c>
      <c r="D649" s="5">
        <v>56.99</v>
      </c>
      <c r="E649" s="5">
        <v>296.58</v>
      </c>
      <c r="F649" s="5">
        <v>18.71</v>
      </c>
      <c r="G649" s="5">
        <v>36.37</v>
      </c>
      <c r="H649" s="5">
        <v>40.3724</v>
      </c>
      <c r="I649" s="5">
        <v>29.5693</v>
      </c>
    </row>
    <row r="650" ht="15.75" customHeight="1">
      <c r="A650" s="4">
        <v>45356.0</v>
      </c>
      <c r="B650" s="5">
        <v>105.64</v>
      </c>
      <c r="C650" s="5">
        <v>67.98</v>
      </c>
      <c r="D650" s="5">
        <v>58.89</v>
      </c>
      <c r="E650" s="5">
        <v>291.93</v>
      </c>
      <c r="F650" s="5">
        <v>18.2</v>
      </c>
      <c r="G650" s="5">
        <v>36.69</v>
      </c>
      <c r="H650" s="5">
        <v>40.6722</v>
      </c>
      <c r="I650" s="5">
        <v>29.4844</v>
      </c>
    </row>
    <row r="651" ht="15.75" customHeight="1">
      <c r="A651" s="4">
        <v>45357.0</v>
      </c>
      <c r="B651" s="5">
        <v>106.77</v>
      </c>
      <c r="C651" s="5">
        <v>68.58</v>
      </c>
      <c r="D651" s="5">
        <v>60.9</v>
      </c>
      <c r="E651" s="5">
        <v>296.74</v>
      </c>
      <c r="F651" s="5">
        <v>18.67</v>
      </c>
      <c r="G651" s="5">
        <v>36.53</v>
      </c>
      <c r="H651" s="5">
        <v>40.7987</v>
      </c>
      <c r="I651" s="5">
        <v>29.767</v>
      </c>
    </row>
    <row r="652" ht="15.75" customHeight="1">
      <c r="A652" s="4">
        <v>45358.0</v>
      </c>
      <c r="B652" s="5">
        <v>107.37</v>
      </c>
      <c r="C652" s="5">
        <v>69.25</v>
      </c>
      <c r="D652" s="5">
        <v>61.68</v>
      </c>
      <c r="E652" s="5">
        <v>301.13</v>
      </c>
      <c r="F652" s="5">
        <v>18.32</v>
      </c>
      <c r="G652" s="5">
        <v>35.92</v>
      </c>
      <c r="H652" s="5">
        <v>41.1452</v>
      </c>
      <c r="I652" s="5">
        <v>29.9604</v>
      </c>
    </row>
    <row r="653" ht="15.75" customHeight="1">
      <c r="A653" s="4">
        <v>45359.0</v>
      </c>
      <c r="B653" s="5">
        <v>108.38</v>
      </c>
      <c r="C653" s="5">
        <v>69.01</v>
      </c>
      <c r="D653" s="5">
        <v>60.49</v>
      </c>
      <c r="E653" s="5">
        <v>297.49</v>
      </c>
      <c r="F653" s="5">
        <v>17.65</v>
      </c>
      <c r="G653" s="5">
        <v>36.05</v>
      </c>
      <c r="H653" s="5">
        <v>41.2904</v>
      </c>
      <c r="I653" s="5">
        <v>30.0356</v>
      </c>
    </row>
    <row r="654" ht="15.75" customHeight="1">
      <c r="A654" s="4">
        <v>45362.0</v>
      </c>
      <c r="B654" s="5">
        <v>109.02</v>
      </c>
      <c r="C654" s="5">
        <v>69.78</v>
      </c>
      <c r="D654" s="5">
        <v>58.05</v>
      </c>
      <c r="E654" s="5">
        <v>292.7</v>
      </c>
      <c r="F654" s="5">
        <v>17.34</v>
      </c>
      <c r="G654" s="5">
        <v>36.64</v>
      </c>
      <c r="H654" s="5">
        <v>41.7166</v>
      </c>
      <c r="I654" s="5">
        <v>30.1864</v>
      </c>
    </row>
    <row r="655" ht="15.75" customHeight="1">
      <c r="A655" s="4">
        <v>45363.0</v>
      </c>
      <c r="B655" s="5">
        <v>108.32</v>
      </c>
      <c r="C655" s="5">
        <v>69.35</v>
      </c>
      <c r="D655" s="5">
        <v>60.2</v>
      </c>
      <c r="E655" s="5">
        <v>297.74</v>
      </c>
      <c r="F655" s="5">
        <v>17.64</v>
      </c>
      <c r="G655" s="5">
        <v>36.73</v>
      </c>
      <c r="H655" s="5">
        <v>41.6509</v>
      </c>
      <c r="I655" s="5">
        <v>29.8943</v>
      </c>
    </row>
    <row r="656" ht="15.75" customHeight="1">
      <c r="A656" s="4">
        <v>45364.0</v>
      </c>
      <c r="B656" s="5">
        <v>109.53</v>
      </c>
      <c r="C656" s="5">
        <v>69.94</v>
      </c>
      <c r="D656" s="5">
        <v>61.16</v>
      </c>
      <c r="E656" s="5">
        <v>300.24</v>
      </c>
      <c r="F656" s="5">
        <v>18.11</v>
      </c>
      <c r="G656" s="5">
        <v>36.94</v>
      </c>
      <c r="H656" s="5">
        <v>42.3161</v>
      </c>
      <c r="I656" s="5">
        <v>30.097</v>
      </c>
    </row>
    <row r="657" ht="15.75" customHeight="1">
      <c r="A657" s="4">
        <v>45365.0</v>
      </c>
      <c r="B657" s="5">
        <v>111.47</v>
      </c>
      <c r="C657" s="5">
        <v>69.38</v>
      </c>
      <c r="D657" s="5">
        <v>63.11</v>
      </c>
      <c r="E657" s="5">
        <v>300.29</v>
      </c>
      <c r="F657" s="5">
        <v>18.0</v>
      </c>
      <c r="G657" s="5">
        <v>36.88</v>
      </c>
      <c r="H657" s="5">
        <v>42.7516</v>
      </c>
      <c r="I657" s="5">
        <v>29.8568</v>
      </c>
    </row>
    <row r="658" ht="15.75" customHeight="1">
      <c r="A658" s="4">
        <v>45366.0</v>
      </c>
      <c r="B658" s="5">
        <v>111.27</v>
      </c>
      <c r="C658" s="5">
        <v>69.09</v>
      </c>
      <c r="D658" s="5">
        <v>61.56</v>
      </c>
      <c r="E658" s="5">
        <v>297.9</v>
      </c>
      <c r="F658" s="5">
        <v>18.06</v>
      </c>
      <c r="G658" s="5">
        <v>37.0</v>
      </c>
      <c r="H658" s="5">
        <v>42.878</v>
      </c>
      <c r="I658" s="5">
        <v>29.8991</v>
      </c>
    </row>
    <row r="659" ht="15.75" customHeight="1">
      <c r="A659" s="4">
        <v>45369.0</v>
      </c>
      <c r="B659" s="5">
        <v>112.3</v>
      </c>
      <c r="C659" s="5">
        <v>69.42</v>
      </c>
      <c r="D659" s="5">
        <v>62.48</v>
      </c>
      <c r="E659" s="5">
        <v>298.75</v>
      </c>
      <c r="F659" s="5">
        <v>19.26</v>
      </c>
      <c r="G659" s="5">
        <v>37.22</v>
      </c>
      <c r="H659" s="5">
        <v>43.0262</v>
      </c>
      <c r="I659" s="5">
        <v>30.0366</v>
      </c>
    </row>
    <row r="660" ht="15.75" customHeight="1">
      <c r="A660" s="4">
        <v>45370.0</v>
      </c>
      <c r="B660" s="5">
        <v>113.09</v>
      </c>
      <c r="C660" s="5">
        <v>70.21</v>
      </c>
      <c r="D660" s="5">
        <v>63.68</v>
      </c>
      <c r="E660" s="5">
        <v>302.96</v>
      </c>
      <c r="F660" s="5">
        <v>18.97</v>
      </c>
      <c r="G660" s="5">
        <v>37.75</v>
      </c>
      <c r="H660" s="5">
        <v>43.5171</v>
      </c>
      <c r="I660" s="5">
        <v>30.3026</v>
      </c>
    </row>
    <row r="661" ht="15.75" customHeight="1">
      <c r="A661" s="4">
        <v>45371.0</v>
      </c>
      <c r="B661" s="5">
        <v>112.99</v>
      </c>
      <c r="C661" s="5">
        <v>70.23</v>
      </c>
      <c r="D661" s="5">
        <v>66.75</v>
      </c>
      <c r="E661" s="5">
        <v>309.81</v>
      </c>
      <c r="F661" s="5">
        <v>19.36</v>
      </c>
      <c r="G661" s="5">
        <v>37.87</v>
      </c>
      <c r="H661" s="5">
        <v>43.4557</v>
      </c>
      <c r="I661" s="5">
        <v>30.3407</v>
      </c>
    </row>
    <row r="662" ht="15.75" customHeight="1">
      <c r="A662" s="4">
        <v>45372.0</v>
      </c>
      <c r="B662" s="5">
        <v>113.49</v>
      </c>
      <c r="C662" s="5">
        <v>69.9</v>
      </c>
      <c r="D662" s="5">
        <v>68.37</v>
      </c>
      <c r="E662" s="5">
        <v>315.52</v>
      </c>
      <c r="F662" s="5">
        <v>20.19</v>
      </c>
      <c r="G662" s="5">
        <v>38.43</v>
      </c>
      <c r="H662" s="5">
        <v>43.7153</v>
      </c>
      <c r="I662" s="5">
        <v>30.2931</v>
      </c>
    </row>
    <row r="663" ht="15.75" customHeight="1">
      <c r="A663" s="4">
        <v>45373.0</v>
      </c>
      <c r="B663" s="5">
        <v>113.49</v>
      </c>
      <c r="C663" s="5">
        <v>69.8</v>
      </c>
      <c r="D663" s="5">
        <v>69.09</v>
      </c>
      <c r="E663" s="5">
        <v>316.58</v>
      </c>
      <c r="F663" s="5">
        <v>20.26</v>
      </c>
      <c r="G663" s="5">
        <v>38.25</v>
      </c>
      <c r="H663" s="5">
        <v>43.621</v>
      </c>
      <c r="I663" s="5">
        <v>30.336</v>
      </c>
    </row>
    <row r="664" ht="15.75" customHeight="1">
      <c r="A664" s="4">
        <v>45376.0</v>
      </c>
      <c r="B664" s="5">
        <v>114.65</v>
      </c>
      <c r="C664" s="5">
        <v>69.76</v>
      </c>
      <c r="D664" s="5">
        <v>71.2</v>
      </c>
      <c r="E664" s="5">
        <v>311.88</v>
      </c>
      <c r="F664" s="5">
        <v>20.37</v>
      </c>
      <c r="G664" s="5">
        <v>38.21</v>
      </c>
      <c r="H664" s="5">
        <v>44.027</v>
      </c>
      <c r="I664" s="5">
        <v>30.4784</v>
      </c>
    </row>
    <row r="665" ht="15.75" customHeight="1">
      <c r="A665" s="4">
        <v>45377.0</v>
      </c>
      <c r="B665" s="5">
        <v>113.79</v>
      </c>
      <c r="C665" s="5">
        <v>69.27</v>
      </c>
      <c r="D665" s="5">
        <v>67.89</v>
      </c>
      <c r="E665" s="5">
        <v>312.08</v>
      </c>
      <c r="F665" s="5">
        <v>19.8</v>
      </c>
      <c r="G665" s="5">
        <v>38.09</v>
      </c>
      <c r="H665" s="5">
        <v>43.6871</v>
      </c>
      <c r="I665" s="5">
        <v>30.1316</v>
      </c>
    </row>
    <row r="666" ht="15.75" customHeight="1">
      <c r="A666" s="4">
        <v>45378.0</v>
      </c>
      <c r="B666" s="5">
        <v>114.97</v>
      </c>
      <c r="C666" s="5">
        <v>71.05</v>
      </c>
      <c r="D666" s="5">
        <v>68.3</v>
      </c>
      <c r="E666" s="5">
        <v>314.4</v>
      </c>
      <c r="F666" s="5">
        <v>20.12</v>
      </c>
      <c r="G666" s="5">
        <v>38.54</v>
      </c>
      <c r="H666" s="5">
        <v>44.0931</v>
      </c>
      <c r="I666" s="5">
        <v>30.9724</v>
      </c>
    </row>
    <row r="667" ht="15.75" customHeight="1">
      <c r="A667" s="4">
        <v>45379.0</v>
      </c>
      <c r="B667" s="5">
        <v>116.24</v>
      </c>
      <c r="C667" s="5">
        <v>71.74</v>
      </c>
      <c r="D667" s="5">
        <v>69.65</v>
      </c>
      <c r="E667" s="5">
        <v>312.68</v>
      </c>
      <c r="F667" s="5">
        <v>19.8</v>
      </c>
      <c r="G667" s="5">
        <v>38.97</v>
      </c>
      <c r="H667" s="5">
        <v>44.5699</v>
      </c>
      <c r="I667" s="5">
        <v>31.1862</v>
      </c>
    </row>
    <row r="668" ht="15.75" customHeight="1">
      <c r="A668" s="4">
        <v>45383.0</v>
      </c>
      <c r="B668" s="5">
        <v>116.99</v>
      </c>
      <c r="C668" s="5">
        <v>71.1</v>
      </c>
      <c r="D668" s="5">
        <v>71.53</v>
      </c>
      <c r="E668" s="5">
        <v>312.03</v>
      </c>
      <c r="F668" s="5">
        <v>19.63</v>
      </c>
      <c r="G668" s="5">
        <v>38.87</v>
      </c>
      <c r="H668" s="5">
        <v>44.9004</v>
      </c>
      <c r="I668" s="5">
        <v>30.9961</v>
      </c>
    </row>
    <row r="669" ht="15.75" customHeight="1">
      <c r="A669" s="4">
        <v>45384.0</v>
      </c>
      <c r="B669" s="5">
        <v>119.28</v>
      </c>
      <c r="C669" s="5">
        <v>71.34</v>
      </c>
      <c r="D669" s="5">
        <v>71.15</v>
      </c>
      <c r="E669" s="5">
        <v>314.75</v>
      </c>
      <c r="F669" s="5">
        <v>19.91</v>
      </c>
      <c r="G669" s="5">
        <v>39.3</v>
      </c>
      <c r="H669" s="5">
        <v>45.5282</v>
      </c>
      <c r="I669" s="5">
        <v>31.0484</v>
      </c>
    </row>
    <row r="670" ht="15.75" customHeight="1">
      <c r="A670" s="4">
        <v>45385.0</v>
      </c>
      <c r="B670" s="5">
        <v>119.3</v>
      </c>
      <c r="C670" s="5">
        <v>70.98</v>
      </c>
      <c r="D670" s="5">
        <v>73.76</v>
      </c>
      <c r="E670" s="5">
        <v>320.94</v>
      </c>
      <c r="F670" s="5">
        <v>20.64</v>
      </c>
      <c r="G670" s="5">
        <v>39.35</v>
      </c>
      <c r="H670" s="5">
        <v>45.8398</v>
      </c>
      <c r="I670" s="5">
        <v>30.925</v>
      </c>
    </row>
    <row r="671" ht="15.75" customHeight="1">
      <c r="A671" s="4">
        <v>45386.0</v>
      </c>
      <c r="B671" s="5">
        <v>119.72</v>
      </c>
      <c r="C671" s="5">
        <v>70.05</v>
      </c>
      <c r="D671" s="5">
        <v>70.54</v>
      </c>
      <c r="E671" s="5">
        <v>320.16</v>
      </c>
      <c r="F671" s="5">
        <v>20.23</v>
      </c>
      <c r="G671" s="5">
        <v>39.11</v>
      </c>
      <c r="H671" s="5">
        <v>45.8115</v>
      </c>
      <c r="I671" s="5">
        <v>30.8632</v>
      </c>
    </row>
    <row r="672" ht="15.75" customHeight="1">
      <c r="A672" s="4">
        <v>45387.0</v>
      </c>
      <c r="B672" s="5">
        <v>121.37</v>
      </c>
      <c r="C672" s="5">
        <v>69.91</v>
      </c>
      <c r="D672" s="5">
        <v>75.33</v>
      </c>
      <c r="E672" s="5">
        <v>330.51</v>
      </c>
      <c r="F672" s="5">
        <v>21.04</v>
      </c>
      <c r="G672" s="5">
        <v>39.23</v>
      </c>
      <c r="H672" s="5">
        <v>46.3025</v>
      </c>
      <c r="I672" s="5">
        <v>30.9534</v>
      </c>
    </row>
    <row r="673" ht="15.75" customHeight="1">
      <c r="A673" s="4">
        <v>45390.0</v>
      </c>
      <c r="B673" s="5">
        <v>120.55</v>
      </c>
      <c r="C673" s="5">
        <v>70.06</v>
      </c>
      <c r="D673" s="5">
        <v>74.42</v>
      </c>
      <c r="E673" s="5">
        <v>325.82</v>
      </c>
      <c r="F673" s="5">
        <v>21.71</v>
      </c>
      <c r="G673" s="5">
        <v>38.95</v>
      </c>
      <c r="H673" s="5">
        <v>46.0098</v>
      </c>
      <c r="I673" s="5">
        <v>31.1577</v>
      </c>
    </row>
    <row r="674" ht="15.75" customHeight="1">
      <c r="A674" s="4">
        <v>45391.0</v>
      </c>
      <c r="B674" s="5">
        <v>121.18</v>
      </c>
      <c r="C674" s="5">
        <v>70.59</v>
      </c>
      <c r="D674" s="5">
        <v>69.53</v>
      </c>
      <c r="E674" s="5">
        <v>313.87</v>
      </c>
      <c r="F674" s="5">
        <v>21.75</v>
      </c>
      <c r="G674" s="5">
        <v>39.24</v>
      </c>
      <c r="H674" s="5">
        <v>46.0239</v>
      </c>
      <c r="I674" s="5">
        <v>31.3287</v>
      </c>
    </row>
    <row r="675" ht="15.75" customHeight="1">
      <c r="A675" s="4">
        <v>45392.0</v>
      </c>
      <c r="B675" s="5">
        <v>122.2</v>
      </c>
      <c r="C675" s="5">
        <v>69.77</v>
      </c>
      <c r="D675" s="5">
        <v>70.76</v>
      </c>
      <c r="E675" s="5">
        <v>314.37</v>
      </c>
      <c r="F675" s="5">
        <v>21.46</v>
      </c>
      <c r="G675" s="5">
        <v>38.88</v>
      </c>
      <c r="H675" s="5">
        <v>46.1655</v>
      </c>
      <c r="I675" s="5">
        <v>30.792</v>
      </c>
    </row>
    <row r="676" ht="15.75" customHeight="1">
      <c r="A676" s="4">
        <v>45393.0</v>
      </c>
      <c r="B676" s="5">
        <v>121.79</v>
      </c>
      <c r="C676" s="5">
        <v>69.58</v>
      </c>
      <c r="D676" s="5">
        <v>72.0</v>
      </c>
      <c r="E676" s="5">
        <v>317.26</v>
      </c>
      <c r="F676" s="5">
        <v>21.61</v>
      </c>
      <c r="G676" s="5">
        <v>38.6</v>
      </c>
      <c r="H676" s="5">
        <v>46.1325</v>
      </c>
      <c r="I676" s="5">
        <v>30.7302</v>
      </c>
    </row>
    <row r="677" ht="15.75" customHeight="1">
      <c r="A677" s="4">
        <v>45394.0</v>
      </c>
      <c r="B677" s="5">
        <v>120.37</v>
      </c>
      <c r="C677" s="5">
        <v>68.73</v>
      </c>
      <c r="D677" s="5">
        <v>69.74</v>
      </c>
      <c r="E677" s="5">
        <v>318.5</v>
      </c>
      <c r="F677" s="5">
        <v>21.17</v>
      </c>
      <c r="G677" s="5">
        <v>38.08</v>
      </c>
      <c r="H677" s="5">
        <v>45.3818</v>
      </c>
      <c r="I677" s="5">
        <v>30.4974</v>
      </c>
    </row>
    <row r="678" ht="15.75" customHeight="1">
      <c r="A678" s="4">
        <v>45397.0</v>
      </c>
      <c r="B678" s="5">
        <v>119.68</v>
      </c>
      <c r="C678" s="5">
        <v>68.39</v>
      </c>
      <c r="D678" s="5">
        <v>68.22</v>
      </c>
      <c r="E678" s="5">
        <v>315.28</v>
      </c>
      <c r="F678" s="5">
        <v>20.21</v>
      </c>
      <c r="G678" s="5">
        <v>37.84</v>
      </c>
      <c r="H678" s="5">
        <v>44.957</v>
      </c>
      <c r="I678" s="5">
        <v>30.2172</v>
      </c>
    </row>
    <row r="679" ht="15.75" customHeight="1">
      <c r="A679" s="4">
        <v>45398.0</v>
      </c>
      <c r="B679" s="5">
        <v>118.69</v>
      </c>
      <c r="C679" s="5">
        <v>67.77</v>
      </c>
      <c r="D679" s="5">
        <v>67.6</v>
      </c>
      <c r="E679" s="5">
        <v>315.35</v>
      </c>
      <c r="F679" s="5">
        <v>20.25</v>
      </c>
      <c r="G679" s="5">
        <v>37.65</v>
      </c>
      <c r="H679" s="5">
        <v>44.5651</v>
      </c>
      <c r="I679" s="5">
        <v>29.8181</v>
      </c>
    </row>
    <row r="680" ht="15.75" customHeight="1">
      <c r="A680" s="4">
        <v>45399.0</v>
      </c>
      <c r="B680" s="5">
        <v>118.63</v>
      </c>
      <c r="C680" s="5">
        <v>69.8</v>
      </c>
      <c r="D680" s="5">
        <v>68.65</v>
      </c>
      <c r="E680" s="5">
        <v>310.18</v>
      </c>
      <c r="F680" s="5">
        <v>19.47</v>
      </c>
      <c r="G680" s="5">
        <v>37.68</v>
      </c>
      <c r="H680" s="5">
        <v>44.4378</v>
      </c>
      <c r="I680" s="5">
        <v>30.4405</v>
      </c>
    </row>
    <row r="681" ht="15.75" customHeight="1">
      <c r="A681" s="4">
        <v>45400.0</v>
      </c>
      <c r="B681" s="5">
        <v>118.52</v>
      </c>
      <c r="C681" s="5">
        <v>70.57</v>
      </c>
      <c r="D681" s="5">
        <v>65.88</v>
      </c>
      <c r="E681" s="5">
        <v>308.94</v>
      </c>
      <c r="F681" s="5">
        <v>19.07</v>
      </c>
      <c r="G681" s="5">
        <v>37.58</v>
      </c>
      <c r="H681" s="5">
        <v>44.3007</v>
      </c>
      <c r="I681" s="5">
        <v>30.6113</v>
      </c>
    </row>
    <row r="682" ht="15.75" customHeight="1">
      <c r="A682" s="4">
        <v>45401.0</v>
      </c>
      <c r="B682" s="5">
        <v>119.88</v>
      </c>
      <c r="C682" s="5">
        <v>72.15</v>
      </c>
      <c r="D682" s="5">
        <v>65.66</v>
      </c>
      <c r="E682" s="5">
        <v>303.22</v>
      </c>
      <c r="F682" s="5">
        <v>19.33</v>
      </c>
      <c r="G682" s="5">
        <v>38.52</v>
      </c>
      <c r="H682" s="5">
        <v>44.8342</v>
      </c>
      <c r="I682" s="5">
        <v>31.0818</v>
      </c>
    </row>
    <row r="683" ht="15.75" customHeight="1">
      <c r="A683" s="4">
        <v>45404.0</v>
      </c>
      <c r="B683" s="5">
        <v>120.56</v>
      </c>
      <c r="C683" s="5">
        <v>72.98</v>
      </c>
      <c r="D683" s="5">
        <v>66.72</v>
      </c>
      <c r="E683" s="5">
        <v>308.09</v>
      </c>
      <c r="F683" s="5">
        <v>20.79</v>
      </c>
      <c r="G683" s="5">
        <v>38.66</v>
      </c>
      <c r="H683" s="5">
        <v>45.127</v>
      </c>
      <c r="I683" s="5">
        <v>31.3667</v>
      </c>
    </row>
    <row r="684" ht="15.75" customHeight="1">
      <c r="A684" s="4">
        <v>45405.0</v>
      </c>
      <c r="B684" s="5">
        <v>121.03</v>
      </c>
      <c r="C684" s="5">
        <v>73.25</v>
      </c>
      <c r="D684" s="5">
        <v>68.45</v>
      </c>
      <c r="E684" s="5">
        <v>312.84</v>
      </c>
      <c r="F684" s="5">
        <v>20.87</v>
      </c>
      <c r="G684" s="5">
        <v>38.78</v>
      </c>
      <c r="H684" s="5">
        <v>45.3772</v>
      </c>
      <c r="I684" s="5">
        <v>31.5139</v>
      </c>
    </row>
    <row r="685" ht="15.75" customHeight="1">
      <c r="A685" s="4">
        <v>45406.0</v>
      </c>
      <c r="B685" s="5">
        <v>121.05</v>
      </c>
      <c r="C685" s="5">
        <v>73.91</v>
      </c>
      <c r="D685" s="5">
        <v>70.46</v>
      </c>
      <c r="E685" s="5">
        <v>318.79</v>
      </c>
      <c r="F685" s="5">
        <v>20.16</v>
      </c>
      <c r="G685" s="5">
        <v>39.25</v>
      </c>
      <c r="H685" s="5">
        <v>45.4103</v>
      </c>
      <c r="I685" s="5">
        <v>31.7039</v>
      </c>
    </row>
    <row r="686" ht="15.75" customHeight="1">
      <c r="A686" s="4">
        <v>45407.0</v>
      </c>
      <c r="B686" s="5">
        <v>121.33</v>
      </c>
      <c r="C686" s="5">
        <v>74.37</v>
      </c>
      <c r="D686" s="5">
        <v>72.48</v>
      </c>
      <c r="E686" s="5">
        <v>317.1</v>
      </c>
      <c r="F686" s="5">
        <v>20.24</v>
      </c>
      <c r="G686" s="5">
        <v>39.45</v>
      </c>
      <c r="H686" s="5">
        <v>45.6179</v>
      </c>
      <c r="I686" s="5">
        <v>31.7895</v>
      </c>
    </row>
    <row r="687" ht="15.75" customHeight="1">
      <c r="A687" s="4">
        <v>45408.0</v>
      </c>
      <c r="B687" s="5">
        <v>117.96</v>
      </c>
      <c r="C687" s="5">
        <v>73.21</v>
      </c>
      <c r="D687" s="5">
        <v>72.7</v>
      </c>
      <c r="E687" s="5">
        <v>324.3</v>
      </c>
      <c r="F687" s="5">
        <v>21.17</v>
      </c>
      <c r="G687" s="5">
        <v>39.26</v>
      </c>
      <c r="H687" s="5">
        <v>45.1977</v>
      </c>
      <c r="I687" s="5">
        <v>31.4427</v>
      </c>
    </row>
    <row r="688" ht="15.75" customHeight="1">
      <c r="A688" s="4">
        <v>45411.0</v>
      </c>
      <c r="B688" s="5">
        <v>119.64</v>
      </c>
      <c r="C688" s="5">
        <v>74.39</v>
      </c>
      <c r="D688" s="5">
        <v>77.96</v>
      </c>
      <c r="E688" s="5">
        <v>326.51</v>
      </c>
      <c r="F688" s="5">
        <v>21.48</v>
      </c>
      <c r="G688" s="5">
        <v>39.21</v>
      </c>
      <c r="H688" s="5">
        <v>45.5047</v>
      </c>
      <c r="I688" s="5">
        <v>31.8703</v>
      </c>
    </row>
    <row r="689" ht="15.75" customHeight="1">
      <c r="A689" s="4">
        <v>45412.0</v>
      </c>
      <c r="B689" s="5">
        <v>118.27</v>
      </c>
      <c r="C689" s="5">
        <v>73.5</v>
      </c>
      <c r="D689" s="5">
        <v>75.84</v>
      </c>
      <c r="E689" s="5">
        <v>318.26</v>
      </c>
      <c r="F689" s="5">
        <v>21.96</v>
      </c>
      <c r="G689" s="5">
        <v>38.36</v>
      </c>
      <c r="H689" s="5">
        <v>44.1496</v>
      </c>
      <c r="I689" s="5">
        <v>31.7039</v>
      </c>
    </row>
    <row r="690" ht="15.75" customHeight="1">
      <c r="A690" s="4">
        <v>45413.0</v>
      </c>
      <c r="B690" s="5">
        <v>116.03</v>
      </c>
      <c r="C690" s="5">
        <v>74.52</v>
      </c>
      <c r="D690" s="5">
        <v>76.86</v>
      </c>
      <c r="E690" s="5">
        <v>312.03</v>
      </c>
      <c r="F690" s="5">
        <v>22.08</v>
      </c>
      <c r="G690" s="5">
        <v>37.89</v>
      </c>
      <c r="H690" s="5">
        <v>43.4463</v>
      </c>
      <c r="I690" s="5">
        <v>32.0698</v>
      </c>
    </row>
    <row r="691" ht="15.75" customHeight="1">
      <c r="A691" s="4">
        <v>45414.0</v>
      </c>
      <c r="B691" s="5">
        <v>116.24</v>
      </c>
      <c r="C691" s="5">
        <v>75.33</v>
      </c>
      <c r="D691" s="5">
        <v>79.87</v>
      </c>
      <c r="E691" s="5">
        <v>315.27</v>
      </c>
      <c r="F691" s="5">
        <v>22.36</v>
      </c>
      <c r="G691" s="5">
        <v>38.54</v>
      </c>
      <c r="H691" s="5">
        <v>43.6965</v>
      </c>
      <c r="I691" s="5">
        <v>32.2407</v>
      </c>
    </row>
    <row r="692" ht="15.75" customHeight="1">
      <c r="A692" s="4">
        <v>45415.0</v>
      </c>
      <c r="B692" s="5">
        <v>116.0</v>
      </c>
      <c r="C692" s="5">
        <v>75.85</v>
      </c>
      <c r="D692" s="5">
        <v>81.49</v>
      </c>
      <c r="E692" s="5">
        <v>320.5</v>
      </c>
      <c r="F692" s="5">
        <v>23.38</v>
      </c>
      <c r="G692" s="5">
        <v>38.67</v>
      </c>
      <c r="H692" s="5">
        <v>43.7013</v>
      </c>
      <c r="I692" s="5">
        <v>32.4974</v>
      </c>
    </row>
    <row r="693" ht="15.75" customHeight="1">
      <c r="A693" s="4">
        <v>45418.0</v>
      </c>
      <c r="B693" s="5">
        <v>116.75</v>
      </c>
      <c r="C693" s="5">
        <v>75.47</v>
      </c>
      <c r="D693" s="5">
        <v>83.24</v>
      </c>
      <c r="E693" s="5">
        <v>327.24</v>
      </c>
      <c r="F693" s="5">
        <v>23.88</v>
      </c>
      <c r="G693" s="5">
        <v>39.06</v>
      </c>
      <c r="H693" s="5">
        <v>44.0458</v>
      </c>
      <c r="I693" s="5">
        <v>32.6635</v>
      </c>
    </row>
    <row r="694" ht="15.75" customHeight="1">
      <c r="A694" s="4">
        <v>45419.0</v>
      </c>
      <c r="B694" s="5">
        <v>116.17</v>
      </c>
      <c r="C694" s="5">
        <v>76.95</v>
      </c>
      <c r="D694" s="5">
        <v>81.74</v>
      </c>
      <c r="E694" s="5">
        <v>327.43</v>
      </c>
      <c r="F694" s="5">
        <v>24.03</v>
      </c>
      <c r="G694" s="5">
        <v>39.11</v>
      </c>
      <c r="H694" s="5">
        <v>44.0033</v>
      </c>
      <c r="I694" s="5">
        <v>33.0341</v>
      </c>
    </row>
    <row r="695" ht="15.75" customHeight="1">
      <c r="A695" s="4">
        <v>45420.0</v>
      </c>
      <c r="B695" s="5">
        <v>116.15</v>
      </c>
      <c r="C695" s="5">
        <v>77.63</v>
      </c>
      <c r="D695" s="5">
        <v>89.2</v>
      </c>
      <c r="E695" s="5">
        <v>330.4</v>
      </c>
      <c r="F695" s="5">
        <v>24.46</v>
      </c>
      <c r="G695" s="5">
        <v>39.32</v>
      </c>
      <c r="H695" s="5">
        <v>43.9514</v>
      </c>
      <c r="I695" s="5">
        <v>33.381</v>
      </c>
    </row>
    <row r="696" ht="15.75" customHeight="1">
      <c r="A696" s="4">
        <v>45421.0</v>
      </c>
      <c r="B696" s="5">
        <v>118.44</v>
      </c>
      <c r="C696" s="5">
        <v>78.25</v>
      </c>
      <c r="D696" s="5">
        <v>93.17</v>
      </c>
      <c r="E696" s="5">
        <v>333.26</v>
      </c>
      <c r="F696" s="5">
        <v>24.38</v>
      </c>
      <c r="G696" s="5">
        <v>39.58</v>
      </c>
      <c r="H696" s="5">
        <v>44.5415</v>
      </c>
      <c r="I696" s="5">
        <v>33.8891</v>
      </c>
    </row>
    <row r="697" ht="15.75" customHeight="1">
      <c r="A697" s="4">
        <v>45422.0</v>
      </c>
      <c r="B697" s="5">
        <v>117.96</v>
      </c>
      <c r="C697" s="5">
        <v>78.14</v>
      </c>
      <c r="D697" s="5">
        <v>93.42</v>
      </c>
      <c r="E697" s="5">
        <v>330.57</v>
      </c>
      <c r="F697" s="5">
        <v>22.78</v>
      </c>
      <c r="G697" s="5">
        <v>39.64</v>
      </c>
      <c r="H697" s="5">
        <v>44.2962</v>
      </c>
      <c r="I697" s="5">
        <v>33.8559</v>
      </c>
    </row>
    <row r="698" ht="15.75" customHeight="1">
      <c r="A698" s="4">
        <v>45425.0</v>
      </c>
      <c r="B698" s="5">
        <v>117.91</v>
      </c>
      <c r="C698" s="5">
        <v>78.7</v>
      </c>
      <c r="D698" s="5">
        <v>90.17</v>
      </c>
      <c r="E698" s="5">
        <v>328.51</v>
      </c>
      <c r="F698" s="5">
        <v>22.78</v>
      </c>
      <c r="G698" s="5">
        <v>39.66</v>
      </c>
      <c r="H698" s="5">
        <v>44.178</v>
      </c>
      <c r="I698" s="5">
        <v>33.8559</v>
      </c>
    </row>
    <row r="699" ht="15.75" customHeight="1">
      <c r="A699" s="4">
        <v>45426.0</v>
      </c>
      <c r="B699" s="5">
        <v>117.67</v>
      </c>
      <c r="C699" s="5">
        <v>78.71</v>
      </c>
      <c r="D699" s="5">
        <v>91.47</v>
      </c>
      <c r="E699" s="5">
        <v>330.45</v>
      </c>
      <c r="F699" s="5">
        <v>23.02</v>
      </c>
      <c r="G699" s="5">
        <v>40.36</v>
      </c>
      <c r="H699" s="5">
        <v>44.2347</v>
      </c>
      <c r="I699" s="5">
        <v>33.9462</v>
      </c>
    </row>
    <row r="700" ht="15.75" customHeight="1">
      <c r="A700" s="4">
        <v>45427.0</v>
      </c>
      <c r="B700" s="5">
        <v>118.58</v>
      </c>
      <c r="C700" s="5">
        <v>79.29</v>
      </c>
      <c r="D700" s="5">
        <v>96.91</v>
      </c>
      <c r="E700" s="5">
        <v>337.96</v>
      </c>
      <c r="F700" s="5">
        <v>23.91</v>
      </c>
      <c r="G700" s="5">
        <v>40.47</v>
      </c>
      <c r="H700" s="5">
        <v>44.3339</v>
      </c>
      <c r="I700" s="5">
        <v>34.4545</v>
      </c>
    </row>
    <row r="701" ht="15.75" customHeight="1">
      <c r="A701" s="4">
        <v>45428.0</v>
      </c>
      <c r="B701" s="5">
        <v>117.87</v>
      </c>
      <c r="C701" s="5">
        <v>79.38</v>
      </c>
      <c r="D701" s="5">
        <v>93.14</v>
      </c>
      <c r="E701" s="5">
        <v>330.18</v>
      </c>
      <c r="F701" s="5">
        <v>23.64</v>
      </c>
      <c r="G701" s="5">
        <v>40.95</v>
      </c>
      <c r="H701" s="5">
        <v>44.2111</v>
      </c>
      <c r="I701" s="5">
        <v>34.3357</v>
      </c>
    </row>
    <row r="702" ht="15.75" customHeight="1">
      <c r="A702" s="4">
        <v>45429.0</v>
      </c>
      <c r="B702" s="5">
        <v>119.64</v>
      </c>
      <c r="C702" s="5">
        <v>79.54</v>
      </c>
      <c r="D702" s="5">
        <v>94.08</v>
      </c>
      <c r="E702" s="5">
        <v>330.24</v>
      </c>
      <c r="F702" s="5">
        <v>23.44</v>
      </c>
      <c r="G702" s="5">
        <v>41.27</v>
      </c>
      <c r="H702" s="5">
        <v>44.8295</v>
      </c>
      <c r="I702" s="5">
        <v>34.3642</v>
      </c>
    </row>
    <row r="703" ht="15.75" customHeight="1">
      <c r="A703" s="4">
        <v>45432.0</v>
      </c>
      <c r="B703" s="5">
        <v>118.67</v>
      </c>
      <c r="C703" s="5">
        <v>79.19</v>
      </c>
      <c r="D703" s="5">
        <v>91.51</v>
      </c>
      <c r="E703" s="5">
        <v>333.25</v>
      </c>
      <c r="F703" s="5">
        <v>23.77</v>
      </c>
      <c r="G703" s="5">
        <v>41.44</v>
      </c>
      <c r="H703" s="5">
        <v>44.5368</v>
      </c>
      <c r="I703" s="5">
        <v>34.3072</v>
      </c>
    </row>
    <row r="704" ht="15.75" customHeight="1">
      <c r="A704" s="4">
        <v>45433.0</v>
      </c>
      <c r="B704" s="5">
        <v>117.85</v>
      </c>
      <c r="C704" s="5">
        <v>79.78</v>
      </c>
      <c r="D704" s="5">
        <v>94.24</v>
      </c>
      <c r="E704" s="5">
        <v>336.73</v>
      </c>
      <c r="F704" s="5">
        <v>23.53</v>
      </c>
      <c r="G704" s="5">
        <v>41.78</v>
      </c>
      <c r="H704" s="5">
        <v>44.3198</v>
      </c>
      <c r="I704" s="5">
        <v>34.616</v>
      </c>
    </row>
    <row r="705" ht="15.75" customHeight="1">
      <c r="A705" s="4">
        <v>45434.0</v>
      </c>
      <c r="B705" s="5">
        <v>115.48</v>
      </c>
      <c r="C705" s="5">
        <v>78.69</v>
      </c>
      <c r="D705" s="5">
        <v>94.27</v>
      </c>
      <c r="E705" s="5">
        <v>336.18</v>
      </c>
      <c r="F705" s="5">
        <v>21.77</v>
      </c>
      <c r="G705" s="5">
        <v>40.72</v>
      </c>
      <c r="H705" s="5">
        <v>43.4699</v>
      </c>
      <c r="I705" s="5">
        <v>34.2075</v>
      </c>
    </row>
    <row r="706" ht="15.75" customHeight="1">
      <c r="A706" s="4">
        <v>45435.0</v>
      </c>
      <c r="B706" s="5">
        <v>113.51</v>
      </c>
      <c r="C706" s="5">
        <v>77.17</v>
      </c>
      <c r="D706" s="5">
        <v>96.13</v>
      </c>
      <c r="E706" s="5">
        <v>338.42</v>
      </c>
      <c r="F706" s="5">
        <v>21.35</v>
      </c>
      <c r="G706" s="5">
        <v>40.11</v>
      </c>
      <c r="H706" s="5">
        <v>43.0734</v>
      </c>
      <c r="I706" s="5">
        <v>33.6279</v>
      </c>
    </row>
    <row r="707" ht="15.75" customHeight="1">
      <c r="A707" s="4">
        <v>45436.0</v>
      </c>
      <c r="B707" s="5">
        <v>113.42</v>
      </c>
      <c r="C707" s="5">
        <v>77.75</v>
      </c>
      <c r="D707" s="5">
        <v>102.1</v>
      </c>
      <c r="E707" s="5">
        <v>340.89</v>
      </c>
      <c r="F707" s="5">
        <v>21.01</v>
      </c>
      <c r="G707" s="5">
        <v>40.13</v>
      </c>
      <c r="H707" s="5">
        <v>43.1348</v>
      </c>
      <c r="I707" s="5">
        <v>33.9652</v>
      </c>
    </row>
    <row r="708" ht="15.75" customHeight="1">
      <c r="A708" s="4">
        <v>45440.0</v>
      </c>
      <c r="B708" s="5">
        <v>114.86</v>
      </c>
      <c r="C708" s="5">
        <v>77.54</v>
      </c>
      <c r="D708" s="5">
        <v>106.2</v>
      </c>
      <c r="E708" s="5">
        <v>337.36</v>
      </c>
      <c r="F708" s="5">
        <v>22.25</v>
      </c>
      <c r="G708" s="5">
        <v>40.67</v>
      </c>
      <c r="H708" s="5">
        <v>43.5785</v>
      </c>
      <c r="I708" s="5">
        <v>33.9318</v>
      </c>
    </row>
    <row r="709" ht="15.75" customHeight="1">
      <c r="A709" s="4">
        <v>45441.0</v>
      </c>
      <c r="B709" s="5">
        <v>113.63</v>
      </c>
      <c r="C709" s="5">
        <v>77.2</v>
      </c>
      <c r="D709" s="5">
        <v>103.62</v>
      </c>
      <c r="E709" s="5">
        <v>332.89</v>
      </c>
      <c r="F709" s="5">
        <v>22.46</v>
      </c>
      <c r="G709" s="5">
        <v>40.1</v>
      </c>
      <c r="H709" s="5">
        <v>42.8091</v>
      </c>
      <c r="I709" s="5">
        <v>33.4949</v>
      </c>
    </row>
    <row r="710" ht="15.75" customHeight="1">
      <c r="A710" s="4">
        <v>45442.0</v>
      </c>
      <c r="B710" s="5">
        <v>113.99</v>
      </c>
      <c r="C710" s="5">
        <v>78.08</v>
      </c>
      <c r="D710" s="5">
        <v>105.37</v>
      </c>
      <c r="E710" s="5">
        <v>334.2</v>
      </c>
      <c r="F710" s="5">
        <v>23.91</v>
      </c>
      <c r="G710" s="5">
        <v>40.64</v>
      </c>
      <c r="H710" s="5">
        <v>42.9318</v>
      </c>
      <c r="I710" s="5">
        <v>33.9462</v>
      </c>
    </row>
    <row r="711" ht="15.75" customHeight="1">
      <c r="A711" s="4">
        <v>45443.0</v>
      </c>
      <c r="B711" s="5">
        <v>117.26</v>
      </c>
      <c r="C711" s="5">
        <v>80.14</v>
      </c>
      <c r="D711" s="5">
        <v>99.08</v>
      </c>
      <c r="E711" s="5">
        <v>332.85</v>
      </c>
      <c r="F711" s="5">
        <v>23.21</v>
      </c>
      <c r="G711" s="5">
        <v>41.51</v>
      </c>
      <c r="H711" s="5">
        <v>43.9986</v>
      </c>
      <c r="I711" s="5">
        <v>34.5447</v>
      </c>
    </row>
    <row r="712" ht="15.75" customHeight="1">
      <c r="A712" s="4">
        <v>45446.0</v>
      </c>
      <c r="B712" s="5">
        <v>114.45</v>
      </c>
      <c r="C712" s="5">
        <v>80.39</v>
      </c>
      <c r="D712" s="5">
        <v>93.25</v>
      </c>
      <c r="E712" s="5">
        <v>324.46</v>
      </c>
      <c r="F712" s="5">
        <v>22.1</v>
      </c>
      <c r="G712" s="5">
        <v>40.98</v>
      </c>
      <c r="H712" s="5">
        <v>42.8467</v>
      </c>
      <c r="I712" s="5">
        <v>34.1505</v>
      </c>
    </row>
    <row r="713" ht="15.75" customHeight="1">
      <c r="A713" s="4">
        <v>45447.0</v>
      </c>
      <c r="B713" s="5">
        <v>112.67</v>
      </c>
      <c r="C713" s="5">
        <v>80.71</v>
      </c>
      <c r="D713" s="5">
        <v>89.55</v>
      </c>
      <c r="E713" s="5">
        <v>316.17</v>
      </c>
      <c r="F713" s="5">
        <v>20.28</v>
      </c>
      <c r="G713" s="5">
        <v>41.32</v>
      </c>
      <c r="H713" s="5">
        <v>42.436</v>
      </c>
      <c r="I713" s="5">
        <v>34.1363</v>
      </c>
    </row>
    <row r="714" ht="15.75" customHeight="1">
      <c r="A714" s="4">
        <v>45448.0</v>
      </c>
      <c r="B714" s="5">
        <v>113.12</v>
      </c>
      <c r="C714" s="5">
        <v>79.42</v>
      </c>
      <c r="D714" s="5">
        <v>92.0</v>
      </c>
      <c r="E714" s="5">
        <v>326.59</v>
      </c>
      <c r="F714" s="5">
        <v>20.81</v>
      </c>
      <c r="G714" s="5">
        <v>41.58</v>
      </c>
      <c r="H714" s="5">
        <v>42.4313</v>
      </c>
      <c r="I714" s="5">
        <v>33.9413</v>
      </c>
    </row>
    <row r="715" ht="15.75" customHeight="1">
      <c r="A715" s="4">
        <v>45449.0</v>
      </c>
      <c r="B715" s="5">
        <v>113.97</v>
      </c>
      <c r="C715" s="5">
        <v>78.65</v>
      </c>
      <c r="D715" s="5">
        <v>86.26</v>
      </c>
      <c r="E715" s="5">
        <v>313.46</v>
      </c>
      <c r="F715" s="5">
        <v>20.1</v>
      </c>
      <c r="G715" s="5">
        <v>41.42</v>
      </c>
      <c r="H715" s="5">
        <v>42.6532</v>
      </c>
      <c r="I715" s="5">
        <v>33.5899</v>
      </c>
    </row>
    <row r="716" ht="15.75" customHeight="1">
      <c r="A716" s="4">
        <v>45450.0</v>
      </c>
      <c r="B716" s="5">
        <v>112.75</v>
      </c>
      <c r="C716" s="5">
        <v>77.94</v>
      </c>
      <c r="D716" s="5">
        <v>85.07</v>
      </c>
      <c r="E716" s="5">
        <v>314.83</v>
      </c>
      <c r="F716" s="5">
        <v>20.02</v>
      </c>
      <c r="G716" s="5">
        <v>40.7</v>
      </c>
      <c r="H716" s="5">
        <v>42.4832</v>
      </c>
      <c r="I716" s="5">
        <v>33.2241</v>
      </c>
    </row>
    <row r="717" ht="15.75" customHeight="1">
      <c r="A717" s="4">
        <v>45453.0</v>
      </c>
      <c r="B717" s="5">
        <v>113.08</v>
      </c>
      <c r="C717" s="5">
        <v>78.97</v>
      </c>
      <c r="D717" s="5">
        <v>88.22</v>
      </c>
      <c r="E717" s="5">
        <v>322.98</v>
      </c>
      <c r="F717" s="5">
        <v>20.83</v>
      </c>
      <c r="G717" s="5">
        <v>41.46</v>
      </c>
      <c r="H717" s="5">
        <v>42.8043</v>
      </c>
      <c r="I717" s="5">
        <v>33.6517</v>
      </c>
    </row>
    <row r="718" ht="15.75" customHeight="1">
      <c r="A718" s="4">
        <v>45454.0</v>
      </c>
      <c r="B718" s="5">
        <v>112.17</v>
      </c>
      <c r="C718" s="5">
        <v>78.5</v>
      </c>
      <c r="D718" s="5">
        <v>91.22</v>
      </c>
      <c r="E718" s="5">
        <v>319.17</v>
      </c>
      <c r="F718" s="5">
        <v>20.27</v>
      </c>
      <c r="G718" s="5">
        <v>41.37</v>
      </c>
      <c r="H718" s="5">
        <v>42.7192</v>
      </c>
      <c r="I718" s="5">
        <v>33.4475</v>
      </c>
    </row>
    <row r="719" ht="15.75" customHeight="1">
      <c r="A719" s="4">
        <v>45455.0</v>
      </c>
      <c r="B719" s="5">
        <v>110.93</v>
      </c>
      <c r="C719" s="5">
        <v>78.44</v>
      </c>
      <c r="D719" s="5">
        <v>90.56</v>
      </c>
      <c r="E719" s="5">
        <v>327.17</v>
      </c>
      <c r="F719" s="5">
        <v>20.67</v>
      </c>
      <c r="G719" s="5">
        <v>41.55</v>
      </c>
      <c r="H719" s="5">
        <v>42.2613</v>
      </c>
      <c r="I719" s="5">
        <v>33.2288</v>
      </c>
    </row>
    <row r="720" ht="15.75" customHeight="1">
      <c r="A720" s="4">
        <v>45456.0</v>
      </c>
      <c r="B720" s="5">
        <v>110.04</v>
      </c>
      <c r="C720" s="5">
        <v>78.69</v>
      </c>
      <c r="D720" s="5">
        <v>88.4</v>
      </c>
      <c r="E720" s="5">
        <v>328.35</v>
      </c>
      <c r="F720" s="5">
        <v>21.17</v>
      </c>
      <c r="G720" s="5">
        <v>41.52</v>
      </c>
      <c r="H720" s="5">
        <v>41.8742</v>
      </c>
      <c r="I720" s="5">
        <v>33.3049</v>
      </c>
    </row>
    <row r="721" ht="15.75" customHeight="1">
      <c r="A721" s="4">
        <v>45457.0</v>
      </c>
      <c r="B721" s="5">
        <v>109.11</v>
      </c>
      <c r="C721" s="5">
        <v>78.65</v>
      </c>
      <c r="D721" s="5">
        <v>87.59</v>
      </c>
      <c r="E721" s="5">
        <v>319.02</v>
      </c>
      <c r="F721" s="5">
        <v>20.88</v>
      </c>
      <c r="G721" s="5">
        <v>41.17</v>
      </c>
      <c r="H721" s="5">
        <v>41.5627</v>
      </c>
      <c r="I721" s="5">
        <v>33.2241</v>
      </c>
    </row>
    <row r="722" ht="15.75" customHeight="1">
      <c r="A722" s="4">
        <v>45460.0</v>
      </c>
      <c r="B722" s="5">
        <v>108.36</v>
      </c>
      <c r="C722" s="5">
        <v>77.68</v>
      </c>
      <c r="D722" s="5">
        <v>84.04</v>
      </c>
      <c r="E722" s="5">
        <v>325.33</v>
      </c>
      <c r="F722" s="5">
        <v>20.44</v>
      </c>
      <c r="G722" s="5">
        <v>41.26</v>
      </c>
      <c r="H722" s="5">
        <v>41.6714</v>
      </c>
      <c r="I722" s="5">
        <v>32.8584</v>
      </c>
    </row>
    <row r="723" ht="15.75" customHeight="1">
      <c r="A723" s="4">
        <v>45461.0</v>
      </c>
      <c r="B723" s="5">
        <v>109.38</v>
      </c>
      <c r="C723" s="5">
        <v>77.94</v>
      </c>
      <c r="D723" s="5">
        <v>87.58</v>
      </c>
      <c r="E723" s="5">
        <v>327.59</v>
      </c>
      <c r="F723" s="5">
        <v>21.01</v>
      </c>
      <c r="G723" s="5">
        <v>41.81</v>
      </c>
      <c r="H723" s="5">
        <v>41.8461</v>
      </c>
      <c r="I723" s="5">
        <v>32.8726</v>
      </c>
    </row>
    <row r="724" ht="15.75" customHeight="1">
      <c r="A724" s="4">
        <v>45463.0</v>
      </c>
      <c r="B724" s="5">
        <v>111.74</v>
      </c>
      <c r="C724" s="5">
        <v>78.87</v>
      </c>
      <c r="D724" s="5">
        <v>88.19</v>
      </c>
      <c r="E724" s="5">
        <v>323.24</v>
      </c>
      <c r="F724" s="5">
        <v>20.76</v>
      </c>
      <c r="G724" s="5">
        <v>42.4</v>
      </c>
      <c r="H724" s="5">
        <v>42.6154</v>
      </c>
      <c r="I724" s="5">
        <v>33.1576</v>
      </c>
    </row>
    <row r="725" ht="15.75" customHeight="1">
      <c r="A725" s="4">
        <v>45464.0</v>
      </c>
      <c r="B725" s="5">
        <v>110.76</v>
      </c>
      <c r="C725" s="5">
        <v>78.46</v>
      </c>
      <c r="D725" s="5">
        <v>86.86</v>
      </c>
      <c r="E725" s="5">
        <v>320.06</v>
      </c>
      <c r="F725" s="5">
        <v>20.3</v>
      </c>
      <c r="G725" s="5">
        <v>42.06</v>
      </c>
      <c r="H725" s="5">
        <v>42.37</v>
      </c>
      <c r="I725" s="5">
        <v>32.9629</v>
      </c>
    </row>
    <row r="726" ht="15.75" customHeight="1">
      <c r="A726" s="4">
        <v>45467.0</v>
      </c>
      <c r="B726" s="5">
        <v>114.05</v>
      </c>
      <c r="C726" s="5">
        <v>79.34</v>
      </c>
      <c r="D726" s="5">
        <v>88.23</v>
      </c>
      <c r="E726" s="5">
        <v>322.08</v>
      </c>
      <c r="F726" s="5">
        <v>20.77</v>
      </c>
      <c r="G726" s="5">
        <v>43.11</v>
      </c>
      <c r="H726" s="5">
        <v>43.4382</v>
      </c>
      <c r="I726" s="5">
        <v>33.3962</v>
      </c>
    </row>
    <row r="727" ht="15.75" customHeight="1">
      <c r="A727" s="4">
        <v>45468.0</v>
      </c>
      <c r="B727" s="5">
        <v>114.37</v>
      </c>
      <c r="C727" s="5">
        <v>78.02</v>
      </c>
      <c r="D727" s="5">
        <v>89.41</v>
      </c>
      <c r="E727" s="5">
        <v>322.76</v>
      </c>
      <c r="F727" s="5">
        <v>20.82</v>
      </c>
      <c r="G727" s="5">
        <v>42.89</v>
      </c>
      <c r="H727" s="5">
        <v>43.5381</v>
      </c>
      <c r="I727" s="5">
        <v>33.0802</v>
      </c>
    </row>
    <row r="728" ht="15.75" customHeight="1">
      <c r="A728" s="4">
        <v>45469.0</v>
      </c>
      <c r="B728" s="5">
        <v>114.41</v>
      </c>
      <c r="C728" s="5">
        <v>78.21</v>
      </c>
      <c r="D728" s="5">
        <v>85.91</v>
      </c>
      <c r="E728" s="5">
        <v>315.27</v>
      </c>
      <c r="F728" s="5">
        <v>20.28</v>
      </c>
      <c r="G728" s="5">
        <v>42.29</v>
      </c>
      <c r="H728" s="5">
        <v>43.1098</v>
      </c>
      <c r="I728" s="5">
        <v>32.9413</v>
      </c>
    </row>
    <row r="729" ht="15.75" customHeight="1">
      <c r="A729" s="4">
        <v>45470.0</v>
      </c>
      <c r="B729" s="5">
        <v>114.9</v>
      </c>
      <c r="C729" s="5">
        <v>78.04</v>
      </c>
      <c r="D729" s="5">
        <v>87.22</v>
      </c>
      <c r="E729" s="5">
        <v>313.94</v>
      </c>
      <c r="F729" s="5">
        <v>20.72</v>
      </c>
      <c r="G729" s="5">
        <v>42.24</v>
      </c>
      <c r="H729" s="5">
        <v>43.2098</v>
      </c>
      <c r="I729" s="5">
        <v>32.9989</v>
      </c>
    </row>
    <row r="730" ht="15.75" customHeight="1">
      <c r="A730" s="4">
        <v>45471.0</v>
      </c>
      <c r="B730" s="5">
        <v>115.12</v>
      </c>
      <c r="C730" s="5">
        <v>77.57</v>
      </c>
      <c r="D730" s="5">
        <v>85.98</v>
      </c>
      <c r="E730" s="5">
        <v>313.55</v>
      </c>
      <c r="F730" s="5">
        <v>20.12</v>
      </c>
      <c r="G730" s="5">
        <v>42.5</v>
      </c>
      <c r="H730" s="5">
        <v>43.3763</v>
      </c>
      <c r="I730" s="5">
        <v>32.6301</v>
      </c>
    </row>
    <row r="731" ht="15.75" customHeight="1">
      <c r="A731" s="4">
        <v>45474.0</v>
      </c>
      <c r="B731" s="5">
        <v>114.96</v>
      </c>
      <c r="C731" s="5">
        <v>77.0</v>
      </c>
      <c r="D731" s="5">
        <v>87.34</v>
      </c>
      <c r="E731" s="5">
        <v>312.37</v>
      </c>
      <c r="F731" s="5">
        <v>19.34</v>
      </c>
      <c r="G731" s="5">
        <v>42.39</v>
      </c>
      <c r="H731" s="5">
        <v>43.4001</v>
      </c>
      <c r="I731" s="5">
        <v>32.4051</v>
      </c>
    </row>
    <row r="732" ht="15.75" customHeight="1">
      <c r="A732" s="4">
        <v>45475.0</v>
      </c>
      <c r="B732" s="5">
        <v>114.18</v>
      </c>
      <c r="C732" s="5">
        <v>77.55</v>
      </c>
      <c r="D732" s="5">
        <v>87.7</v>
      </c>
      <c r="E732" s="5">
        <v>313.28</v>
      </c>
      <c r="F732" s="5">
        <v>20.01</v>
      </c>
      <c r="G732" s="5">
        <v>42.3</v>
      </c>
      <c r="H732" s="5">
        <v>43.3669</v>
      </c>
      <c r="I732" s="5">
        <v>32.5726</v>
      </c>
    </row>
    <row r="733" ht="15.75" customHeight="1">
      <c r="A733" s="4">
        <v>45476.0</v>
      </c>
      <c r="B733" s="5">
        <v>114.76</v>
      </c>
      <c r="C733" s="5">
        <v>77.72</v>
      </c>
      <c r="D733" s="5">
        <v>91.72</v>
      </c>
      <c r="E733" s="5">
        <v>318.42</v>
      </c>
      <c r="F733" s="5">
        <v>20.15</v>
      </c>
      <c r="G733" s="5">
        <v>42.8</v>
      </c>
      <c r="H733" s="5">
        <v>43.5572</v>
      </c>
      <c r="I733" s="5">
        <v>32.7689</v>
      </c>
    </row>
    <row r="734" ht="15.75" customHeight="1">
      <c r="A734" s="4">
        <v>45478.0</v>
      </c>
      <c r="B734" s="5">
        <v>113.37</v>
      </c>
      <c r="C734" s="5">
        <v>78.04</v>
      </c>
      <c r="D734" s="5">
        <v>89.36</v>
      </c>
      <c r="E734" s="5">
        <v>317.37</v>
      </c>
      <c r="F734" s="5">
        <v>20.08</v>
      </c>
      <c r="G734" s="5">
        <v>42.48</v>
      </c>
      <c r="H734" s="5">
        <v>42.8767</v>
      </c>
      <c r="I734" s="5">
        <v>32.8265</v>
      </c>
    </row>
    <row r="735" ht="15.75" customHeight="1">
      <c r="A735" s="4">
        <v>45481.0</v>
      </c>
      <c r="B735" s="5">
        <v>112.18</v>
      </c>
      <c r="C735" s="5">
        <v>77.8</v>
      </c>
      <c r="D735" s="5">
        <v>92.88</v>
      </c>
      <c r="E735" s="5">
        <v>318.96</v>
      </c>
      <c r="F735" s="5">
        <v>20.55</v>
      </c>
      <c r="G735" s="5">
        <v>42.35</v>
      </c>
      <c r="H735" s="5">
        <v>42.6149</v>
      </c>
      <c r="I735" s="5">
        <v>32.8599</v>
      </c>
    </row>
    <row r="736" ht="15.75" customHeight="1">
      <c r="A736" s="4">
        <v>45482.0</v>
      </c>
      <c r="B736" s="5">
        <v>110.94</v>
      </c>
      <c r="C736" s="5">
        <v>78.12</v>
      </c>
      <c r="D736" s="5">
        <v>91.4</v>
      </c>
      <c r="E736" s="5">
        <v>318.71</v>
      </c>
      <c r="F736" s="5">
        <v>20.73</v>
      </c>
      <c r="G736" s="5">
        <v>42.39</v>
      </c>
      <c r="H736" s="5">
        <v>42.239</v>
      </c>
      <c r="I736" s="5">
        <v>32.9557</v>
      </c>
    </row>
    <row r="737" ht="15.75" customHeight="1">
      <c r="A737" s="4">
        <v>45483.0</v>
      </c>
      <c r="B737" s="5">
        <v>111.92</v>
      </c>
      <c r="C737" s="5">
        <v>78.44</v>
      </c>
      <c r="D737" s="5">
        <v>92.31</v>
      </c>
      <c r="E737" s="5">
        <v>327.07</v>
      </c>
      <c r="F737" s="5">
        <v>21.05</v>
      </c>
      <c r="G737" s="5">
        <v>42.5</v>
      </c>
      <c r="H737" s="5">
        <v>42.5245</v>
      </c>
      <c r="I737" s="5">
        <v>33.267</v>
      </c>
    </row>
    <row r="738" ht="15.75" customHeight="1">
      <c r="A738" s="4">
        <v>45484.0</v>
      </c>
      <c r="B738" s="5">
        <v>113.25</v>
      </c>
      <c r="C738" s="5">
        <v>79.86</v>
      </c>
      <c r="D738" s="5">
        <v>91.61</v>
      </c>
      <c r="E738" s="5">
        <v>328.82</v>
      </c>
      <c r="F738" s="5">
        <v>21.13</v>
      </c>
      <c r="G738" s="5">
        <v>42.67</v>
      </c>
      <c r="H738" s="5">
        <v>42.9671</v>
      </c>
      <c r="I738" s="5">
        <v>33.8751</v>
      </c>
    </row>
    <row r="739" ht="15.75" customHeight="1">
      <c r="A739" s="4">
        <v>45485.0</v>
      </c>
      <c r="B739" s="5">
        <v>113.27</v>
      </c>
      <c r="C739" s="5">
        <v>79.99</v>
      </c>
      <c r="D739" s="5">
        <v>91.33</v>
      </c>
      <c r="E739" s="5">
        <v>330.48</v>
      </c>
      <c r="F739" s="5">
        <v>21.29</v>
      </c>
      <c r="G739" s="5">
        <v>42.98</v>
      </c>
      <c r="H739" s="5">
        <v>43.0766</v>
      </c>
      <c r="I739" s="5">
        <v>34.1241</v>
      </c>
    </row>
    <row r="740" ht="15.75" customHeight="1">
      <c r="A740" s="4">
        <v>45488.0</v>
      </c>
      <c r="B740" s="5">
        <v>115.21</v>
      </c>
      <c r="C740" s="5">
        <v>80.05</v>
      </c>
      <c r="D740" s="5">
        <v>86.19</v>
      </c>
      <c r="E740" s="5">
        <v>327.03</v>
      </c>
      <c r="F740" s="5">
        <v>20.99</v>
      </c>
      <c r="G740" s="5">
        <v>42.56</v>
      </c>
      <c r="H740" s="5">
        <v>43.7284</v>
      </c>
      <c r="I740" s="5">
        <v>33.2958</v>
      </c>
    </row>
    <row r="741" ht="15.75" customHeight="1">
      <c r="A741" s="4">
        <v>45489.0</v>
      </c>
      <c r="B741" s="5">
        <v>116.04</v>
      </c>
      <c r="C741" s="5">
        <v>81.12</v>
      </c>
      <c r="D741" s="5">
        <v>85.87</v>
      </c>
      <c r="E741" s="5">
        <v>332.46</v>
      </c>
      <c r="F741" s="5">
        <v>20.64</v>
      </c>
      <c r="G741" s="5">
        <v>42.35</v>
      </c>
      <c r="H741" s="5">
        <v>43.9237</v>
      </c>
      <c r="I741" s="5">
        <v>33.5543</v>
      </c>
    </row>
    <row r="742" ht="15.75" customHeight="1">
      <c r="A742" s="4">
        <v>45490.0</v>
      </c>
      <c r="B742" s="5">
        <v>117.64</v>
      </c>
      <c r="C742" s="5">
        <v>81.63</v>
      </c>
      <c r="D742" s="5">
        <v>76.2</v>
      </c>
      <c r="E742" s="5">
        <v>311.5</v>
      </c>
      <c r="F742" s="5">
        <v>19.87</v>
      </c>
      <c r="G742" s="5">
        <v>42.65</v>
      </c>
      <c r="H742" s="5">
        <v>44.3614</v>
      </c>
      <c r="I742" s="5">
        <v>33.5735</v>
      </c>
    </row>
    <row r="743" ht="15.75" customHeight="1">
      <c r="A743" s="4">
        <v>45491.0</v>
      </c>
      <c r="B743" s="5">
        <v>118.8</v>
      </c>
      <c r="C743" s="5">
        <v>81.31</v>
      </c>
      <c r="D743" s="5">
        <v>76.55</v>
      </c>
      <c r="E743" s="5">
        <v>309.07</v>
      </c>
      <c r="F743" s="5">
        <v>19.91</v>
      </c>
      <c r="G743" s="5">
        <v>43.28</v>
      </c>
      <c r="H743" s="5">
        <v>44.4423</v>
      </c>
      <c r="I743" s="5">
        <v>33.5447</v>
      </c>
    </row>
    <row r="744" ht="15.75" customHeight="1">
      <c r="A744" s="4">
        <v>45492.0</v>
      </c>
      <c r="B744" s="5">
        <v>116.07</v>
      </c>
      <c r="C744" s="5">
        <v>81.4</v>
      </c>
      <c r="D744" s="5">
        <v>76.47</v>
      </c>
      <c r="E744" s="5">
        <v>311.89</v>
      </c>
      <c r="F744" s="5">
        <v>20.19</v>
      </c>
      <c r="G744" s="5">
        <v>44.0</v>
      </c>
      <c r="H744" s="5">
        <v>43.957</v>
      </c>
      <c r="I744" s="5">
        <v>33.583</v>
      </c>
    </row>
    <row r="745" ht="15.75" customHeight="1">
      <c r="A745" s="4">
        <v>45495.0</v>
      </c>
      <c r="B745" s="5">
        <v>115.27</v>
      </c>
      <c r="C745" s="5">
        <v>81.85</v>
      </c>
      <c r="D745" s="5">
        <v>79.17</v>
      </c>
      <c r="E745" s="5">
        <v>320.32</v>
      </c>
      <c r="F745" s="5">
        <v>20.16</v>
      </c>
      <c r="G745" s="5">
        <v>44.77</v>
      </c>
      <c r="H745" s="5">
        <v>43.6809</v>
      </c>
      <c r="I745" s="5">
        <v>33.8655</v>
      </c>
    </row>
    <row r="746" ht="15.75" customHeight="1">
      <c r="A746" s="4">
        <v>45496.0</v>
      </c>
      <c r="B746" s="5">
        <v>113.41</v>
      </c>
      <c r="C746" s="5">
        <v>81.35</v>
      </c>
      <c r="D746" s="5">
        <v>80.07</v>
      </c>
      <c r="E746" s="5">
        <v>321.94</v>
      </c>
      <c r="F746" s="5">
        <v>20.47</v>
      </c>
      <c r="G746" s="5">
        <v>44.08</v>
      </c>
      <c r="H746" s="5">
        <v>42.9862</v>
      </c>
      <c r="I746" s="5">
        <v>33.6548</v>
      </c>
    </row>
    <row r="747" ht="15.75" customHeight="1">
      <c r="A747" s="4">
        <v>45497.0</v>
      </c>
      <c r="B747" s="5">
        <v>115.01</v>
      </c>
      <c r="C747" s="5">
        <v>82.67</v>
      </c>
      <c r="D747" s="5">
        <v>72.58</v>
      </c>
      <c r="E747" s="5">
        <v>299.6</v>
      </c>
      <c r="F747" s="5">
        <v>19.69</v>
      </c>
      <c r="G747" s="5">
        <v>42.49</v>
      </c>
      <c r="H747" s="5">
        <v>42.9908</v>
      </c>
      <c r="I747" s="5">
        <v>34.0332</v>
      </c>
    </row>
    <row r="748" ht="15.75" customHeight="1">
      <c r="A748" s="4">
        <v>45498.0</v>
      </c>
      <c r="B748" s="5">
        <v>117.43</v>
      </c>
      <c r="C748" s="5">
        <v>81.66</v>
      </c>
      <c r="D748" s="5">
        <v>70.38</v>
      </c>
      <c r="E748" s="5">
        <v>292.88</v>
      </c>
      <c r="F748" s="5">
        <v>19.68</v>
      </c>
      <c r="G748" s="5">
        <v>41.82</v>
      </c>
      <c r="H748" s="5">
        <v>43.7333</v>
      </c>
      <c r="I748" s="5">
        <v>33.7507</v>
      </c>
    </row>
    <row r="749" ht="15.75" customHeight="1">
      <c r="A749" s="4">
        <v>45499.0</v>
      </c>
      <c r="B749" s="5">
        <v>117.33</v>
      </c>
      <c r="C749" s="5">
        <v>82.17</v>
      </c>
      <c r="D749" s="5">
        <v>71.12</v>
      </c>
      <c r="E749" s="5">
        <v>297.79</v>
      </c>
      <c r="F749" s="5">
        <v>19.98</v>
      </c>
      <c r="G749" s="5">
        <v>42.52</v>
      </c>
      <c r="H749" s="5">
        <v>43.8712</v>
      </c>
      <c r="I749" s="5">
        <v>34.0811</v>
      </c>
    </row>
    <row r="750" ht="15.75" customHeight="1">
      <c r="A750" s="4">
        <v>45502.0</v>
      </c>
      <c r="B750" s="5">
        <v>116.1</v>
      </c>
      <c r="C750" s="5">
        <v>83.05</v>
      </c>
      <c r="D750" s="5">
        <v>71.24</v>
      </c>
      <c r="E750" s="5">
        <v>296.61</v>
      </c>
      <c r="F750" s="5">
        <v>19.3</v>
      </c>
      <c r="G750" s="5">
        <v>42.93</v>
      </c>
      <c r="H750" s="5">
        <v>43.4954</v>
      </c>
      <c r="I750" s="5">
        <v>34.2344</v>
      </c>
    </row>
    <row r="751" ht="15.75" customHeight="1">
      <c r="A751" s="4">
        <v>45503.0</v>
      </c>
      <c r="B751" s="5">
        <v>118.17</v>
      </c>
      <c r="C751" s="5">
        <v>83.38</v>
      </c>
      <c r="D751" s="5">
        <v>69.0</v>
      </c>
      <c r="E751" s="5">
        <v>287.24</v>
      </c>
      <c r="F751" s="5">
        <v>18.95</v>
      </c>
      <c r="G751" s="5">
        <v>42.95</v>
      </c>
      <c r="H751" s="5">
        <v>44.1711</v>
      </c>
      <c r="I751" s="5">
        <v>34.4114</v>
      </c>
    </row>
    <row r="752" ht="15.75" customHeight="1">
      <c r="A752" s="4">
        <v>45504.0</v>
      </c>
      <c r="B752" s="5">
        <v>118.59</v>
      </c>
      <c r="C752" s="5">
        <v>83.52</v>
      </c>
      <c r="D752" s="5">
        <v>79.22</v>
      </c>
      <c r="E752" s="5">
        <v>304.79</v>
      </c>
      <c r="F752" s="5">
        <v>19.94</v>
      </c>
      <c r="G752" s="5">
        <v>42.94</v>
      </c>
      <c r="H752" s="5">
        <v>44.3567</v>
      </c>
      <c r="I752" s="5">
        <v>34.8568</v>
      </c>
    </row>
    <row r="753" ht="15.75" customHeight="1">
      <c r="A753" s="4">
        <v>45505.0</v>
      </c>
      <c r="B753" s="5">
        <v>116.95</v>
      </c>
      <c r="C753" s="5">
        <v>87.57</v>
      </c>
      <c r="D753" s="5">
        <v>76.04</v>
      </c>
      <c r="E753" s="5">
        <v>297.88</v>
      </c>
      <c r="F753" s="5">
        <v>19.37</v>
      </c>
      <c r="G753" s="5">
        <v>43.11</v>
      </c>
      <c r="H753" s="5">
        <v>43.1813</v>
      </c>
      <c r="I753" s="5">
        <v>35.4842</v>
      </c>
    </row>
    <row r="754" ht="15.75" customHeight="1">
      <c r="A754" s="4">
        <v>45506.0</v>
      </c>
      <c r="B754" s="5">
        <v>116.88</v>
      </c>
      <c r="C754" s="5">
        <v>88.58</v>
      </c>
      <c r="D754" s="5">
        <v>72.43</v>
      </c>
      <c r="E754" s="5">
        <v>280.26</v>
      </c>
      <c r="F754" s="5">
        <v>18.14</v>
      </c>
      <c r="G754" s="5">
        <v>42.2</v>
      </c>
      <c r="H754" s="5">
        <v>42.0678</v>
      </c>
      <c r="I754" s="5">
        <v>35.5417</v>
      </c>
    </row>
    <row r="755" ht="15.75" customHeight="1">
      <c r="A755" s="4">
        <v>45509.0</v>
      </c>
      <c r="B755" s="5">
        <v>114.77</v>
      </c>
      <c r="C755" s="5">
        <v>86.57</v>
      </c>
      <c r="D755" s="5">
        <v>70.2</v>
      </c>
      <c r="E755" s="5">
        <v>272.52</v>
      </c>
      <c r="F755" s="5">
        <v>18.06</v>
      </c>
      <c r="G755" s="5">
        <v>41.24</v>
      </c>
      <c r="H755" s="5">
        <v>41.1397</v>
      </c>
      <c r="I755" s="5">
        <v>34.603</v>
      </c>
    </row>
    <row r="756" ht="15.75" customHeight="1">
      <c r="A756" s="4">
        <v>45510.0</v>
      </c>
      <c r="B756" s="5">
        <v>114.16</v>
      </c>
      <c r="C756" s="5">
        <v>86.45</v>
      </c>
      <c r="D756" s="5">
        <v>74.39</v>
      </c>
      <c r="E756" s="5">
        <v>277.65</v>
      </c>
      <c r="F756" s="5">
        <v>18.45</v>
      </c>
      <c r="G756" s="5">
        <v>42.83</v>
      </c>
      <c r="H756" s="5">
        <v>41.3919</v>
      </c>
      <c r="I756" s="5">
        <v>34.8952</v>
      </c>
    </row>
    <row r="757" ht="15.75" customHeight="1">
      <c r="A757" s="4">
        <v>45511.0</v>
      </c>
      <c r="B757" s="5">
        <v>115.68</v>
      </c>
      <c r="C757" s="5">
        <v>87.29</v>
      </c>
      <c r="D757" s="5">
        <v>73.95</v>
      </c>
      <c r="E757" s="5">
        <v>277.68</v>
      </c>
      <c r="F757" s="5">
        <v>19.03</v>
      </c>
      <c r="G757" s="5">
        <v>43.0</v>
      </c>
      <c r="H757" s="5">
        <v>41.5585</v>
      </c>
      <c r="I757" s="5">
        <v>35.0914</v>
      </c>
    </row>
    <row r="758" ht="15.75" customHeight="1">
      <c r="A758" s="4">
        <v>45512.0</v>
      </c>
      <c r="B758" s="5">
        <v>117.89</v>
      </c>
      <c r="C758" s="5">
        <v>86.46</v>
      </c>
      <c r="D758" s="5">
        <v>79.08</v>
      </c>
      <c r="E758" s="5">
        <v>287.48</v>
      </c>
      <c r="F758" s="5">
        <v>19.78</v>
      </c>
      <c r="G758" s="5">
        <v>43.86</v>
      </c>
      <c r="H758" s="5">
        <v>42.4531</v>
      </c>
      <c r="I758" s="5">
        <v>35.1298</v>
      </c>
    </row>
    <row r="759" ht="15.75" customHeight="1">
      <c r="A759" s="4">
        <v>45513.0</v>
      </c>
      <c r="B759" s="5">
        <v>118.85</v>
      </c>
      <c r="C759" s="5">
        <v>86.8</v>
      </c>
      <c r="D759" s="5">
        <v>78.64</v>
      </c>
      <c r="E759" s="5">
        <v>291.64</v>
      </c>
      <c r="F759" s="5">
        <v>20.58</v>
      </c>
      <c r="G759" s="5">
        <v>43.26</v>
      </c>
      <c r="H759" s="5">
        <v>42.5484</v>
      </c>
      <c r="I759" s="5">
        <v>35.2495</v>
      </c>
    </row>
    <row r="760" ht="15.75" customHeight="1">
      <c r="A760" s="4">
        <v>45516.0</v>
      </c>
      <c r="B760" s="5">
        <v>119.0</v>
      </c>
      <c r="C760" s="5">
        <v>87.2</v>
      </c>
      <c r="D760" s="5">
        <v>77.96</v>
      </c>
      <c r="E760" s="5">
        <v>288.43</v>
      </c>
      <c r="F760" s="5">
        <v>21.44</v>
      </c>
      <c r="G760" s="5">
        <v>43.31</v>
      </c>
      <c r="H760" s="5">
        <v>42.7577</v>
      </c>
      <c r="I760" s="5">
        <v>35.3117</v>
      </c>
    </row>
    <row r="761" ht="15.75" customHeight="1">
      <c r="A761" s="4">
        <v>45517.0</v>
      </c>
      <c r="B761" s="5">
        <v>117.86</v>
      </c>
      <c r="C761" s="5">
        <v>87.2</v>
      </c>
      <c r="D761" s="5">
        <v>80.45</v>
      </c>
      <c r="E761" s="5">
        <v>295.39</v>
      </c>
      <c r="F761" s="5">
        <v>21.59</v>
      </c>
      <c r="G761" s="5">
        <v>43.12</v>
      </c>
      <c r="H761" s="5">
        <v>42.3436</v>
      </c>
      <c r="I761" s="5">
        <v>35.5176</v>
      </c>
    </row>
    <row r="762" ht="15.75" customHeight="1">
      <c r="A762" s="4">
        <v>45518.0</v>
      </c>
      <c r="B762" s="5">
        <v>118.95</v>
      </c>
      <c r="C762" s="5">
        <v>87.19</v>
      </c>
      <c r="D762" s="5">
        <v>79.25</v>
      </c>
      <c r="E762" s="5">
        <v>298.3</v>
      </c>
      <c r="F762" s="5">
        <v>21.6</v>
      </c>
      <c r="G762" s="5">
        <v>43.39</v>
      </c>
      <c r="H762" s="5">
        <v>42.5911</v>
      </c>
      <c r="I762" s="5">
        <v>35.4937</v>
      </c>
    </row>
    <row r="763" ht="15.75" customHeight="1">
      <c r="A763" s="4">
        <v>45519.0</v>
      </c>
      <c r="B763" s="5">
        <v>118.73</v>
      </c>
      <c r="C763" s="5">
        <v>87.01</v>
      </c>
      <c r="D763" s="5">
        <v>81.45</v>
      </c>
      <c r="E763" s="5">
        <v>302.46</v>
      </c>
      <c r="F763" s="5">
        <v>21.78</v>
      </c>
      <c r="G763" s="5">
        <v>43.88</v>
      </c>
      <c r="H763" s="5">
        <v>43.1004</v>
      </c>
      <c r="I763" s="5">
        <v>35.4889</v>
      </c>
    </row>
    <row r="764" ht="15.75" customHeight="1">
      <c r="A764" s="4">
        <v>45520.0</v>
      </c>
      <c r="B764" s="5">
        <v>118.17</v>
      </c>
      <c r="C764" s="5">
        <v>87.36</v>
      </c>
      <c r="D764" s="5">
        <v>79.35</v>
      </c>
      <c r="E764" s="5">
        <v>296.68</v>
      </c>
      <c r="F764" s="5">
        <v>21.67</v>
      </c>
      <c r="G764" s="5">
        <v>44.13</v>
      </c>
      <c r="H764" s="5">
        <v>43.0528</v>
      </c>
      <c r="I764" s="5">
        <v>35.647</v>
      </c>
    </row>
    <row r="765" ht="15.75" customHeight="1">
      <c r="A765" s="4">
        <v>45523.0</v>
      </c>
      <c r="B765" s="5">
        <v>118.53</v>
      </c>
      <c r="C765" s="5">
        <v>86.94</v>
      </c>
      <c r="D765" s="5">
        <v>80.74</v>
      </c>
      <c r="E765" s="5">
        <v>297.05</v>
      </c>
      <c r="F765" s="5">
        <v>21.79</v>
      </c>
      <c r="G765" s="5">
        <v>45.02</v>
      </c>
      <c r="H765" s="5">
        <v>43.3431</v>
      </c>
      <c r="I765" s="5">
        <v>35.8816</v>
      </c>
    </row>
    <row r="766" ht="15.75" customHeight="1">
      <c r="A766" s="4">
        <v>45524.0</v>
      </c>
      <c r="B766" s="5">
        <v>114.58</v>
      </c>
      <c r="C766" s="5">
        <v>86.8</v>
      </c>
      <c r="D766" s="5">
        <v>79.64</v>
      </c>
      <c r="E766" s="5">
        <v>296.24</v>
      </c>
      <c r="F766" s="5">
        <v>21.64</v>
      </c>
      <c r="G766" s="5">
        <v>44.32</v>
      </c>
      <c r="H766" s="5">
        <v>42.201</v>
      </c>
      <c r="I766" s="5">
        <v>35.805</v>
      </c>
    </row>
    <row r="767" ht="15.75" customHeight="1">
      <c r="A767" s="4">
        <v>45525.0</v>
      </c>
      <c r="B767" s="5">
        <v>113.85</v>
      </c>
      <c r="C767" s="5">
        <v>87.57</v>
      </c>
      <c r="D767" s="5">
        <v>82.28</v>
      </c>
      <c r="E767" s="5">
        <v>299.69</v>
      </c>
      <c r="F767" s="5">
        <v>21.12</v>
      </c>
      <c r="G767" s="5">
        <v>44.5</v>
      </c>
      <c r="H767" s="5">
        <v>42.2722</v>
      </c>
      <c r="I767" s="5">
        <v>36.0589</v>
      </c>
    </row>
    <row r="768" ht="15.75" customHeight="1">
      <c r="A768" s="4">
        <v>45526.0</v>
      </c>
      <c r="B768" s="5">
        <v>114.73</v>
      </c>
      <c r="C768" s="5">
        <v>86.41</v>
      </c>
      <c r="D768" s="5">
        <v>83.3</v>
      </c>
      <c r="E768" s="5">
        <v>297.69</v>
      </c>
      <c r="F768" s="5">
        <v>20.68</v>
      </c>
      <c r="G768" s="5">
        <v>44.67</v>
      </c>
      <c r="H768" s="5">
        <v>42.3818</v>
      </c>
      <c r="I768" s="5">
        <v>36.0157</v>
      </c>
    </row>
    <row r="769" ht="15.75" customHeight="1">
      <c r="A769" s="4">
        <v>45527.0</v>
      </c>
      <c r="B769" s="5">
        <v>116.32</v>
      </c>
      <c r="C769" s="5">
        <v>86.12</v>
      </c>
      <c r="D769" s="5">
        <v>85.77</v>
      </c>
      <c r="E769" s="5">
        <v>300.0</v>
      </c>
      <c r="F769" s="5">
        <v>21.07</v>
      </c>
      <c r="G769" s="5">
        <v>45.29</v>
      </c>
      <c r="H769" s="5">
        <v>43.0147</v>
      </c>
      <c r="I769" s="5">
        <v>36.1162</v>
      </c>
    </row>
    <row r="770" ht="15.75" customHeight="1">
      <c r="A770" s="4">
        <v>45530.0</v>
      </c>
      <c r="B770" s="5">
        <v>118.81</v>
      </c>
      <c r="C770" s="5">
        <v>86.49</v>
      </c>
      <c r="D770" s="5">
        <v>84.88</v>
      </c>
      <c r="E770" s="5">
        <v>296.91</v>
      </c>
      <c r="F770" s="5">
        <v>21.32</v>
      </c>
      <c r="G770" s="5">
        <v>45.49</v>
      </c>
      <c r="H770" s="5">
        <v>43.4001</v>
      </c>
      <c r="I770" s="5">
        <v>36.3509</v>
      </c>
    </row>
    <row r="771" ht="15.75" customHeight="1">
      <c r="A771" s="4">
        <v>45531.0</v>
      </c>
      <c r="B771" s="5">
        <v>117.68</v>
      </c>
      <c r="C771" s="5">
        <v>85.74</v>
      </c>
      <c r="D771" s="5">
        <v>84.59</v>
      </c>
      <c r="E771" s="5">
        <v>296.03</v>
      </c>
      <c r="F771" s="5">
        <v>21.59</v>
      </c>
      <c r="G771" s="5">
        <v>45.38</v>
      </c>
      <c r="H771" s="5">
        <v>42.9957</v>
      </c>
      <c r="I771" s="5">
        <v>36.0635</v>
      </c>
    </row>
    <row r="772" ht="15.75" customHeight="1">
      <c r="A772" s="4">
        <v>45532.0</v>
      </c>
      <c r="B772" s="5">
        <v>116.52</v>
      </c>
      <c r="C772" s="5">
        <v>85.75</v>
      </c>
      <c r="D772" s="5">
        <v>82.5</v>
      </c>
      <c r="E772" s="5">
        <v>293.6</v>
      </c>
      <c r="F772" s="5">
        <v>21.73</v>
      </c>
      <c r="G772" s="5">
        <v>44.93</v>
      </c>
      <c r="H772" s="5">
        <v>42.7196</v>
      </c>
      <c r="I772" s="5">
        <v>36.0635</v>
      </c>
    </row>
    <row r="773" ht="15.75" customHeight="1">
      <c r="A773" s="4">
        <v>45533.0</v>
      </c>
      <c r="B773" s="5">
        <v>118.13</v>
      </c>
      <c r="C773" s="5">
        <v>85.8</v>
      </c>
      <c r="D773" s="5">
        <v>84.67</v>
      </c>
      <c r="E773" s="5">
        <v>301.09</v>
      </c>
      <c r="F773" s="5">
        <v>22.44</v>
      </c>
      <c r="G773" s="5">
        <v>45.49</v>
      </c>
      <c r="H773" s="5">
        <v>43.2765</v>
      </c>
      <c r="I773" s="5">
        <v>36.2599</v>
      </c>
    </row>
    <row r="774" ht="15.75" customHeight="1">
      <c r="A774" s="4">
        <v>45534.0</v>
      </c>
      <c r="B774" s="5">
        <v>117.94</v>
      </c>
      <c r="C774" s="5">
        <v>86.4</v>
      </c>
      <c r="D774" s="5">
        <v>85.43</v>
      </c>
      <c r="E774" s="5">
        <v>306.93</v>
      </c>
      <c r="F774" s="5">
        <v>23.7</v>
      </c>
      <c r="G774" s="5">
        <v>45.77</v>
      </c>
      <c r="H774" s="5">
        <v>43.4382</v>
      </c>
      <c r="I774" s="5">
        <v>36.5328</v>
      </c>
    </row>
    <row r="775" ht="15.75" customHeight="1">
      <c r="A775" s="4">
        <v>45538.0</v>
      </c>
      <c r="B775" s="5">
        <v>115.47</v>
      </c>
      <c r="C775" s="5">
        <v>88.91</v>
      </c>
      <c r="D775" s="5">
        <v>75.74</v>
      </c>
      <c r="E775" s="5">
        <v>289.73</v>
      </c>
      <c r="F775" s="5">
        <v>23.25</v>
      </c>
      <c r="G775" s="5">
        <v>45.55</v>
      </c>
      <c r="H775" s="5">
        <v>42.3581</v>
      </c>
      <c r="I775" s="5">
        <v>36.4802</v>
      </c>
    </row>
    <row r="776" ht="15.75" customHeight="1">
      <c r="A776" s="4">
        <v>45539.0</v>
      </c>
      <c r="B776" s="5">
        <v>114.06</v>
      </c>
      <c r="C776" s="5">
        <v>89.13</v>
      </c>
      <c r="D776" s="5">
        <v>76.68</v>
      </c>
      <c r="E776" s="5">
        <v>288.77</v>
      </c>
      <c r="F776" s="5">
        <v>24.04</v>
      </c>
      <c r="G776" s="5">
        <v>44.45</v>
      </c>
      <c r="H776" s="5">
        <v>41.7726</v>
      </c>
      <c r="I776" s="5">
        <v>36.7914</v>
      </c>
    </row>
    <row r="777" ht="15.75" customHeight="1">
      <c r="A777" s="4">
        <v>45540.0</v>
      </c>
      <c r="B777" s="5">
        <v>113.17</v>
      </c>
      <c r="C777" s="5">
        <v>89.51</v>
      </c>
      <c r="D777" s="5">
        <v>75.83</v>
      </c>
      <c r="E777" s="5">
        <v>285.72</v>
      </c>
      <c r="F777" s="5">
        <v>23.92</v>
      </c>
      <c r="G777" s="5">
        <v>44.83</v>
      </c>
      <c r="H777" s="5">
        <v>41.449</v>
      </c>
      <c r="I777" s="5">
        <v>36.7005</v>
      </c>
    </row>
    <row r="778" ht="15.75" customHeight="1">
      <c r="A778" s="4">
        <v>45541.0</v>
      </c>
      <c r="B778" s="5">
        <v>112.64</v>
      </c>
      <c r="C778" s="5">
        <v>88.41</v>
      </c>
      <c r="D778" s="5">
        <v>73.7</v>
      </c>
      <c r="E778" s="5">
        <v>284.97</v>
      </c>
      <c r="F778" s="5">
        <v>23.35</v>
      </c>
      <c r="G778" s="5">
        <v>44.26</v>
      </c>
      <c r="H778" s="5">
        <v>40.9303</v>
      </c>
      <c r="I778" s="5">
        <v>36.3509</v>
      </c>
    </row>
    <row r="779" ht="15.75" customHeight="1">
      <c r="A779" s="4">
        <v>45544.0</v>
      </c>
      <c r="B779" s="5">
        <v>115.01</v>
      </c>
      <c r="C779" s="5">
        <v>89.32</v>
      </c>
      <c r="D779" s="5">
        <v>74.95</v>
      </c>
      <c r="E779" s="5">
        <v>289.38</v>
      </c>
      <c r="F779" s="5">
        <v>23.27</v>
      </c>
      <c r="G779" s="5">
        <v>44.52</v>
      </c>
      <c r="H779" s="5">
        <v>41.2254</v>
      </c>
      <c r="I779" s="5">
        <v>36.7195</v>
      </c>
    </row>
    <row r="780" ht="15.75" customHeight="1">
      <c r="A780" s="4">
        <v>45545.0</v>
      </c>
      <c r="B780" s="5">
        <v>110.82</v>
      </c>
      <c r="C780" s="5">
        <v>89.64</v>
      </c>
      <c r="D780" s="5">
        <v>76.08</v>
      </c>
      <c r="E780" s="5">
        <v>288.3</v>
      </c>
      <c r="F780" s="5">
        <v>22.72</v>
      </c>
      <c r="G780" s="5">
        <v>44.79</v>
      </c>
      <c r="H780" s="5">
        <v>40.5164</v>
      </c>
      <c r="I780" s="5">
        <v>36.892</v>
      </c>
    </row>
    <row r="781" ht="15.75" customHeight="1">
      <c r="A781" s="4">
        <v>45546.0</v>
      </c>
      <c r="B781" s="5">
        <v>109.72</v>
      </c>
      <c r="C781" s="5">
        <v>88.77</v>
      </c>
      <c r="D781" s="5">
        <v>80.06</v>
      </c>
      <c r="E781" s="5">
        <v>297.14</v>
      </c>
      <c r="F781" s="5">
        <v>22.82</v>
      </c>
      <c r="G781" s="5">
        <v>44.58</v>
      </c>
      <c r="H781" s="5">
        <v>40.1404</v>
      </c>
      <c r="I781" s="5">
        <v>37.007</v>
      </c>
    </row>
    <row r="782" ht="15.75" customHeight="1">
      <c r="A782" s="4">
        <v>45547.0</v>
      </c>
      <c r="B782" s="5">
        <v>111.23</v>
      </c>
      <c r="C782" s="5">
        <v>88.49</v>
      </c>
      <c r="D782" s="5">
        <v>80.47</v>
      </c>
      <c r="E782" s="5">
        <v>303.38</v>
      </c>
      <c r="F782" s="5">
        <v>23.11</v>
      </c>
      <c r="G782" s="5">
        <v>45.09</v>
      </c>
      <c r="H782" s="5">
        <v>40.5021</v>
      </c>
      <c r="I782" s="5">
        <v>37.0884</v>
      </c>
    </row>
    <row r="783" ht="15.75" customHeight="1">
      <c r="A783" s="4">
        <v>45548.0</v>
      </c>
      <c r="B783" s="5">
        <v>111.15</v>
      </c>
      <c r="C783" s="5">
        <v>89.44</v>
      </c>
      <c r="D783" s="5">
        <v>85.55</v>
      </c>
      <c r="E783" s="5">
        <v>305.8</v>
      </c>
      <c r="F783" s="5">
        <v>23.31</v>
      </c>
      <c r="G783" s="5">
        <v>45.03</v>
      </c>
      <c r="H783" s="5">
        <v>40.7305</v>
      </c>
      <c r="I783" s="5">
        <v>37.6102</v>
      </c>
    </row>
    <row r="784" ht="15.75" customHeight="1">
      <c r="A784" s="4">
        <v>45551.0</v>
      </c>
      <c r="B784" s="5">
        <v>112.71</v>
      </c>
      <c r="C784" s="5">
        <v>89.89</v>
      </c>
      <c r="D784" s="5">
        <v>89.4</v>
      </c>
      <c r="E784" s="5">
        <v>306.55</v>
      </c>
      <c r="F784" s="5">
        <v>23.87</v>
      </c>
      <c r="G784" s="5">
        <v>45.44</v>
      </c>
      <c r="H784" s="5">
        <v>41.1968</v>
      </c>
      <c r="I784" s="5">
        <v>37.8975</v>
      </c>
    </row>
    <row r="785" ht="15.75" customHeight="1">
      <c r="A785" s="4">
        <v>45552.0</v>
      </c>
      <c r="B785" s="5">
        <v>114.18</v>
      </c>
      <c r="C785" s="5">
        <v>89.65</v>
      </c>
      <c r="D785" s="5">
        <v>91.15</v>
      </c>
      <c r="E785" s="5">
        <v>311.73</v>
      </c>
      <c r="F785" s="5">
        <v>23.65</v>
      </c>
      <c r="G785" s="5">
        <v>45.53</v>
      </c>
      <c r="H785" s="5">
        <v>41.7537</v>
      </c>
      <c r="I785" s="5">
        <v>37.8688</v>
      </c>
    </row>
    <row r="786" ht="15.75" customHeight="1">
      <c r="A786" s="4">
        <v>45553.0</v>
      </c>
      <c r="B786" s="5">
        <v>114.58</v>
      </c>
      <c r="C786" s="5">
        <v>89.01</v>
      </c>
      <c r="D786" s="5">
        <v>91.19</v>
      </c>
      <c r="E786" s="5">
        <v>314.65</v>
      </c>
      <c r="F786" s="5">
        <v>23.56</v>
      </c>
      <c r="G786" s="5">
        <v>45.18</v>
      </c>
      <c r="H786" s="5">
        <v>41.8346</v>
      </c>
      <c r="I786" s="5">
        <v>37.5816</v>
      </c>
    </row>
    <row r="787" ht="15.75" customHeight="1">
      <c r="A787" s="4">
        <v>45554.0</v>
      </c>
      <c r="B787" s="5">
        <v>116.0</v>
      </c>
      <c r="C787" s="5">
        <v>88.86</v>
      </c>
      <c r="D787" s="5">
        <v>92.74</v>
      </c>
      <c r="E787" s="5">
        <v>328.92</v>
      </c>
      <c r="F787" s="5">
        <v>24.26</v>
      </c>
      <c r="G787" s="5">
        <v>44.89</v>
      </c>
      <c r="H787" s="5">
        <v>42.3343</v>
      </c>
      <c r="I787" s="5">
        <v>37.3613</v>
      </c>
    </row>
    <row r="788" ht="15.75" customHeight="1">
      <c r="A788" s="4">
        <v>45555.0</v>
      </c>
      <c r="B788" s="5">
        <v>115.27</v>
      </c>
      <c r="C788" s="5">
        <v>89.7</v>
      </c>
      <c r="D788" s="5">
        <v>107.88</v>
      </c>
      <c r="E788" s="5">
        <v>330.6</v>
      </c>
      <c r="F788" s="5">
        <v>23.65</v>
      </c>
      <c r="G788" s="5">
        <v>45.38</v>
      </c>
      <c r="H788" s="5">
        <v>42.239</v>
      </c>
      <c r="I788" s="5">
        <v>38.3477</v>
      </c>
    </row>
    <row r="789" ht="15.75" customHeight="1">
      <c r="A789" s="4">
        <v>45558.0</v>
      </c>
      <c r="B789" s="5">
        <v>117.36</v>
      </c>
      <c r="C789" s="5">
        <v>90.52</v>
      </c>
      <c r="D789" s="5">
        <v>111.63</v>
      </c>
      <c r="E789" s="5">
        <v>329.79</v>
      </c>
      <c r="F789" s="5">
        <v>22.88</v>
      </c>
      <c r="G789" s="5">
        <v>46.22</v>
      </c>
      <c r="H789" s="5">
        <v>42.7608</v>
      </c>
      <c r="I789" s="5">
        <v>38.7285</v>
      </c>
    </row>
    <row r="790" ht="15.75" customHeight="1">
      <c r="A790" s="4">
        <v>45559.0</v>
      </c>
      <c r="B790" s="5">
        <v>117.05</v>
      </c>
      <c r="C790" s="5">
        <v>89.73</v>
      </c>
      <c r="D790" s="5">
        <v>112.4</v>
      </c>
      <c r="E790" s="5">
        <v>327.39</v>
      </c>
      <c r="F790" s="5">
        <v>22.75</v>
      </c>
      <c r="G790" s="5">
        <v>46.03</v>
      </c>
      <c r="H790" s="5">
        <v>42.6552</v>
      </c>
      <c r="I790" s="5">
        <v>38.4535</v>
      </c>
    </row>
    <row r="791" ht="15.75" customHeight="1">
      <c r="A791" s="4">
        <v>45560.0</v>
      </c>
      <c r="B791" s="5">
        <v>114.77</v>
      </c>
      <c r="C791" s="5">
        <v>89.35</v>
      </c>
      <c r="D791" s="5">
        <v>119.08</v>
      </c>
      <c r="E791" s="5">
        <v>328.55</v>
      </c>
      <c r="F791" s="5">
        <v>22.35</v>
      </c>
      <c r="G791" s="5">
        <v>45.5</v>
      </c>
      <c r="H791" s="5">
        <v>41.8204</v>
      </c>
      <c r="I791" s="5">
        <v>38.6561</v>
      </c>
    </row>
    <row r="792" ht="15.75" customHeight="1">
      <c r="A792" s="4">
        <v>45561.0</v>
      </c>
      <c r="B792" s="5">
        <v>112.8</v>
      </c>
      <c r="C792" s="5">
        <v>88.95</v>
      </c>
      <c r="D792" s="5">
        <v>114.16</v>
      </c>
      <c r="E792" s="5">
        <v>333.02</v>
      </c>
      <c r="F792" s="5">
        <v>22.06</v>
      </c>
      <c r="G792" s="5">
        <v>44.74</v>
      </c>
      <c r="H792" s="5">
        <v>40.9999</v>
      </c>
      <c r="I792" s="5">
        <v>38.391</v>
      </c>
    </row>
    <row r="793" ht="15.75" customHeight="1">
      <c r="A793" s="4">
        <v>45562.0</v>
      </c>
      <c r="B793" s="5">
        <v>115.82</v>
      </c>
      <c r="C793" s="5">
        <v>90.1</v>
      </c>
      <c r="D793" s="5">
        <v>117.72</v>
      </c>
      <c r="E793" s="5">
        <v>328.45</v>
      </c>
      <c r="F793" s="5">
        <v>21.68</v>
      </c>
      <c r="G793" s="5">
        <v>45.16</v>
      </c>
      <c r="H793" s="5">
        <v>41.8348</v>
      </c>
      <c r="I793" s="5">
        <v>38.7717</v>
      </c>
    </row>
    <row r="794" ht="15.75" customHeight="1">
      <c r="A794" s="4">
        <v>45565.0</v>
      </c>
      <c r="B794" s="5">
        <v>117.22</v>
      </c>
      <c r="C794" s="5">
        <v>90.18</v>
      </c>
      <c r="D794" s="5">
        <v>118.54</v>
      </c>
      <c r="E794" s="5">
        <v>331.44</v>
      </c>
      <c r="F794" s="5">
        <v>21.21</v>
      </c>
      <c r="G794" s="5">
        <v>45.65</v>
      </c>
      <c r="H794" s="5">
        <v>42.1275</v>
      </c>
      <c r="I794" s="5">
        <v>38.9453</v>
      </c>
    </row>
    <row r="795" ht="15.75" customHeight="1">
      <c r="A795" s="4">
        <v>45566.0</v>
      </c>
      <c r="B795" s="5">
        <v>119.93</v>
      </c>
      <c r="C795" s="5">
        <v>90.88</v>
      </c>
      <c r="D795" s="5">
        <v>122.55</v>
      </c>
      <c r="E795" s="5">
        <v>327.58</v>
      </c>
      <c r="F795" s="5">
        <v>21.67</v>
      </c>
      <c r="G795" s="5">
        <v>46.36</v>
      </c>
      <c r="H795" s="5">
        <v>43.0871</v>
      </c>
      <c r="I795" s="5">
        <v>39.2587</v>
      </c>
    </row>
    <row r="796" ht="15.75" customHeight="1">
      <c r="A796" s="4">
        <v>45567.0</v>
      </c>
      <c r="B796" s="5">
        <v>121.52</v>
      </c>
      <c r="C796" s="5">
        <v>91.59</v>
      </c>
      <c r="D796" s="5">
        <v>125.37</v>
      </c>
      <c r="E796" s="5">
        <v>327.99</v>
      </c>
      <c r="F796" s="5">
        <v>21.69</v>
      </c>
      <c r="G796" s="5">
        <v>47.64</v>
      </c>
      <c r="H796" s="5">
        <v>43.5285</v>
      </c>
      <c r="I796" s="5">
        <v>39.278</v>
      </c>
    </row>
    <row r="797" ht="15.75" customHeight="1">
      <c r="A797" s="4">
        <v>45568.0</v>
      </c>
      <c r="B797" s="5">
        <v>122.58</v>
      </c>
      <c r="C797" s="5">
        <v>90.7</v>
      </c>
      <c r="D797" s="5">
        <v>132.45</v>
      </c>
      <c r="E797" s="5">
        <v>326.96</v>
      </c>
      <c r="F797" s="5">
        <v>22.36</v>
      </c>
      <c r="G797" s="5">
        <v>48.21</v>
      </c>
      <c r="H797" s="5">
        <v>44.2962</v>
      </c>
      <c r="I797" s="5">
        <v>39.2635</v>
      </c>
    </row>
    <row r="798" ht="15.75" customHeight="1">
      <c r="A798" s="4">
        <v>45569.0</v>
      </c>
      <c r="B798" s="5">
        <v>124.83</v>
      </c>
      <c r="C798" s="5">
        <v>90.31</v>
      </c>
      <c r="D798" s="5">
        <v>138.41</v>
      </c>
      <c r="E798" s="5">
        <v>333.05</v>
      </c>
      <c r="F798" s="5">
        <v>22.24</v>
      </c>
      <c r="G798" s="5">
        <v>49.63</v>
      </c>
      <c r="H798" s="5">
        <v>44.7089</v>
      </c>
      <c r="I798" s="5">
        <v>39.2009</v>
      </c>
    </row>
    <row r="799" ht="15.75" customHeight="1">
      <c r="A799" s="4">
        <v>45572.0</v>
      </c>
      <c r="B799" s="5">
        <v>125.37</v>
      </c>
      <c r="C799" s="5">
        <v>88.89</v>
      </c>
      <c r="D799" s="5">
        <v>131.27</v>
      </c>
      <c r="E799" s="5">
        <v>334.63</v>
      </c>
      <c r="F799" s="5">
        <v>21.98</v>
      </c>
      <c r="G799" s="5">
        <v>49.68</v>
      </c>
      <c r="H799" s="5">
        <v>44.8671</v>
      </c>
      <c r="I799" s="5">
        <v>38.2993</v>
      </c>
    </row>
    <row r="800" ht="15.75" customHeight="1">
      <c r="A800" s="4">
        <v>45573.0</v>
      </c>
      <c r="B800" s="5">
        <v>122.04</v>
      </c>
      <c r="C800" s="5">
        <v>89.29</v>
      </c>
      <c r="D800" s="5">
        <v>127.96</v>
      </c>
      <c r="E800" s="5">
        <v>335.58</v>
      </c>
      <c r="F800" s="5">
        <v>22.1</v>
      </c>
      <c r="G800" s="5">
        <v>48.94</v>
      </c>
      <c r="H800" s="5">
        <v>43.6965</v>
      </c>
      <c r="I800" s="5">
        <v>38.3185</v>
      </c>
    </row>
    <row r="801" ht="15.75" customHeight="1">
      <c r="A801" s="4">
        <v>45574.0</v>
      </c>
      <c r="B801" s="5">
        <v>122.09</v>
      </c>
      <c r="C801" s="5">
        <v>88.93</v>
      </c>
      <c r="D801" s="5">
        <v>124.18</v>
      </c>
      <c r="E801" s="5">
        <v>338.25</v>
      </c>
      <c r="F801" s="5">
        <v>23.59</v>
      </c>
      <c r="G801" s="5">
        <v>49.58</v>
      </c>
      <c r="H801" s="5">
        <v>43.9603</v>
      </c>
      <c r="I801" s="5">
        <v>37.9908</v>
      </c>
    </row>
    <row r="802" ht="15.75" customHeight="1">
      <c r="A802" s="4">
        <v>45575.0</v>
      </c>
      <c r="B802" s="5">
        <v>123.14</v>
      </c>
      <c r="C802" s="5">
        <v>88.26</v>
      </c>
      <c r="D802" s="5">
        <v>124.11</v>
      </c>
      <c r="E802" s="5">
        <v>336.94</v>
      </c>
      <c r="F802" s="5">
        <v>24.25</v>
      </c>
      <c r="G802" s="5">
        <v>49.47</v>
      </c>
      <c r="H802" s="5">
        <v>44.2578</v>
      </c>
      <c r="I802" s="5">
        <v>37.8751</v>
      </c>
    </row>
    <row r="803" ht="15.75" customHeight="1">
      <c r="A803" s="4">
        <v>45576.0</v>
      </c>
      <c r="B803" s="5">
        <v>123.61</v>
      </c>
      <c r="C803" s="5">
        <v>88.96</v>
      </c>
      <c r="D803" s="5">
        <v>125.29</v>
      </c>
      <c r="E803" s="5">
        <v>341.39</v>
      </c>
      <c r="F803" s="5">
        <v>24.88</v>
      </c>
      <c r="G803" s="5">
        <v>50.48</v>
      </c>
      <c r="H803" s="5">
        <v>44.5314</v>
      </c>
      <c r="I803" s="5">
        <v>38.2077</v>
      </c>
    </row>
    <row r="804" ht="15.75" customHeight="1">
      <c r="A804" s="4">
        <v>45579.0</v>
      </c>
      <c r="B804" s="5">
        <v>124.08</v>
      </c>
      <c r="C804" s="5">
        <v>89.84</v>
      </c>
      <c r="D804" s="5">
        <v>132.26</v>
      </c>
      <c r="E804" s="5">
        <v>345.61</v>
      </c>
      <c r="F804" s="5">
        <v>25.25</v>
      </c>
      <c r="G804" s="5">
        <v>51.02</v>
      </c>
      <c r="H804" s="5">
        <v>44.5121</v>
      </c>
      <c r="I804" s="5">
        <v>38.6898</v>
      </c>
    </row>
    <row r="805" ht="15.75" customHeight="1">
      <c r="A805" s="4">
        <v>45580.0</v>
      </c>
      <c r="B805" s="5">
        <v>120.35</v>
      </c>
      <c r="C805" s="5">
        <v>90.71</v>
      </c>
      <c r="D805" s="5">
        <v>128.29</v>
      </c>
      <c r="E805" s="5">
        <v>338.04</v>
      </c>
      <c r="F805" s="5">
        <v>25.74</v>
      </c>
      <c r="G805" s="5">
        <v>50.9</v>
      </c>
      <c r="H805" s="5">
        <v>43.0776</v>
      </c>
      <c r="I805" s="5">
        <v>38.8633</v>
      </c>
    </row>
    <row r="806" ht="15.75" customHeight="1">
      <c r="A806" s="4">
        <v>45581.0</v>
      </c>
      <c r="B806" s="5">
        <v>120.66</v>
      </c>
      <c r="C806" s="5">
        <v>92.29</v>
      </c>
      <c r="D806" s="5">
        <v>135.69</v>
      </c>
      <c r="E806" s="5">
        <v>341.1</v>
      </c>
      <c r="F806" s="5">
        <v>24.88</v>
      </c>
      <c r="G806" s="5">
        <v>51.37</v>
      </c>
      <c r="H806" s="5">
        <v>43.2838</v>
      </c>
      <c r="I806" s="5">
        <v>39.6348</v>
      </c>
    </row>
    <row r="807" ht="15.75" customHeight="1">
      <c r="A807" s="4">
        <v>45582.0</v>
      </c>
      <c r="B807" s="5">
        <v>120.35</v>
      </c>
      <c r="C807" s="5">
        <v>92.7</v>
      </c>
      <c r="D807" s="5">
        <v>127.27</v>
      </c>
      <c r="E807" s="5">
        <v>348.49</v>
      </c>
      <c r="F807" s="5">
        <v>25.02</v>
      </c>
      <c r="G807" s="5">
        <v>51.54</v>
      </c>
      <c r="H807" s="5">
        <v>43.4901</v>
      </c>
      <c r="I807" s="5">
        <v>39.2828</v>
      </c>
    </row>
    <row r="808" ht="15.75" customHeight="1">
      <c r="A808" s="4">
        <v>45583.0</v>
      </c>
      <c r="B808" s="5">
        <v>120.01</v>
      </c>
      <c r="C808" s="5">
        <v>93.24</v>
      </c>
      <c r="D808" s="5">
        <v>131.16</v>
      </c>
      <c r="E808" s="5">
        <v>348.18</v>
      </c>
      <c r="F808" s="5">
        <v>25.0</v>
      </c>
      <c r="G808" s="5">
        <v>52.36</v>
      </c>
      <c r="H808" s="5">
        <v>43.3462</v>
      </c>
      <c r="I808" s="5">
        <v>39.5094</v>
      </c>
    </row>
    <row r="809" ht="15.75" customHeight="1">
      <c r="A809" s="4">
        <v>45586.0</v>
      </c>
      <c r="B809" s="5">
        <v>120.08</v>
      </c>
      <c r="C809" s="5">
        <v>92.73</v>
      </c>
      <c r="D809" s="5">
        <v>130.38</v>
      </c>
      <c r="E809" s="5">
        <v>347.07</v>
      </c>
      <c r="F809" s="5">
        <v>24.87</v>
      </c>
      <c r="G809" s="5">
        <v>52.0</v>
      </c>
      <c r="H809" s="5">
        <v>43.2166</v>
      </c>
      <c r="I809" s="5">
        <v>39.3552</v>
      </c>
    </row>
    <row r="810" ht="15.75" customHeight="1">
      <c r="A810" s="4">
        <v>45587.0</v>
      </c>
      <c r="B810" s="5">
        <v>120.7</v>
      </c>
      <c r="C810" s="5">
        <v>93.08</v>
      </c>
      <c r="D810" s="5">
        <v>125.04</v>
      </c>
      <c r="E810" s="5">
        <v>343.55</v>
      </c>
      <c r="F810" s="5">
        <v>24.82</v>
      </c>
      <c r="G810" s="5">
        <v>52.3</v>
      </c>
      <c r="H810" s="5">
        <v>43.3173</v>
      </c>
      <c r="I810" s="5">
        <v>39.2154</v>
      </c>
    </row>
    <row r="811" ht="15.75" customHeight="1">
      <c r="A811" s="4">
        <v>45588.0</v>
      </c>
      <c r="B811" s="5">
        <v>120.27</v>
      </c>
      <c r="C811" s="5">
        <v>94.15</v>
      </c>
      <c r="D811" s="5">
        <v>126.11</v>
      </c>
      <c r="E811" s="5">
        <v>344.96</v>
      </c>
      <c r="F811" s="5">
        <v>24.3</v>
      </c>
      <c r="G811" s="5">
        <v>52.25</v>
      </c>
      <c r="H811" s="5">
        <v>43.0919</v>
      </c>
      <c r="I811" s="5">
        <v>39.5914</v>
      </c>
    </row>
    <row r="812" ht="15.75" customHeight="1">
      <c r="A812" s="4">
        <v>45589.0</v>
      </c>
      <c r="B812" s="5">
        <v>119.59</v>
      </c>
      <c r="C812" s="5">
        <v>93.61</v>
      </c>
      <c r="D812" s="5">
        <v>125.58</v>
      </c>
      <c r="E812" s="5">
        <v>345.29</v>
      </c>
      <c r="F812" s="5">
        <v>25.11</v>
      </c>
      <c r="G812" s="5">
        <v>52.62</v>
      </c>
      <c r="H812" s="5">
        <v>43.0871</v>
      </c>
      <c r="I812" s="5">
        <v>39.3359</v>
      </c>
    </row>
    <row r="813" ht="15.75" customHeight="1">
      <c r="A813" s="4">
        <v>45590.0</v>
      </c>
      <c r="B813" s="5">
        <v>119.49</v>
      </c>
      <c r="C813" s="5">
        <v>91.88</v>
      </c>
      <c r="D813" s="5">
        <v>124.03</v>
      </c>
      <c r="E813" s="5">
        <v>344.49</v>
      </c>
      <c r="F813" s="5">
        <v>25.65</v>
      </c>
      <c r="G813" s="5">
        <v>52.5</v>
      </c>
      <c r="H813" s="5">
        <v>43.0727</v>
      </c>
      <c r="I813" s="5">
        <v>38.7525</v>
      </c>
    </row>
    <row r="814" ht="15.75" customHeight="1">
      <c r="A814" s="4">
        <v>45593.0</v>
      </c>
      <c r="B814" s="5">
        <v>118.9</v>
      </c>
      <c r="C814" s="5">
        <v>91.79</v>
      </c>
      <c r="D814" s="5">
        <v>127.78</v>
      </c>
      <c r="E814" s="5">
        <v>345.51</v>
      </c>
      <c r="F814" s="5">
        <v>25.51</v>
      </c>
      <c r="G814" s="5">
        <v>52.29</v>
      </c>
      <c r="H814" s="5">
        <v>42.7992</v>
      </c>
      <c r="I814" s="5">
        <v>39.0562</v>
      </c>
    </row>
    <row r="815" ht="15.75" customHeight="1">
      <c r="A815" s="4">
        <v>45594.0</v>
      </c>
      <c r="B815" s="5">
        <v>117.28</v>
      </c>
      <c r="C815" s="5">
        <v>89.82</v>
      </c>
      <c r="D815" s="5">
        <v>126.66</v>
      </c>
      <c r="E815" s="5">
        <v>345.55</v>
      </c>
      <c r="F815" s="5">
        <v>24.84</v>
      </c>
      <c r="G815" s="5">
        <v>51.84</v>
      </c>
      <c r="H815" s="5">
        <v>42.1467</v>
      </c>
      <c r="I815" s="5">
        <v>38.2222</v>
      </c>
    </row>
    <row r="816" ht="15.75" customHeight="1">
      <c r="A816" s="4">
        <v>45595.0</v>
      </c>
      <c r="B816" s="5">
        <v>116.69</v>
      </c>
      <c r="C816" s="5">
        <v>89.36</v>
      </c>
      <c r="D816" s="5">
        <v>124.11</v>
      </c>
      <c r="E816" s="5">
        <v>342.81</v>
      </c>
      <c r="F816" s="5">
        <v>24.55</v>
      </c>
      <c r="G816" s="5">
        <v>52.49</v>
      </c>
      <c r="H816" s="5">
        <v>42.2426</v>
      </c>
      <c r="I816" s="5">
        <v>38.1306</v>
      </c>
    </row>
    <row r="817" ht="15.75" customHeight="1">
      <c r="A817" s="4">
        <v>45596.0</v>
      </c>
      <c r="B817" s="5">
        <v>116.78</v>
      </c>
      <c r="C817" s="5">
        <v>91.03</v>
      </c>
      <c r="D817" s="5">
        <v>124.96</v>
      </c>
      <c r="E817" s="5">
        <v>331.58</v>
      </c>
      <c r="F817" s="5">
        <v>24.51</v>
      </c>
      <c r="G817" s="5">
        <v>52.37</v>
      </c>
      <c r="H817" s="5">
        <v>42.5064</v>
      </c>
      <c r="I817" s="5">
        <v>38.5259</v>
      </c>
    </row>
    <row r="818" ht="15.75" customHeight="1">
      <c r="A818" s="4">
        <v>45597.0</v>
      </c>
      <c r="B818" s="5">
        <v>114.95</v>
      </c>
      <c r="C818" s="5">
        <v>88.54</v>
      </c>
      <c r="D818" s="5">
        <v>119.51</v>
      </c>
      <c r="E818" s="5">
        <v>335.0</v>
      </c>
      <c r="F818" s="5">
        <v>25.37</v>
      </c>
      <c r="G818" s="5">
        <v>51.56</v>
      </c>
      <c r="H818" s="5">
        <v>42.2187</v>
      </c>
      <c r="I818" s="5">
        <v>37.6678</v>
      </c>
    </row>
    <row r="819" ht="15.75" customHeight="1">
      <c r="A819" s="4">
        <v>45600.0</v>
      </c>
      <c r="B819" s="5">
        <v>118.61</v>
      </c>
      <c r="C819" s="5">
        <v>88.12</v>
      </c>
      <c r="D819" s="5">
        <v>115.74</v>
      </c>
      <c r="E819" s="5">
        <v>331.13</v>
      </c>
      <c r="F819" s="5">
        <v>26.59</v>
      </c>
      <c r="G819" s="5">
        <v>52.14</v>
      </c>
      <c r="H819" s="5">
        <v>42.9766</v>
      </c>
      <c r="I819" s="5">
        <v>37.2194</v>
      </c>
    </row>
    <row r="820" ht="15.75" customHeight="1">
      <c r="A820" s="4">
        <v>45601.0</v>
      </c>
      <c r="B820" s="5">
        <v>118.96</v>
      </c>
      <c r="C820" s="5">
        <v>88.7</v>
      </c>
      <c r="D820" s="5">
        <v>121.9</v>
      </c>
      <c r="E820" s="5">
        <v>337.48</v>
      </c>
      <c r="F820" s="5">
        <v>27.49</v>
      </c>
      <c r="G820" s="5">
        <v>53.05</v>
      </c>
      <c r="H820" s="5">
        <v>43.2647</v>
      </c>
      <c r="I820" s="5">
        <v>37.7787</v>
      </c>
    </row>
    <row r="821" ht="15.75" customHeight="1">
      <c r="A821" s="4">
        <v>45602.0</v>
      </c>
      <c r="B821" s="5">
        <v>121.0</v>
      </c>
      <c r="C821" s="5">
        <v>87.42</v>
      </c>
      <c r="D821" s="5">
        <v>126.09</v>
      </c>
      <c r="E821" s="5">
        <v>359.18</v>
      </c>
      <c r="F821" s="5">
        <v>28.25</v>
      </c>
      <c r="G821" s="5">
        <v>55.33</v>
      </c>
      <c r="H821" s="5">
        <v>44.8912</v>
      </c>
      <c r="I821" s="5">
        <v>37.388</v>
      </c>
    </row>
    <row r="822" ht="15.75" customHeight="1">
      <c r="A822" s="4">
        <v>45603.0</v>
      </c>
      <c r="B822" s="5">
        <v>121.15</v>
      </c>
      <c r="C822" s="5">
        <v>86.93</v>
      </c>
      <c r="D822" s="5">
        <v>135.73</v>
      </c>
      <c r="E822" s="5">
        <v>360.56</v>
      </c>
      <c r="F822" s="5">
        <v>29.32</v>
      </c>
      <c r="G822" s="5">
        <v>55.44</v>
      </c>
      <c r="H822" s="5">
        <v>44.6849</v>
      </c>
      <c r="I822" s="5">
        <v>37.4556</v>
      </c>
    </row>
    <row r="823" ht="15.75" customHeight="1">
      <c r="A823" s="4">
        <v>45604.0</v>
      </c>
      <c r="B823" s="5">
        <v>121.11</v>
      </c>
      <c r="C823" s="5">
        <v>88.64</v>
      </c>
      <c r="D823" s="5">
        <v>141.9</v>
      </c>
      <c r="E823" s="5">
        <v>366.67</v>
      </c>
      <c r="F823" s="5">
        <v>29.24</v>
      </c>
      <c r="G823" s="5">
        <v>56.31</v>
      </c>
      <c r="H823" s="5">
        <v>44.9823</v>
      </c>
      <c r="I823" s="5">
        <v>38.1739</v>
      </c>
    </row>
    <row r="824" ht="15.75" customHeight="1">
      <c r="A824" s="4">
        <v>45607.0</v>
      </c>
      <c r="B824" s="5">
        <v>120.47</v>
      </c>
      <c r="C824" s="5">
        <v>88.33</v>
      </c>
      <c r="D824" s="5">
        <v>145.8</v>
      </c>
      <c r="E824" s="5">
        <v>371.95</v>
      </c>
      <c r="F824" s="5">
        <v>29.84</v>
      </c>
      <c r="G824" s="5">
        <v>56.9</v>
      </c>
      <c r="H824" s="5">
        <v>45.2366</v>
      </c>
      <c r="I824" s="5">
        <v>38.28</v>
      </c>
    </row>
    <row r="825" ht="15.75" customHeight="1">
      <c r="A825" s="4">
        <v>45608.0</v>
      </c>
      <c r="B825" s="5">
        <v>120.35</v>
      </c>
      <c r="C825" s="5">
        <v>87.71</v>
      </c>
      <c r="D825" s="5">
        <v>142.16</v>
      </c>
      <c r="E825" s="5">
        <v>368.99</v>
      </c>
      <c r="F825" s="5">
        <v>29.79</v>
      </c>
      <c r="G825" s="5">
        <v>56.74</v>
      </c>
      <c r="H825" s="5">
        <v>44.9967</v>
      </c>
      <c r="I825" s="5">
        <v>37.8413</v>
      </c>
    </row>
    <row r="826" ht="15.75" customHeight="1">
      <c r="A826" s="4">
        <v>45609.0</v>
      </c>
      <c r="B826" s="5">
        <v>121.47</v>
      </c>
      <c r="C826" s="5">
        <v>87.52</v>
      </c>
      <c r="D826" s="5">
        <v>142.12</v>
      </c>
      <c r="E826" s="5">
        <v>369.66</v>
      </c>
      <c r="F826" s="5">
        <v>30.91</v>
      </c>
      <c r="G826" s="5">
        <v>55.6</v>
      </c>
      <c r="H826" s="5">
        <v>45.3469</v>
      </c>
      <c r="I826" s="5">
        <v>37.7738</v>
      </c>
    </row>
    <row r="827" ht="15.75" customHeight="1">
      <c r="A827" s="4">
        <v>45610.0</v>
      </c>
      <c r="B827" s="5">
        <v>120.56</v>
      </c>
      <c r="C827" s="5">
        <v>86.78</v>
      </c>
      <c r="D827" s="5">
        <v>138.46</v>
      </c>
      <c r="E827" s="5">
        <v>361.86</v>
      </c>
      <c r="F827" s="5">
        <v>32.26</v>
      </c>
      <c r="G827" s="5">
        <v>55.58</v>
      </c>
      <c r="H827" s="5">
        <v>45.5198</v>
      </c>
      <c r="I827" s="5">
        <v>37.6436</v>
      </c>
    </row>
    <row r="828" ht="15.75" customHeight="1">
      <c r="A828" s="4">
        <v>45611.0</v>
      </c>
      <c r="B828" s="5">
        <v>119.31</v>
      </c>
      <c r="C828" s="5">
        <v>87.93</v>
      </c>
      <c r="D828" s="5">
        <v>142.15</v>
      </c>
      <c r="E828" s="5">
        <v>358.99</v>
      </c>
      <c r="F828" s="5">
        <v>32.39</v>
      </c>
      <c r="G828" s="5">
        <v>56.55</v>
      </c>
      <c r="H828" s="5">
        <v>45.4525</v>
      </c>
      <c r="I828" s="5">
        <v>38.2077</v>
      </c>
    </row>
    <row r="829" ht="15.75" customHeight="1">
      <c r="A829" s="4">
        <v>45614.0</v>
      </c>
      <c r="B829" s="5">
        <v>120.31</v>
      </c>
      <c r="C829" s="5">
        <v>88.04</v>
      </c>
      <c r="D829" s="5">
        <v>146.63</v>
      </c>
      <c r="E829" s="5">
        <v>357.83</v>
      </c>
      <c r="F829" s="5">
        <v>34.94</v>
      </c>
      <c r="G829" s="5">
        <v>57.86</v>
      </c>
      <c r="H829" s="5">
        <v>46.0571</v>
      </c>
      <c r="I829" s="5">
        <v>38.5404</v>
      </c>
    </row>
    <row r="830" ht="15.75" customHeight="1">
      <c r="A830" s="4">
        <v>45615.0</v>
      </c>
      <c r="B830" s="5">
        <v>118.63</v>
      </c>
      <c r="C830" s="5">
        <v>88.29</v>
      </c>
      <c r="D830" s="5">
        <v>154.86</v>
      </c>
      <c r="E830" s="5">
        <v>363.69</v>
      </c>
      <c r="F830" s="5">
        <v>35.55</v>
      </c>
      <c r="G830" s="5">
        <v>58.6</v>
      </c>
      <c r="H830" s="5">
        <v>45.7645</v>
      </c>
      <c r="I830" s="5">
        <v>38.7862</v>
      </c>
    </row>
    <row r="831" ht="15.75" customHeight="1">
      <c r="A831" s="4">
        <v>45616.0</v>
      </c>
      <c r="B831" s="5">
        <v>120.32</v>
      </c>
      <c r="C831" s="5">
        <v>87.97</v>
      </c>
      <c r="D831" s="5">
        <v>154.63</v>
      </c>
      <c r="E831" s="5">
        <v>360.46</v>
      </c>
      <c r="F831" s="5">
        <v>37.17</v>
      </c>
      <c r="G831" s="5">
        <v>58.7</v>
      </c>
      <c r="H831" s="5">
        <v>46.225</v>
      </c>
      <c r="I831" s="5">
        <v>38.8055</v>
      </c>
    </row>
    <row r="832" ht="15.75" customHeight="1">
      <c r="A832" s="4">
        <v>45617.0</v>
      </c>
      <c r="B832" s="5">
        <v>121.93</v>
      </c>
      <c r="C832" s="5">
        <v>88.14</v>
      </c>
      <c r="D832" s="5">
        <v>166.61</v>
      </c>
      <c r="E832" s="5">
        <v>370.95</v>
      </c>
      <c r="F832" s="5">
        <v>37.47</v>
      </c>
      <c r="G832" s="5">
        <v>59.74</v>
      </c>
      <c r="H832" s="5">
        <v>46.5993</v>
      </c>
      <c r="I832" s="5">
        <v>39.4804</v>
      </c>
    </row>
    <row r="833" ht="15.75" customHeight="1">
      <c r="A833" s="4">
        <v>45618.0</v>
      </c>
      <c r="B833" s="5">
        <v>121.79</v>
      </c>
      <c r="C833" s="5">
        <v>87.6</v>
      </c>
      <c r="D833" s="5">
        <v>161.92</v>
      </c>
      <c r="E833" s="5">
        <v>377.41</v>
      </c>
      <c r="F833" s="5">
        <v>40.03</v>
      </c>
      <c r="G833" s="5">
        <v>59.65</v>
      </c>
      <c r="H833" s="5">
        <v>46.6712</v>
      </c>
      <c r="I833" s="5">
        <v>39.2684</v>
      </c>
    </row>
    <row r="834" ht="15.75" customHeight="1">
      <c r="A834" s="4">
        <v>45621.0</v>
      </c>
      <c r="B834" s="5">
        <v>119.97</v>
      </c>
      <c r="C834" s="5">
        <v>88.42</v>
      </c>
      <c r="D834" s="5">
        <v>154.14</v>
      </c>
      <c r="E834" s="5">
        <v>376.68</v>
      </c>
      <c r="F834" s="5">
        <v>39.26</v>
      </c>
      <c r="G834" s="5">
        <v>58.19</v>
      </c>
      <c r="H834" s="5">
        <v>45.75</v>
      </c>
      <c r="I834" s="5">
        <v>39.3407</v>
      </c>
    </row>
    <row r="835" ht="15.75" customHeight="1">
      <c r="A835" s="4">
        <v>45622.0</v>
      </c>
      <c r="B835" s="5">
        <v>117.97</v>
      </c>
      <c r="C835" s="5">
        <v>89.33</v>
      </c>
      <c r="D835" s="5">
        <v>162.66</v>
      </c>
      <c r="E835" s="5">
        <v>377.29</v>
      </c>
      <c r="F835" s="5">
        <v>40.03</v>
      </c>
      <c r="G835" s="5">
        <v>58.37</v>
      </c>
      <c r="H835" s="5">
        <v>45.6877</v>
      </c>
      <c r="I835" s="5">
        <v>39.9674</v>
      </c>
    </row>
    <row r="836" ht="15.75" customHeight="1">
      <c r="A836" s="4">
        <v>45623.0</v>
      </c>
      <c r="B836" s="5">
        <v>117.66</v>
      </c>
      <c r="C836" s="5">
        <v>89.74</v>
      </c>
      <c r="D836" s="5">
        <v>154.52</v>
      </c>
      <c r="E836" s="5">
        <v>371.98</v>
      </c>
      <c r="F836" s="5">
        <v>39.71</v>
      </c>
      <c r="G836" s="5">
        <v>58.14</v>
      </c>
      <c r="H836" s="5">
        <v>45.6397</v>
      </c>
      <c r="I836" s="5">
        <v>39.9674</v>
      </c>
    </row>
    <row r="837" ht="15.75" customHeight="1">
      <c r="A837" s="4">
        <v>45625.0</v>
      </c>
      <c r="B837" s="5">
        <v>117.96</v>
      </c>
      <c r="C837" s="5">
        <v>89.13</v>
      </c>
      <c r="D837" s="5">
        <v>159.84</v>
      </c>
      <c r="E837" s="5">
        <v>375.42</v>
      </c>
      <c r="F837" s="5">
        <v>40.3</v>
      </c>
      <c r="G837" s="5">
        <v>58.52</v>
      </c>
      <c r="H837" s="5">
        <v>45.8365</v>
      </c>
      <c r="I837" s="5">
        <v>39.9819</v>
      </c>
    </row>
    <row r="838" ht="15.75" customHeight="1">
      <c r="A838" s="4">
        <v>45628.0</v>
      </c>
      <c r="B838" s="5">
        <v>117.85</v>
      </c>
      <c r="C838" s="5">
        <v>87.77</v>
      </c>
      <c r="D838" s="5">
        <v>154.11</v>
      </c>
      <c r="E838" s="5">
        <v>372.22</v>
      </c>
      <c r="F838" s="5">
        <v>40.22</v>
      </c>
      <c r="G838" s="5">
        <v>56.45</v>
      </c>
      <c r="H838" s="5">
        <v>45.3518</v>
      </c>
      <c r="I838" s="5">
        <v>39.1238</v>
      </c>
    </row>
    <row r="839" ht="15.75" customHeight="1">
      <c r="A839" s="4">
        <v>45629.0</v>
      </c>
      <c r="B839" s="5">
        <v>117.67</v>
      </c>
      <c r="C839" s="5">
        <v>86.26</v>
      </c>
      <c r="D839" s="5">
        <v>154.16</v>
      </c>
      <c r="E839" s="5">
        <v>373.75</v>
      </c>
      <c r="F839" s="5">
        <v>40.15</v>
      </c>
      <c r="G839" s="5">
        <v>56.6</v>
      </c>
      <c r="H839" s="5">
        <v>45.3469</v>
      </c>
      <c r="I839" s="5">
        <v>38.7862</v>
      </c>
    </row>
    <row r="840" ht="15.75" customHeight="1">
      <c r="A840" s="4">
        <v>45630.0</v>
      </c>
      <c r="B840" s="5">
        <v>114.28</v>
      </c>
      <c r="C840" s="5">
        <v>85.85</v>
      </c>
      <c r="D840" s="5">
        <v>161.31</v>
      </c>
      <c r="E840" s="5">
        <v>377.52</v>
      </c>
      <c r="F840" s="5">
        <v>38.38</v>
      </c>
      <c r="G840" s="5">
        <v>56.3</v>
      </c>
      <c r="H840" s="5">
        <v>44.253</v>
      </c>
      <c r="I840" s="5">
        <v>38.7815</v>
      </c>
    </row>
    <row r="841" ht="15.75" customHeight="1">
      <c r="A841" s="4">
        <v>45631.0</v>
      </c>
      <c r="B841" s="5">
        <v>114.78</v>
      </c>
      <c r="C841" s="5">
        <v>86.19</v>
      </c>
      <c r="D841" s="5">
        <v>160.88</v>
      </c>
      <c r="E841" s="5">
        <v>371.05</v>
      </c>
      <c r="F841" s="5">
        <v>38.46</v>
      </c>
      <c r="G841" s="5">
        <v>57.16</v>
      </c>
      <c r="H841" s="5">
        <v>44.4258</v>
      </c>
      <c r="I841" s="5">
        <v>38.902</v>
      </c>
    </row>
    <row r="842" ht="15.75" customHeight="1">
      <c r="A842" s="4">
        <v>45632.0</v>
      </c>
      <c r="B842" s="5">
        <v>113.57</v>
      </c>
      <c r="C842" s="5">
        <v>84.81</v>
      </c>
      <c r="D842" s="5">
        <v>159.98</v>
      </c>
      <c r="E842" s="5">
        <v>371.22</v>
      </c>
      <c r="F842" s="5">
        <v>38.87</v>
      </c>
      <c r="G842" s="5">
        <v>56.85</v>
      </c>
      <c r="H842" s="5">
        <v>43.6724</v>
      </c>
      <c r="I842" s="5">
        <v>38.4199</v>
      </c>
    </row>
    <row r="843" ht="15.75" customHeight="1">
      <c r="A843" s="4">
        <v>45635.0</v>
      </c>
      <c r="B843" s="5">
        <v>112.9</v>
      </c>
      <c r="C843" s="5">
        <v>84.31</v>
      </c>
      <c r="D843" s="5">
        <v>148.31</v>
      </c>
      <c r="E843" s="5">
        <v>364.06</v>
      </c>
      <c r="F843" s="5">
        <v>40.51</v>
      </c>
      <c r="G843" s="5">
        <v>54.67</v>
      </c>
      <c r="H843" s="5">
        <v>43.6005</v>
      </c>
      <c r="I843" s="5">
        <v>37.9378</v>
      </c>
    </row>
    <row r="844" ht="15.75" customHeight="1">
      <c r="A844" s="4">
        <v>45636.0</v>
      </c>
      <c r="B844" s="5">
        <v>112.67</v>
      </c>
      <c r="C844" s="5">
        <v>84.39</v>
      </c>
      <c r="D844" s="5">
        <v>141.52</v>
      </c>
      <c r="E844" s="5">
        <v>358.49</v>
      </c>
      <c r="F844" s="5">
        <v>40.65</v>
      </c>
      <c r="G844" s="5">
        <v>54.55</v>
      </c>
      <c r="H844" s="5">
        <v>43.303</v>
      </c>
      <c r="I844" s="5">
        <v>37.6628</v>
      </c>
    </row>
    <row r="845" ht="15.75" customHeight="1">
      <c r="A845" s="4">
        <v>45637.0</v>
      </c>
      <c r="B845" s="5">
        <v>111.92</v>
      </c>
      <c r="C845" s="5">
        <v>83.25</v>
      </c>
      <c r="D845" s="5">
        <v>146.0</v>
      </c>
      <c r="E845" s="5">
        <v>361.91</v>
      </c>
      <c r="F845" s="5">
        <v>43.12</v>
      </c>
      <c r="G845" s="5">
        <v>55.39</v>
      </c>
      <c r="H845" s="5">
        <v>43.375</v>
      </c>
      <c r="I845" s="5">
        <v>37.4267</v>
      </c>
    </row>
    <row r="846" ht="15.75" customHeight="1">
      <c r="A846" s="4">
        <v>45638.0</v>
      </c>
      <c r="B846" s="5">
        <v>111.82</v>
      </c>
      <c r="C846" s="5">
        <v>83.37</v>
      </c>
      <c r="D846" s="5">
        <v>145.08</v>
      </c>
      <c r="E846" s="5">
        <v>358.64</v>
      </c>
      <c r="F846" s="5">
        <v>43.96</v>
      </c>
      <c r="G846" s="5">
        <v>55.19</v>
      </c>
      <c r="H846" s="5">
        <v>43.0246</v>
      </c>
      <c r="I846" s="5">
        <v>37.4074</v>
      </c>
    </row>
    <row r="847" ht="15.75" customHeight="1">
      <c r="A847" s="4">
        <v>45639.0</v>
      </c>
      <c r="B847" s="5">
        <v>110.84</v>
      </c>
      <c r="C847" s="5">
        <v>83.2</v>
      </c>
      <c r="D847" s="5">
        <v>144.89</v>
      </c>
      <c r="E847" s="5">
        <v>356.01</v>
      </c>
      <c r="F847" s="5">
        <v>44.56</v>
      </c>
      <c r="G847" s="5">
        <v>54.43</v>
      </c>
      <c r="H847" s="5">
        <v>42.8089</v>
      </c>
      <c r="I847" s="5">
        <v>37.4316</v>
      </c>
    </row>
    <row r="848" ht="15.75" customHeight="1">
      <c r="A848" s="4">
        <v>45642.0</v>
      </c>
      <c r="B848" s="5">
        <v>108.47</v>
      </c>
      <c r="C848" s="5">
        <v>81.88</v>
      </c>
      <c r="D848" s="5">
        <v>145.33</v>
      </c>
      <c r="E848" s="5">
        <v>355.15</v>
      </c>
      <c r="F848" s="5">
        <v>44.58</v>
      </c>
      <c r="G848" s="5">
        <v>53.97</v>
      </c>
      <c r="H848" s="5">
        <v>41.8684</v>
      </c>
      <c r="I848" s="5">
        <v>37.1326</v>
      </c>
    </row>
    <row r="849" ht="15.75" customHeight="1">
      <c r="A849" s="4">
        <v>45643.0</v>
      </c>
      <c r="B849" s="5">
        <v>108.01</v>
      </c>
      <c r="C849" s="5">
        <v>83.28</v>
      </c>
      <c r="D849" s="5">
        <v>139.77</v>
      </c>
      <c r="E849" s="5">
        <v>347.08</v>
      </c>
      <c r="F849" s="5">
        <v>44.88</v>
      </c>
      <c r="G849" s="5">
        <v>53.69</v>
      </c>
      <c r="H849" s="5">
        <v>41.5565</v>
      </c>
      <c r="I849" s="5">
        <v>36.9784</v>
      </c>
    </row>
    <row r="850" ht="15.75" customHeight="1">
      <c r="A850" s="4">
        <v>45644.0</v>
      </c>
      <c r="B850" s="5">
        <v>106.42</v>
      </c>
      <c r="C850" s="5">
        <v>81.5</v>
      </c>
      <c r="D850" s="5">
        <v>132.89</v>
      </c>
      <c r="E850" s="5">
        <v>335.12</v>
      </c>
      <c r="F850" s="5">
        <v>41.69</v>
      </c>
      <c r="G850" s="5">
        <v>52.01</v>
      </c>
      <c r="H850" s="5">
        <v>40.3282</v>
      </c>
      <c r="I850" s="5">
        <v>36.1057</v>
      </c>
    </row>
    <row r="851" ht="15.75" customHeight="1">
      <c r="A851" s="4">
        <v>45645.0</v>
      </c>
      <c r="B851" s="5">
        <v>105.51</v>
      </c>
      <c r="C851" s="5">
        <v>81.78</v>
      </c>
      <c r="D851" s="5">
        <v>137.2</v>
      </c>
      <c r="E851" s="5">
        <v>335.64</v>
      </c>
      <c r="F851" s="5">
        <v>41.42</v>
      </c>
      <c r="G851" s="5">
        <v>52.57</v>
      </c>
      <c r="H851" s="5">
        <v>39.9779</v>
      </c>
      <c r="I851" s="5">
        <v>36.2696</v>
      </c>
    </row>
    <row r="852" ht="15.75" customHeight="1">
      <c r="A852" s="4">
        <v>45646.0</v>
      </c>
      <c r="B852" s="5">
        <v>105.87</v>
      </c>
      <c r="C852" s="5">
        <v>82.86</v>
      </c>
      <c r="D852" s="5">
        <v>139.95</v>
      </c>
      <c r="E852" s="5">
        <v>338.12</v>
      </c>
      <c r="F852" s="5">
        <v>42.02</v>
      </c>
      <c r="G852" s="5">
        <v>53.49</v>
      </c>
      <c r="H852" s="5">
        <v>40.3713</v>
      </c>
      <c r="I852" s="5">
        <v>36.8482</v>
      </c>
    </row>
    <row r="853" ht="15.75" customHeight="1">
      <c r="A853" s="4">
        <v>45649.0</v>
      </c>
      <c r="B853" s="5">
        <v>106.3</v>
      </c>
      <c r="C853" s="5">
        <v>83.04</v>
      </c>
      <c r="D853" s="5">
        <v>140.79</v>
      </c>
      <c r="E853" s="5">
        <v>337.71</v>
      </c>
      <c r="F853" s="5">
        <v>42.44</v>
      </c>
      <c r="G853" s="5">
        <v>54.05</v>
      </c>
      <c r="H853" s="5">
        <v>40.6084</v>
      </c>
      <c r="I853" s="5">
        <v>36.9735</v>
      </c>
    </row>
    <row r="854" ht="15.75" customHeight="1">
      <c r="A854" s="4">
        <v>45650.0</v>
      </c>
      <c r="B854" s="5">
        <v>106.4</v>
      </c>
      <c r="C854" s="5">
        <v>83.16</v>
      </c>
      <c r="D854" s="5">
        <v>143.36</v>
      </c>
      <c r="E854" s="5">
        <v>341.54</v>
      </c>
      <c r="F854" s="5">
        <v>42.79</v>
      </c>
      <c r="G854" s="5">
        <v>54.6</v>
      </c>
      <c r="H854" s="5">
        <v>40.952</v>
      </c>
      <c r="I854" s="5">
        <v>37.1777</v>
      </c>
    </row>
    <row r="855" ht="15.75" customHeight="1">
      <c r="A855" s="4">
        <v>45652.0</v>
      </c>
      <c r="B855" s="5">
        <v>106.49</v>
      </c>
      <c r="C855" s="5">
        <v>82.84</v>
      </c>
      <c r="D855" s="5">
        <v>144.11</v>
      </c>
      <c r="E855" s="5">
        <v>340.16</v>
      </c>
      <c r="F855" s="5">
        <v>43.06</v>
      </c>
      <c r="G855" s="5">
        <v>53.96</v>
      </c>
      <c r="H855" s="5">
        <v>40.918</v>
      </c>
      <c r="I855" s="5">
        <v>37.0902</v>
      </c>
    </row>
    <row r="856" ht="15.75" customHeight="1">
      <c r="A856" s="4">
        <v>45653.0</v>
      </c>
      <c r="B856" s="5">
        <v>106.48</v>
      </c>
      <c r="C856" s="5">
        <v>83.14</v>
      </c>
      <c r="D856" s="5">
        <v>139.68</v>
      </c>
      <c r="E856" s="5">
        <v>334.63</v>
      </c>
      <c r="F856" s="5">
        <v>42.64</v>
      </c>
      <c r="G856" s="5">
        <v>53.94</v>
      </c>
      <c r="H856" s="5">
        <v>40.9132</v>
      </c>
      <c r="I856" s="5">
        <v>36.9832</v>
      </c>
    </row>
    <row r="857" ht="15.75" customHeight="1">
      <c r="A857" s="4">
        <v>45656.0</v>
      </c>
      <c r="B857" s="5">
        <v>105.76</v>
      </c>
      <c r="C857" s="5">
        <v>82.38</v>
      </c>
      <c r="D857" s="5">
        <v>140.09</v>
      </c>
      <c r="E857" s="5">
        <v>332.38</v>
      </c>
      <c r="F857" s="5">
        <v>42.37</v>
      </c>
      <c r="G857" s="5">
        <v>54.16</v>
      </c>
      <c r="H857" s="5">
        <v>40.9085</v>
      </c>
      <c r="I857" s="5">
        <v>36.8277</v>
      </c>
    </row>
    <row r="858" ht="15.75" customHeight="1">
      <c r="A858" s="4">
        <v>45657.0</v>
      </c>
      <c r="B858" s="5">
        <v>107.57</v>
      </c>
      <c r="C858" s="5">
        <v>82.32</v>
      </c>
      <c r="D858" s="5">
        <v>137.87</v>
      </c>
      <c r="E858" s="5">
        <v>331.87</v>
      </c>
      <c r="F858" s="5">
        <v>42.51</v>
      </c>
      <c r="G858" s="5">
        <v>54.12</v>
      </c>
      <c r="H858" s="5">
        <v>41.4455</v>
      </c>
      <c r="I858" s="5">
        <v>36.7937</v>
      </c>
    </row>
    <row r="859" ht="15.75" customHeight="1">
      <c r="A859" s="4">
        <v>45659.0</v>
      </c>
      <c r="B859" s="5">
        <v>107.31</v>
      </c>
      <c r="C859" s="5">
        <v>82.07</v>
      </c>
      <c r="D859" s="5">
        <v>149.66</v>
      </c>
      <c r="E859" s="5">
        <v>331.96</v>
      </c>
      <c r="F859" s="5">
        <v>44.6</v>
      </c>
      <c r="G859" s="5">
        <v>55.88</v>
      </c>
      <c r="H859" s="5">
        <v>41.9293</v>
      </c>
      <c r="I859" s="5">
        <v>37.0757</v>
      </c>
    </row>
    <row r="860" ht="15.75" customHeight="1">
      <c r="A860" s="4">
        <v>45660.0</v>
      </c>
      <c r="B860" s="5">
        <v>107.86</v>
      </c>
      <c r="C860" s="5">
        <v>82.32</v>
      </c>
      <c r="D860" s="5">
        <v>162.36</v>
      </c>
      <c r="E860" s="5">
        <v>342.58</v>
      </c>
      <c r="F860" s="5">
        <v>44.06</v>
      </c>
      <c r="G860" s="5">
        <v>56.6</v>
      </c>
      <c r="H860" s="5">
        <v>42.3212</v>
      </c>
      <c r="I860" s="5">
        <v>37.4693</v>
      </c>
    </row>
    <row r="861" ht="15.75" customHeight="1">
      <c r="A861" s="4">
        <v>45663.0</v>
      </c>
      <c r="B861" s="5">
        <v>107.74</v>
      </c>
      <c r="C861" s="5">
        <v>80.96</v>
      </c>
      <c r="D861" s="5">
        <v>163.95</v>
      </c>
      <c r="E861" s="5">
        <v>348.56</v>
      </c>
      <c r="F861" s="5">
        <v>45.01</v>
      </c>
      <c r="G861" s="5">
        <v>55.81</v>
      </c>
      <c r="H861" s="5">
        <v>42.1277</v>
      </c>
      <c r="I861" s="5">
        <v>37.0513</v>
      </c>
    </row>
    <row r="862" ht="15.75" customHeight="1">
      <c r="A862" s="4">
        <v>45664.0</v>
      </c>
      <c r="B862" s="5">
        <v>108.75</v>
      </c>
      <c r="C862" s="5">
        <v>81.09</v>
      </c>
      <c r="D862" s="5">
        <v>163.37</v>
      </c>
      <c r="E862" s="5">
        <v>343.91</v>
      </c>
      <c r="F862" s="5">
        <v>46.03</v>
      </c>
      <c r="G862" s="5">
        <v>55.55</v>
      </c>
      <c r="H862" s="5">
        <v>42.5486</v>
      </c>
      <c r="I862" s="5">
        <v>36.9589</v>
      </c>
    </row>
    <row r="863" ht="15.75" customHeight="1">
      <c r="A863" s="4">
        <v>45665.0</v>
      </c>
      <c r="B863" s="5">
        <v>106.93</v>
      </c>
      <c r="C863" s="5">
        <v>83.02</v>
      </c>
      <c r="D863" s="5">
        <v>160.81</v>
      </c>
      <c r="E863" s="5">
        <v>345.11</v>
      </c>
      <c r="F863" s="5">
        <v>45.32</v>
      </c>
      <c r="G863" s="5">
        <v>56.39</v>
      </c>
      <c r="H863" s="5">
        <v>42.5921</v>
      </c>
      <c r="I863" s="5">
        <v>36.9492</v>
      </c>
    </row>
    <row r="864" ht="15.75" customHeight="1">
      <c r="A864" s="4">
        <v>45667.0</v>
      </c>
      <c r="B864" s="5">
        <v>106.54</v>
      </c>
      <c r="C864" s="5">
        <v>81.32</v>
      </c>
      <c r="D864" s="5">
        <v>166.73</v>
      </c>
      <c r="E864" s="5">
        <v>341.45</v>
      </c>
      <c r="F864" s="5">
        <v>45.85</v>
      </c>
      <c r="G864" s="5">
        <v>55.52</v>
      </c>
      <c r="H864" s="5">
        <v>42.7662</v>
      </c>
      <c r="I864" s="5">
        <v>36.7402</v>
      </c>
    </row>
    <row r="865" ht="15.75" customHeight="1">
      <c r="A865" s="4">
        <v>45670.0</v>
      </c>
      <c r="B865" s="5">
        <v>109.29</v>
      </c>
      <c r="C865" s="5">
        <v>81.87</v>
      </c>
      <c r="D865" s="5">
        <v>162.13</v>
      </c>
      <c r="E865" s="5">
        <v>340.88</v>
      </c>
      <c r="F865" s="5">
        <v>44.51</v>
      </c>
      <c r="G865" s="5">
        <v>56.03</v>
      </c>
      <c r="H865" s="5">
        <v>43.6663</v>
      </c>
      <c r="I865" s="5">
        <v>36.3125</v>
      </c>
    </row>
    <row r="866" ht="15.75" customHeight="1">
      <c r="A866" s="4">
        <v>45671.0</v>
      </c>
      <c r="B866" s="5">
        <v>109.72</v>
      </c>
      <c r="C866" s="5">
        <v>82.05</v>
      </c>
      <c r="D866" s="5">
        <v>170.51</v>
      </c>
      <c r="E866" s="5">
        <v>340.14</v>
      </c>
      <c r="F866" s="5">
        <v>45.0</v>
      </c>
      <c r="G866" s="5">
        <v>58.06</v>
      </c>
      <c r="H866" s="5">
        <v>44.1356</v>
      </c>
      <c r="I866" s="5">
        <v>36.7888</v>
      </c>
    </row>
    <row r="867" ht="15.75" customHeight="1">
      <c r="A867" s="4">
        <v>45672.0</v>
      </c>
      <c r="B867" s="5">
        <v>111.51</v>
      </c>
      <c r="C867" s="5">
        <v>82.34</v>
      </c>
      <c r="D867" s="5">
        <v>169.17</v>
      </c>
      <c r="E867" s="5">
        <v>342.58</v>
      </c>
      <c r="F867" s="5">
        <v>45.0</v>
      </c>
      <c r="G867" s="5">
        <v>58.01</v>
      </c>
      <c r="H867" s="5">
        <v>44.7888</v>
      </c>
      <c r="I867" s="5">
        <v>37.3285</v>
      </c>
    </row>
    <row r="868" ht="15.75" customHeight="1">
      <c r="A868" s="4">
        <v>45673.0</v>
      </c>
      <c r="B868" s="5">
        <v>111.32</v>
      </c>
      <c r="C868" s="5">
        <v>83.89</v>
      </c>
      <c r="D868" s="5">
        <v>174.0</v>
      </c>
      <c r="E868" s="5">
        <v>345.19</v>
      </c>
      <c r="F868" s="5">
        <v>43.82</v>
      </c>
      <c r="G868" s="5">
        <v>59.18</v>
      </c>
      <c r="H868" s="5">
        <v>45.1129</v>
      </c>
      <c r="I868" s="5">
        <v>38.2715</v>
      </c>
    </row>
    <row r="869" ht="15.75" customHeight="1">
      <c r="A869" s="4">
        <v>45674.0</v>
      </c>
      <c r="B869" s="5">
        <v>112.32</v>
      </c>
      <c r="C869" s="5">
        <v>83.9</v>
      </c>
      <c r="D869" s="5">
        <v>170.86</v>
      </c>
      <c r="E869" s="5">
        <v>346.28</v>
      </c>
      <c r="F869" s="5">
        <v>42.71</v>
      </c>
      <c r="G869" s="5">
        <v>59.14</v>
      </c>
      <c r="H869" s="5">
        <v>45.4613</v>
      </c>
      <c r="I869" s="5">
        <v>38.3249</v>
      </c>
    </row>
    <row r="870" ht="15.75" customHeight="1">
      <c r="A870" s="4">
        <v>45678.0</v>
      </c>
      <c r="B870" s="5">
        <v>111.47</v>
      </c>
      <c r="C870" s="5">
        <v>84.73</v>
      </c>
      <c r="D870" s="5">
        <v>185.35</v>
      </c>
      <c r="E870" s="5">
        <v>357.63</v>
      </c>
      <c r="F870" s="5">
        <v>43.35</v>
      </c>
      <c r="G870" s="5">
        <v>60.63</v>
      </c>
      <c r="H870" s="5">
        <v>45.229</v>
      </c>
      <c r="I870" s="5">
        <v>38.9131</v>
      </c>
    </row>
    <row r="871" ht="15.75" customHeight="1">
      <c r="A871" s="4">
        <v>45679.0</v>
      </c>
      <c r="B871" s="5">
        <v>109.53</v>
      </c>
      <c r="C871" s="5">
        <v>82.52</v>
      </c>
      <c r="D871" s="5">
        <v>186.86</v>
      </c>
      <c r="E871" s="5">
        <v>371.23</v>
      </c>
      <c r="F871" s="5">
        <v>43.02</v>
      </c>
      <c r="G871" s="5">
        <v>59.2</v>
      </c>
      <c r="H871" s="5">
        <v>44.4065</v>
      </c>
      <c r="I871" s="5">
        <v>38.0722</v>
      </c>
    </row>
    <row r="872" ht="15.75" customHeight="1">
      <c r="A872" s="4">
        <v>45680.0</v>
      </c>
      <c r="B872" s="5">
        <v>110.15</v>
      </c>
      <c r="C872" s="5">
        <v>82.26</v>
      </c>
      <c r="D872" s="5">
        <v>191.89</v>
      </c>
      <c r="E872" s="5">
        <v>369.69</v>
      </c>
      <c r="F872" s="5">
        <v>41.96</v>
      </c>
      <c r="G872" s="5">
        <v>59.49</v>
      </c>
      <c r="H872" s="5">
        <v>44.6097</v>
      </c>
      <c r="I872" s="5">
        <v>38.252</v>
      </c>
    </row>
    <row r="873" ht="15.75" customHeight="1">
      <c r="A873" s="4">
        <v>45681.0</v>
      </c>
      <c r="B873" s="5">
        <v>108.66</v>
      </c>
      <c r="C873" s="5">
        <v>83.48</v>
      </c>
      <c r="D873" s="5">
        <v>191.11</v>
      </c>
      <c r="E873" s="5">
        <v>368.98</v>
      </c>
      <c r="F873" s="5">
        <v>40.96</v>
      </c>
      <c r="G873" s="5">
        <v>59.57</v>
      </c>
      <c r="H873" s="5">
        <v>44.1791</v>
      </c>
      <c r="I873" s="5">
        <v>38.6409</v>
      </c>
    </row>
    <row r="874" ht="15.75" customHeight="1">
      <c r="A874" s="4">
        <v>45684.0</v>
      </c>
      <c r="B874" s="5">
        <v>110.17</v>
      </c>
      <c r="C874" s="5">
        <v>86.5</v>
      </c>
      <c r="D874" s="5">
        <v>137.08</v>
      </c>
      <c r="E874" s="5">
        <v>311.55</v>
      </c>
      <c r="F874" s="5">
        <v>39.62</v>
      </c>
      <c r="G874" s="5">
        <v>54.55</v>
      </c>
      <c r="H874" s="5">
        <v>43.7194</v>
      </c>
      <c r="I874" s="5">
        <v>37.7464</v>
      </c>
    </row>
    <row r="875" ht="15.75" customHeight="1">
      <c r="A875" s="4">
        <v>45685.0</v>
      </c>
      <c r="B875" s="5">
        <v>108.04</v>
      </c>
      <c r="C875" s="5">
        <v>83.54</v>
      </c>
      <c r="D875" s="5">
        <v>149.64</v>
      </c>
      <c r="E875" s="5">
        <v>312.67</v>
      </c>
      <c r="F875" s="5">
        <v>38.86</v>
      </c>
      <c r="G875" s="5">
        <v>55.2</v>
      </c>
      <c r="H875" s="5">
        <v>43.3033</v>
      </c>
      <c r="I875" s="5">
        <v>37.2263</v>
      </c>
    </row>
    <row r="876" ht="15.75" customHeight="1">
      <c r="A876" s="4">
        <v>45686.0</v>
      </c>
      <c r="B876" s="5">
        <v>108.67</v>
      </c>
      <c r="C876" s="5">
        <v>82.83</v>
      </c>
      <c r="D876" s="5">
        <v>155.21</v>
      </c>
      <c r="E876" s="5">
        <v>317.6</v>
      </c>
      <c r="F876" s="5">
        <v>40.0</v>
      </c>
      <c r="G876" s="5">
        <v>55.33</v>
      </c>
      <c r="H876" s="5">
        <v>43.4001</v>
      </c>
      <c r="I876" s="5">
        <v>37.3041</v>
      </c>
    </row>
    <row r="877" ht="15.75" customHeight="1">
      <c r="A877" s="4">
        <v>45687.0</v>
      </c>
      <c r="B877" s="5">
        <v>109.57</v>
      </c>
      <c r="C877" s="5">
        <v>84.93</v>
      </c>
      <c r="D877" s="5">
        <v>176.3</v>
      </c>
      <c r="E877" s="5">
        <v>327.1</v>
      </c>
      <c r="F877" s="5">
        <v>40.48</v>
      </c>
      <c r="G877" s="5">
        <v>56.59</v>
      </c>
      <c r="H877" s="5">
        <v>43.6227</v>
      </c>
      <c r="I877" s="5">
        <v>38.0819</v>
      </c>
    </row>
    <row r="878" ht="15.75" customHeight="1">
      <c r="A878" s="4">
        <v>45688.0</v>
      </c>
      <c r="B878" s="5">
        <v>106.83</v>
      </c>
      <c r="C878" s="5">
        <v>83.95</v>
      </c>
      <c r="D878" s="5">
        <v>168.03</v>
      </c>
      <c r="E878" s="5">
        <v>326.44</v>
      </c>
      <c r="F878" s="5">
        <v>39.47</v>
      </c>
      <c r="G878" s="5">
        <v>55.43</v>
      </c>
      <c r="H878" s="5">
        <v>42.4034</v>
      </c>
      <c r="I878" s="5">
        <v>37.8583</v>
      </c>
    </row>
    <row r="879" ht="15.75" customHeight="1">
      <c r="A879" s="4">
        <v>45691.0</v>
      </c>
      <c r="B879" s="5">
        <v>107.09</v>
      </c>
      <c r="C879" s="5">
        <v>83.97</v>
      </c>
      <c r="D879" s="5">
        <v>168.53</v>
      </c>
      <c r="E879" s="5">
        <v>315.41</v>
      </c>
      <c r="F879" s="5">
        <v>38.48</v>
      </c>
      <c r="G879" s="5">
        <v>56.2</v>
      </c>
      <c r="H879" s="5">
        <v>42.6696</v>
      </c>
      <c r="I879" s="5">
        <v>38.0625</v>
      </c>
    </row>
    <row r="880" ht="15.75" customHeight="1">
      <c r="A880" s="4">
        <v>45692.0</v>
      </c>
      <c r="B880" s="5">
        <v>109.96</v>
      </c>
      <c r="C880" s="5">
        <v>83.2</v>
      </c>
      <c r="D880" s="5">
        <v>168.33</v>
      </c>
      <c r="E880" s="5">
        <v>314.7</v>
      </c>
      <c r="F880" s="5">
        <v>39.32</v>
      </c>
      <c r="G880" s="5">
        <v>55.72</v>
      </c>
      <c r="H880" s="5">
        <v>43.5646</v>
      </c>
      <c r="I880" s="5">
        <v>37.727</v>
      </c>
    </row>
    <row r="881" ht="15.75" customHeight="1">
      <c r="A881" s="4">
        <v>45693.0</v>
      </c>
      <c r="B881" s="5">
        <v>109.88</v>
      </c>
      <c r="C881" s="5">
        <v>83.87</v>
      </c>
      <c r="D881" s="5">
        <v>171.61</v>
      </c>
      <c r="E881" s="5">
        <v>315.25</v>
      </c>
      <c r="F881" s="5">
        <v>38.56</v>
      </c>
      <c r="G881" s="5">
        <v>56.85</v>
      </c>
      <c r="H881" s="5">
        <v>43.6566</v>
      </c>
      <c r="I881" s="5">
        <v>38.1061</v>
      </c>
    </row>
    <row r="882" ht="15.75" customHeight="1">
      <c r="A882" s="4">
        <v>45694.0</v>
      </c>
      <c r="B882" s="5">
        <v>108.43</v>
      </c>
      <c r="C882" s="5">
        <v>83.79</v>
      </c>
      <c r="D882" s="5">
        <v>169.88</v>
      </c>
      <c r="E882" s="5">
        <v>315.85</v>
      </c>
      <c r="F882" s="5">
        <v>39.33</v>
      </c>
      <c r="G882" s="5">
        <v>56.01</v>
      </c>
      <c r="H882" s="5">
        <v>42.8534</v>
      </c>
      <c r="I882" s="5">
        <v>38.0625</v>
      </c>
    </row>
    <row r="883" ht="15.75" customHeight="1">
      <c r="A883" s="4">
        <v>45695.0</v>
      </c>
      <c r="B883" s="5">
        <v>108.89</v>
      </c>
      <c r="C883" s="5">
        <v>84.58</v>
      </c>
      <c r="D883" s="5">
        <v>166.9</v>
      </c>
      <c r="E883" s="5">
        <v>313.05</v>
      </c>
      <c r="F883" s="5">
        <v>37.79</v>
      </c>
      <c r="G883" s="5">
        <v>55.94</v>
      </c>
      <c r="H883" s="5">
        <v>42.8485</v>
      </c>
      <c r="I883" s="5">
        <v>37.9846</v>
      </c>
    </row>
    <row r="884" ht="15.75" customHeight="1">
      <c r="A884" s="4">
        <v>45698.0</v>
      </c>
      <c r="B884" s="5">
        <v>110.97</v>
      </c>
      <c r="C884" s="5">
        <v>85.51</v>
      </c>
      <c r="D884" s="5">
        <v>168.39</v>
      </c>
      <c r="E884" s="5">
        <v>319.88</v>
      </c>
      <c r="F884" s="5">
        <v>38.0</v>
      </c>
      <c r="G884" s="5">
        <v>56.17</v>
      </c>
      <c r="H884" s="5">
        <v>43.792</v>
      </c>
      <c r="I884" s="5">
        <v>38.3979</v>
      </c>
    </row>
    <row r="885" ht="15.75" customHeight="1">
      <c r="A885" s="4">
        <v>45699.0</v>
      </c>
      <c r="B885" s="5">
        <v>111.67</v>
      </c>
      <c r="C885" s="5">
        <v>86.45</v>
      </c>
      <c r="D885" s="5">
        <v>167.61</v>
      </c>
      <c r="E885" s="5">
        <v>316.51</v>
      </c>
      <c r="F885" s="5">
        <v>36.1</v>
      </c>
      <c r="G885" s="5">
        <v>55.24</v>
      </c>
      <c r="H885" s="5">
        <v>44.1453</v>
      </c>
      <c r="I885" s="5">
        <v>38.5923</v>
      </c>
    </row>
    <row r="886" ht="15.75" customHeight="1">
      <c r="A886" s="4">
        <v>45700.0</v>
      </c>
      <c r="B886" s="5">
        <v>107.35</v>
      </c>
      <c r="C886" s="5">
        <v>86.81</v>
      </c>
      <c r="D886" s="5">
        <v>166.61</v>
      </c>
      <c r="E886" s="5">
        <v>309.88</v>
      </c>
      <c r="F886" s="5">
        <v>36.26</v>
      </c>
      <c r="G886" s="5">
        <v>54.82</v>
      </c>
      <c r="H886" s="5">
        <v>43.0807</v>
      </c>
      <c r="I886" s="5">
        <v>38.5242</v>
      </c>
    </row>
    <row r="887" ht="15.75" customHeight="1">
      <c r="A887" s="4">
        <v>45701.0</v>
      </c>
      <c r="B887" s="5">
        <v>108.13</v>
      </c>
      <c r="C887" s="5">
        <v>86.78</v>
      </c>
      <c r="D887" s="5">
        <v>165.65</v>
      </c>
      <c r="E887" s="5">
        <v>307.81</v>
      </c>
      <c r="F887" s="5">
        <v>37.14</v>
      </c>
      <c r="G887" s="5">
        <v>57.46</v>
      </c>
      <c r="H887" s="5">
        <v>43.405</v>
      </c>
      <c r="I887" s="5">
        <v>38.6117</v>
      </c>
    </row>
    <row r="888" ht="15.75" customHeight="1">
      <c r="A888" s="4">
        <v>45702.0</v>
      </c>
      <c r="B888" s="5">
        <v>108.24</v>
      </c>
      <c r="C888" s="5">
        <v>85.58</v>
      </c>
      <c r="D888" s="5">
        <v>167.66</v>
      </c>
      <c r="E888" s="5">
        <v>309.17</v>
      </c>
      <c r="F888" s="5">
        <v>37.22</v>
      </c>
      <c r="G888" s="5">
        <v>56.98</v>
      </c>
      <c r="H888" s="5">
        <v>43.5792</v>
      </c>
      <c r="I888" s="5">
        <v>38.4513</v>
      </c>
    </row>
    <row r="889" ht="15.75" customHeight="1">
      <c r="A889" s="4">
        <v>45706.0</v>
      </c>
      <c r="B889" s="5">
        <v>110.14</v>
      </c>
      <c r="C889" s="5">
        <v>85.89</v>
      </c>
      <c r="D889" s="5">
        <v>169.28</v>
      </c>
      <c r="E889" s="5">
        <v>313.12</v>
      </c>
      <c r="F889" s="5">
        <v>37.16</v>
      </c>
      <c r="G889" s="5">
        <v>57.8</v>
      </c>
      <c r="H889" s="5">
        <v>44.1742</v>
      </c>
      <c r="I889" s="5">
        <v>38.811</v>
      </c>
    </row>
    <row r="890" ht="15.75" customHeight="1">
      <c r="A890" s="4">
        <v>45707.0</v>
      </c>
      <c r="B890" s="5">
        <v>110.3</v>
      </c>
      <c r="C890" s="5">
        <v>86.48</v>
      </c>
      <c r="D890" s="5">
        <v>169.35</v>
      </c>
      <c r="E890" s="5">
        <v>309.43</v>
      </c>
      <c r="F890" s="5">
        <v>37.11</v>
      </c>
      <c r="G890" s="5">
        <v>58.27</v>
      </c>
      <c r="H890" s="5">
        <v>44.5227</v>
      </c>
      <c r="I890" s="5">
        <v>39.0152</v>
      </c>
    </row>
    <row r="891" ht="15.75" customHeight="1">
      <c r="A891" s="4">
        <v>45708.0</v>
      </c>
      <c r="B891" s="5">
        <v>112.0</v>
      </c>
      <c r="C891" s="5">
        <v>87.82</v>
      </c>
      <c r="D891" s="5">
        <v>163.18</v>
      </c>
      <c r="E891" s="5">
        <v>308.82</v>
      </c>
      <c r="F891" s="5">
        <v>38.39</v>
      </c>
      <c r="G891" s="5">
        <v>58.45</v>
      </c>
      <c r="H891" s="5">
        <v>44.929</v>
      </c>
      <c r="I891" s="5">
        <v>39.0103</v>
      </c>
    </row>
    <row r="892" ht="15.75" customHeight="1">
      <c r="A892" s="4">
        <v>45709.0</v>
      </c>
      <c r="B892" s="5">
        <v>110.69</v>
      </c>
      <c r="C892" s="5">
        <v>88.4</v>
      </c>
      <c r="D892" s="5">
        <v>150.44</v>
      </c>
      <c r="E892" s="5">
        <v>297.37</v>
      </c>
      <c r="F892" s="5">
        <v>37.06</v>
      </c>
      <c r="G892" s="5">
        <v>57.44</v>
      </c>
      <c r="H892" s="5">
        <v>43.9953</v>
      </c>
      <c r="I892" s="5">
        <v>39.0201</v>
      </c>
    </row>
    <row r="893" ht="15.75" customHeight="1">
      <c r="A893" s="4">
        <v>45712.0</v>
      </c>
      <c r="B893" s="5">
        <v>111.27</v>
      </c>
      <c r="C893" s="5">
        <v>88.89</v>
      </c>
      <c r="D893" s="5">
        <v>142.76</v>
      </c>
      <c r="E893" s="5">
        <v>289.85</v>
      </c>
      <c r="F893" s="5">
        <v>36.38</v>
      </c>
      <c r="G893" s="5">
        <v>57.33</v>
      </c>
      <c r="H893" s="5">
        <v>44.0049</v>
      </c>
      <c r="I893" s="5">
        <v>38.8257</v>
      </c>
    </row>
    <row r="894" ht="15.75" customHeight="1">
      <c r="A894" s="4">
        <v>45713.0</v>
      </c>
      <c r="B894" s="5">
        <v>109.73</v>
      </c>
      <c r="C894" s="5">
        <v>89.85</v>
      </c>
      <c r="D894" s="5">
        <v>137.92</v>
      </c>
      <c r="E894" s="5">
        <v>287.55</v>
      </c>
      <c r="F894" s="5">
        <v>35.42</v>
      </c>
      <c r="G894" s="5">
        <v>56.18</v>
      </c>
      <c r="H894" s="5">
        <v>43.3711</v>
      </c>
      <c r="I894" s="5">
        <v>38.6312</v>
      </c>
    </row>
    <row r="895" ht="15.75" customHeight="1">
      <c r="A895" s="4">
        <v>45714.0</v>
      </c>
      <c r="B895" s="5">
        <v>109.46</v>
      </c>
      <c r="C895" s="5">
        <v>88.75</v>
      </c>
      <c r="D895" s="5">
        <v>148.19</v>
      </c>
      <c r="E895" s="5">
        <v>297.35</v>
      </c>
      <c r="F895" s="5">
        <v>35.68</v>
      </c>
      <c r="G895" s="5">
        <v>56.9</v>
      </c>
      <c r="H895" s="5">
        <v>43.1244</v>
      </c>
      <c r="I895" s="5">
        <v>38.7916</v>
      </c>
    </row>
    <row r="896" ht="15.75" customHeight="1">
      <c r="A896" s="4">
        <v>45715.0</v>
      </c>
      <c r="B896" s="5">
        <v>110.15</v>
      </c>
      <c r="C896" s="5">
        <v>88.29</v>
      </c>
      <c r="D896" s="5">
        <v>130.01</v>
      </c>
      <c r="E896" s="5">
        <v>290.38</v>
      </c>
      <c r="F896" s="5">
        <v>34.45</v>
      </c>
      <c r="G896" s="5">
        <v>56.26</v>
      </c>
      <c r="H896" s="5">
        <v>43.3566</v>
      </c>
      <c r="I896" s="5">
        <v>37.9312</v>
      </c>
    </row>
    <row r="897" ht="15.75" customHeight="1">
      <c r="A897" s="4">
        <v>45716.0</v>
      </c>
      <c r="B897" s="5">
        <v>111.33</v>
      </c>
      <c r="C897" s="5">
        <v>89.79</v>
      </c>
      <c r="D897" s="5">
        <v>133.66</v>
      </c>
      <c r="E897" s="5">
        <v>293.32</v>
      </c>
      <c r="F897" s="5">
        <v>35.05</v>
      </c>
      <c r="G897" s="5">
        <v>58.18</v>
      </c>
      <c r="H897" s="5">
        <v>44.0291</v>
      </c>
      <c r="I897" s="5">
        <v>38.5097</v>
      </c>
    </row>
    <row r="898" ht="15.75" customHeight="1">
      <c r="A898" s="4">
        <v>45719.0</v>
      </c>
      <c r="B898" s="5">
        <v>107.76</v>
      </c>
      <c r="C898" s="5">
        <v>90.85</v>
      </c>
      <c r="D898" s="5">
        <v>123.95</v>
      </c>
      <c r="E898" s="5">
        <v>278.46</v>
      </c>
      <c r="F898" s="5">
        <v>34.29</v>
      </c>
      <c r="G898" s="5">
        <v>57.6</v>
      </c>
      <c r="H898" s="5">
        <v>42.4906</v>
      </c>
      <c r="I898" s="5">
        <v>38.5631</v>
      </c>
    </row>
    <row r="899" ht="15.75" customHeight="1">
      <c r="A899" s="4">
        <v>45720.0</v>
      </c>
      <c r="B899" s="5">
        <v>107.54</v>
      </c>
      <c r="C899" s="5">
        <v>89.89</v>
      </c>
      <c r="D899" s="5">
        <v>126.94</v>
      </c>
      <c r="E899" s="5">
        <v>279.22</v>
      </c>
      <c r="F899" s="5">
        <v>33.5</v>
      </c>
      <c r="G899" s="5">
        <v>56.8</v>
      </c>
      <c r="H899" s="5">
        <v>42.0793</v>
      </c>
      <c r="I899" s="5">
        <v>37.936</v>
      </c>
    </row>
    <row r="900" ht="15.75" customHeight="1">
      <c r="A900" s="4">
        <v>45721.0</v>
      </c>
      <c r="B900" s="5">
        <v>105.44</v>
      </c>
      <c r="C900" s="5">
        <v>88.65</v>
      </c>
      <c r="D900" s="5">
        <v>126.87</v>
      </c>
      <c r="E900" s="5">
        <v>287.73</v>
      </c>
      <c r="F900" s="5">
        <v>34.14</v>
      </c>
      <c r="G900" s="5">
        <v>56.22</v>
      </c>
      <c r="H900" s="5">
        <v>41.4648</v>
      </c>
      <c r="I900" s="5">
        <v>37.6687</v>
      </c>
    </row>
    <row r="901" ht="15.75" customHeight="1">
      <c r="A901" s="4">
        <v>45722.0</v>
      </c>
      <c r="B901" s="5">
        <v>107.62</v>
      </c>
      <c r="C901" s="5">
        <v>88.72</v>
      </c>
      <c r="D901" s="5">
        <v>114.41</v>
      </c>
      <c r="E901" s="5">
        <v>277.55</v>
      </c>
      <c r="F901" s="5">
        <v>33.41</v>
      </c>
      <c r="G901" s="5">
        <v>54.61</v>
      </c>
      <c r="H901" s="5">
        <v>41.5906</v>
      </c>
      <c r="I901" s="5">
        <v>36.8861</v>
      </c>
    </row>
    <row r="902" ht="15.75" customHeight="1">
      <c r="A902" s="4">
        <v>45723.0</v>
      </c>
      <c r="B902" s="5">
        <v>109.02</v>
      </c>
      <c r="C902" s="5">
        <v>91.4</v>
      </c>
      <c r="D902" s="5">
        <v>114.32</v>
      </c>
      <c r="E902" s="5">
        <v>284.98</v>
      </c>
      <c r="F902" s="5">
        <v>33.39</v>
      </c>
      <c r="G902" s="5">
        <v>54.38</v>
      </c>
      <c r="H902" s="5">
        <v>42.3018</v>
      </c>
      <c r="I902" s="5">
        <v>37.5715</v>
      </c>
    </row>
    <row r="903" ht="15.75" customHeight="1">
      <c r="A903" s="4">
        <v>45726.0</v>
      </c>
      <c r="B903" s="5">
        <v>111.8</v>
      </c>
      <c r="C903" s="5">
        <v>92.96</v>
      </c>
      <c r="D903" s="5">
        <v>108.49</v>
      </c>
      <c r="E903" s="5">
        <v>277.61</v>
      </c>
      <c r="F903" s="5">
        <v>31.56</v>
      </c>
      <c r="G903" s="5">
        <v>54.02</v>
      </c>
      <c r="H903" s="5">
        <v>42.6163</v>
      </c>
      <c r="I903" s="5">
        <v>37.9846</v>
      </c>
    </row>
    <row r="904" ht="15.75" customHeight="1">
      <c r="A904" s="4">
        <v>45727.0</v>
      </c>
      <c r="B904" s="5">
        <v>109.16</v>
      </c>
      <c r="C904" s="5">
        <v>90.1</v>
      </c>
      <c r="D904" s="5">
        <v>114.36</v>
      </c>
      <c r="E904" s="5">
        <v>282.31</v>
      </c>
      <c r="F904" s="5">
        <v>31.89</v>
      </c>
      <c r="G904" s="5">
        <v>54.95</v>
      </c>
      <c r="H904" s="5">
        <v>42.2776</v>
      </c>
      <c r="I904" s="5">
        <v>37.6298</v>
      </c>
    </row>
    <row r="905" ht="15.75" customHeight="1">
      <c r="A905" s="4">
        <v>45728.0</v>
      </c>
      <c r="B905" s="5">
        <v>109.13</v>
      </c>
      <c r="C905" s="5">
        <v>88.68</v>
      </c>
      <c r="D905" s="5">
        <v>121.92</v>
      </c>
      <c r="E905" s="5">
        <v>292.04</v>
      </c>
      <c r="F905" s="5">
        <v>33.89</v>
      </c>
      <c r="G905" s="5">
        <v>56.3</v>
      </c>
      <c r="H905" s="5">
        <v>42.4711</v>
      </c>
      <c r="I905" s="5">
        <v>37.5132</v>
      </c>
    </row>
    <row r="906" ht="15.75" customHeight="1">
      <c r="A906" s="4">
        <v>45729.0</v>
      </c>
      <c r="B906" s="5">
        <v>108.67</v>
      </c>
      <c r="C906" s="5">
        <v>89.63</v>
      </c>
      <c r="D906" s="5">
        <v>118.0</v>
      </c>
      <c r="E906" s="5">
        <v>283.7</v>
      </c>
      <c r="F906" s="5">
        <v>33.71</v>
      </c>
      <c r="G906" s="5">
        <v>56.18</v>
      </c>
      <c r="H906" s="5">
        <v>42.1808</v>
      </c>
      <c r="I906" s="5">
        <v>37.6055</v>
      </c>
    </row>
    <row r="907" ht="15.75" customHeight="1">
      <c r="A907" s="4">
        <v>45730.0</v>
      </c>
      <c r="B907" s="5">
        <v>111.9</v>
      </c>
      <c r="C907" s="5">
        <v>90.38</v>
      </c>
      <c r="D907" s="5">
        <v>124.46</v>
      </c>
      <c r="E907" s="5">
        <v>293.61</v>
      </c>
      <c r="F907" s="5">
        <v>35.78</v>
      </c>
      <c r="G907" s="5">
        <v>57.27</v>
      </c>
      <c r="H907" s="5">
        <v>43.4292</v>
      </c>
      <c r="I907" s="5">
        <v>38.3395</v>
      </c>
    </row>
    <row r="908" ht="15.75" customHeight="1">
      <c r="A908" s="4">
        <v>45733.0</v>
      </c>
      <c r="B908" s="5">
        <v>113.76</v>
      </c>
      <c r="C908" s="5">
        <v>90.54</v>
      </c>
      <c r="D908" s="5">
        <v>126.29</v>
      </c>
      <c r="E908" s="5">
        <v>297.23</v>
      </c>
      <c r="F908" s="5">
        <v>36.18</v>
      </c>
      <c r="G908" s="5">
        <v>58.39</v>
      </c>
      <c r="H908" s="5">
        <v>44.1211</v>
      </c>
      <c r="I908" s="5">
        <v>38.5</v>
      </c>
    </row>
    <row r="909" ht="15.75" customHeight="1">
      <c r="A909" s="4">
        <v>45734.0</v>
      </c>
      <c r="B909" s="5">
        <v>113.64</v>
      </c>
      <c r="C909" s="5">
        <v>90.23</v>
      </c>
      <c r="D909" s="5">
        <v>124.46</v>
      </c>
      <c r="E909" s="5">
        <v>290.64</v>
      </c>
      <c r="F909" s="5">
        <v>33.79</v>
      </c>
      <c r="G909" s="5">
        <v>58.4</v>
      </c>
      <c r="H909" s="5">
        <v>44.1937</v>
      </c>
      <c r="I909" s="5">
        <v>38.2326</v>
      </c>
    </row>
    <row r="910" ht="15.75" customHeight="1">
      <c r="A910" s="4">
        <v>45735.0</v>
      </c>
      <c r="B910" s="5">
        <v>115.41</v>
      </c>
      <c r="C910" s="5">
        <v>89.6</v>
      </c>
      <c r="D910" s="5">
        <v>129.85</v>
      </c>
      <c r="E910" s="5">
        <v>294.56</v>
      </c>
      <c r="F910" s="5">
        <v>35.48</v>
      </c>
      <c r="G910" s="5">
        <v>59.32</v>
      </c>
      <c r="H910" s="5">
        <v>44.9146</v>
      </c>
      <c r="I910" s="5">
        <v>38.3735</v>
      </c>
    </row>
    <row r="911" ht="15.75" customHeight="1">
      <c r="A911" s="4">
        <v>45736.0</v>
      </c>
      <c r="B911" s="5">
        <v>115.9</v>
      </c>
      <c r="C911" s="5">
        <v>89.97</v>
      </c>
      <c r="D911" s="5">
        <v>131.9</v>
      </c>
      <c r="E911" s="5">
        <v>295.53</v>
      </c>
      <c r="F911" s="5">
        <v>35.53</v>
      </c>
      <c r="G911" s="5">
        <v>59.75</v>
      </c>
      <c r="H911" s="5">
        <v>45.079</v>
      </c>
      <c r="I911" s="5">
        <v>38.5292</v>
      </c>
    </row>
    <row r="912" ht="15.75" customHeight="1">
      <c r="A912" s="4">
        <v>45737.0</v>
      </c>
      <c r="B912" s="5">
        <v>115.5</v>
      </c>
      <c r="C912" s="5">
        <v>89.36</v>
      </c>
      <c r="D912" s="5">
        <v>130.58</v>
      </c>
      <c r="E912" s="5">
        <v>295.44</v>
      </c>
      <c r="F912" s="5">
        <v>36.53</v>
      </c>
      <c r="G912" s="5">
        <v>59.6</v>
      </c>
      <c r="H912" s="5">
        <v>44.7646</v>
      </c>
      <c r="I912" s="5">
        <v>38.2812</v>
      </c>
    </row>
    <row r="913" ht="15.75" customHeight="1">
      <c r="A913" s="4">
        <v>45740.0</v>
      </c>
      <c r="B913" s="5">
        <v>115.8</v>
      </c>
      <c r="C913" s="5">
        <v>88.88</v>
      </c>
      <c r="D913" s="5">
        <v>134.94</v>
      </c>
      <c r="E913" s="5">
        <v>302.84</v>
      </c>
      <c r="F913" s="5">
        <v>36.17</v>
      </c>
      <c r="G913" s="5">
        <v>61.09</v>
      </c>
      <c r="H913" s="5">
        <v>45.2748</v>
      </c>
      <c r="I913" s="5">
        <v>38.2689</v>
      </c>
    </row>
    <row r="914" ht="15.75" customHeight="1">
      <c r="A914" s="4">
        <v>45741.0</v>
      </c>
      <c r="B914" s="5">
        <v>116.59</v>
      </c>
      <c r="C914" s="5">
        <v>87.73</v>
      </c>
      <c r="D914" s="5">
        <v>131.81</v>
      </c>
      <c r="E914" s="5">
        <v>300.0</v>
      </c>
      <c r="F914" s="5">
        <v>37.67</v>
      </c>
      <c r="G914" s="5">
        <v>60.91</v>
      </c>
      <c r="H914" s="5">
        <v>45.4601</v>
      </c>
      <c r="I914" s="5">
        <v>37.657</v>
      </c>
    </row>
    <row r="915" ht="15.75" customHeight="1">
      <c r="A915" s="4">
        <v>45742.0</v>
      </c>
      <c r="B915" s="5">
        <v>118.27</v>
      </c>
      <c r="C915" s="5">
        <v>89.06</v>
      </c>
      <c r="D915" s="5">
        <v>124.01</v>
      </c>
      <c r="E915" s="5">
        <v>285.52</v>
      </c>
      <c r="F915" s="5">
        <v>37.25</v>
      </c>
      <c r="G915" s="5">
        <v>59.95</v>
      </c>
      <c r="H915" s="5">
        <v>45.7283</v>
      </c>
      <c r="I915" s="5">
        <v>37.9066</v>
      </c>
    </row>
    <row r="916" ht="15.75" customHeight="1">
      <c r="A916" s="4">
        <v>45743.0</v>
      </c>
      <c r="B916" s="5">
        <v>117.89</v>
      </c>
      <c r="C916" s="5">
        <v>90.03</v>
      </c>
      <c r="D916" s="5">
        <v>119.31</v>
      </c>
      <c r="E916" s="5">
        <v>280.91</v>
      </c>
      <c r="F916" s="5">
        <v>37.37</v>
      </c>
      <c r="G916" s="5">
        <v>59.43</v>
      </c>
      <c r="H916" s="5">
        <v>45.2846</v>
      </c>
      <c r="I916" s="5">
        <v>37.8969</v>
      </c>
    </row>
    <row r="917" ht="15.75" customHeight="1">
      <c r="A917" s="4">
        <v>45744.0</v>
      </c>
      <c r="B917" s="5">
        <v>117.73</v>
      </c>
      <c r="C917" s="5">
        <v>91.13</v>
      </c>
      <c r="D917" s="5">
        <v>119.05</v>
      </c>
      <c r="E917" s="5">
        <v>274.17</v>
      </c>
      <c r="F917" s="5">
        <v>36.0</v>
      </c>
      <c r="G917" s="5">
        <v>59.19</v>
      </c>
      <c r="H917" s="5">
        <v>45.07</v>
      </c>
      <c r="I917" s="5">
        <v>38.176</v>
      </c>
    </row>
    <row r="918" ht="15.75" customHeight="1">
      <c r="A918" s="4">
        <v>45747.0</v>
      </c>
      <c r="B918" s="5">
        <v>118.93</v>
      </c>
      <c r="C918" s="5">
        <v>91.95</v>
      </c>
      <c r="D918" s="5">
        <v>117.44</v>
      </c>
      <c r="E918" s="5">
        <v>271.83</v>
      </c>
      <c r="F918" s="5">
        <v>35.04</v>
      </c>
      <c r="G918" s="5">
        <v>59.76</v>
      </c>
      <c r="H918" s="5">
        <v>45.5673</v>
      </c>
      <c r="I918" s="5">
        <v>38.6018</v>
      </c>
    </row>
    <row r="919" ht="15.75" customHeight="1">
      <c r="A919" s="4">
        <v>45748.0</v>
      </c>
      <c r="B919" s="5">
        <v>119.04</v>
      </c>
      <c r="C919" s="5">
        <v>91.82</v>
      </c>
      <c r="D919" s="5">
        <v>122.24</v>
      </c>
      <c r="E919" s="5">
        <v>276.7</v>
      </c>
      <c r="F919" s="5">
        <v>35.5</v>
      </c>
      <c r="G919" s="5">
        <v>60.57</v>
      </c>
      <c r="H919" s="5">
        <v>45.8355</v>
      </c>
      <c r="I919" s="5">
        <v>38.6998</v>
      </c>
    </row>
    <row r="920" ht="15.75" customHeight="1">
      <c r="A920" s="4">
        <v>45749.0</v>
      </c>
      <c r="B920" s="5">
        <v>118.67</v>
      </c>
      <c r="C920" s="5">
        <v>91.3</v>
      </c>
      <c r="D920" s="5">
        <v>127.19</v>
      </c>
      <c r="E920" s="5">
        <v>283.84</v>
      </c>
      <c r="F920" s="5">
        <v>35.5</v>
      </c>
      <c r="G920" s="5">
        <v>61.6</v>
      </c>
      <c r="H920" s="5">
        <v>45.8989</v>
      </c>
      <c r="I920" s="5">
        <v>38.8809</v>
      </c>
    </row>
    <row r="921" ht="15.75" customHeight="1">
      <c r="A921" s="4">
        <v>45750.0</v>
      </c>
      <c r="B921" s="5">
        <v>112.43</v>
      </c>
      <c r="C921" s="5">
        <v>92.56</v>
      </c>
      <c r="D921" s="5">
        <v>108.21</v>
      </c>
      <c r="E921" s="5">
        <v>260.85</v>
      </c>
      <c r="F921" s="5">
        <v>33.55</v>
      </c>
      <c r="G921" s="5">
        <v>59.03</v>
      </c>
      <c r="H921" s="5">
        <v>42.2954</v>
      </c>
      <c r="I921" s="5">
        <v>38.6362</v>
      </c>
    </row>
    <row r="922" ht="15.75" customHeight="1">
      <c r="A922" s="4">
        <v>45751.0</v>
      </c>
      <c r="B922" s="5">
        <v>104.34</v>
      </c>
      <c r="C922" s="5">
        <v>88.94</v>
      </c>
      <c r="D922" s="5">
        <v>98.07</v>
      </c>
      <c r="E922" s="5">
        <v>246.52</v>
      </c>
      <c r="F922" s="5">
        <v>30.0</v>
      </c>
      <c r="G922" s="5">
        <v>54.57</v>
      </c>
      <c r="H922" s="5">
        <v>38.4043</v>
      </c>
      <c r="I922" s="5">
        <v>36.487</v>
      </c>
    </row>
    <row r="923" ht="15.75" customHeight="1">
      <c r="A923" s="4">
        <v>45754.0</v>
      </c>
      <c r="B923" s="5">
        <v>102.94</v>
      </c>
      <c r="C923" s="5">
        <v>87.22</v>
      </c>
      <c r="D923" s="5">
        <v>102.69</v>
      </c>
      <c r="E923" s="5">
        <v>252.45</v>
      </c>
      <c r="F923" s="5">
        <v>28.49</v>
      </c>
      <c r="G923" s="5">
        <v>54.85</v>
      </c>
      <c r="H923" s="5">
        <v>38.1557</v>
      </c>
      <c r="I923" s="5">
        <v>35.9288</v>
      </c>
    </row>
    <row r="924" ht="15.75" customHeight="1">
      <c r="A924" s="4">
        <v>45755.0</v>
      </c>
      <c r="B924" s="5">
        <v>100.77</v>
      </c>
      <c r="C924" s="5">
        <v>86.86</v>
      </c>
      <c r="D924" s="5">
        <v>102.19</v>
      </c>
      <c r="E924" s="5">
        <v>251.5</v>
      </c>
      <c r="F924" s="5">
        <v>27.16</v>
      </c>
      <c r="G924" s="5">
        <v>54.33</v>
      </c>
      <c r="H924" s="5">
        <v>37.2732</v>
      </c>
      <c r="I924" s="5">
        <v>35.782</v>
      </c>
    </row>
    <row r="925" ht="15.75" customHeight="1">
      <c r="A925" s="4">
        <v>45756.0</v>
      </c>
      <c r="B925" s="5">
        <v>105.8</v>
      </c>
      <c r="C925" s="5">
        <v>87.8</v>
      </c>
      <c r="D925" s="5">
        <v>118.02</v>
      </c>
      <c r="E925" s="5">
        <v>283.59</v>
      </c>
      <c r="F925" s="5">
        <v>29.59</v>
      </c>
      <c r="G925" s="5">
        <v>56.42</v>
      </c>
      <c r="H925" s="5">
        <v>40.1597</v>
      </c>
      <c r="I925" s="5">
        <v>37.192</v>
      </c>
    </row>
    <row r="926" ht="15.75" customHeight="1">
      <c r="A926" s="4">
        <v>45757.0</v>
      </c>
      <c r="B926" s="5">
        <v>99.93</v>
      </c>
      <c r="C926" s="5">
        <v>88.89</v>
      </c>
      <c r="D926" s="5">
        <v>109.26</v>
      </c>
      <c r="E926" s="5">
        <v>270.72</v>
      </c>
      <c r="F926" s="5">
        <v>27.58</v>
      </c>
      <c r="G926" s="5">
        <v>55.07</v>
      </c>
      <c r="H926" s="5">
        <v>37.5364</v>
      </c>
      <c r="I926" s="5">
        <v>36.9129</v>
      </c>
    </row>
    <row r="927" ht="15.75" customHeight="1">
      <c r="A927" s="4">
        <v>45758.0</v>
      </c>
      <c r="B927" s="5">
        <v>103.14</v>
      </c>
      <c r="C927" s="5">
        <v>89.86</v>
      </c>
      <c r="D927" s="5">
        <v>111.71</v>
      </c>
      <c r="E927" s="5">
        <v>277.53</v>
      </c>
      <c r="F927" s="5">
        <v>30.03</v>
      </c>
      <c r="G927" s="5">
        <v>56.39</v>
      </c>
      <c r="H927" s="5">
        <v>38.4677</v>
      </c>
      <c r="I927" s="5">
        <v>37.3633</v>
      </c>
    </row>
    <row r="928" ht="15.75" customHeight="1">
      <c r="A928" s="4">
        <v>45761.0</v>
      </c>
      <c r="B928" s="5">
        <v>103.39</v>
      </c>
      <c r="C928" s="5">
        <v>91.16</v>
      </c>
      <c r="D928" s="5">
        <v>112.69</v>
      </c>
      <c r="E928" s="5">
        <v>277.83</v>
      </c>
      <c r="F928" s="5">
        <v>33.13</v>
      </c>
      <c r="G928" s="5">
        <v>57.36</v>
      </c>
      <c r="H928" s="5">
        <v>38.6043</v>
      </c>
      <c r="I928" s="5">
        <v>38.034</v>
      </c>
    </row>
    <row r="929" ht="15.75" customHeight="1">
      <c r="A929" s="4">
        <v>45762.0</v>
      </c>
      <c r="B929" s="5">
        <v>103.1</v>
      </c>
      <c r="C929" s="5">
        <v>91.02</v>
      </c>
      <c r="D929" s="5">
        <v>115.75</v>
      </c>
      <c r="E929" s="5">
        <v>277.12</v>
      </c>
      <c r="F929" s="5">
        <v>31.84</v>
      </c>
      <c r="G929" s="5">
        <v>58.54</v>
      </c>
      <c r="H929" s="5">
        <v>38.5458</v>
      </c>
      <c r="I929" s="5">
        <v>38.0291</v>
      </c>
    </row>
    <row r="930" ht="15.75" customHeight="1">
      <c r="A930" s="4">
        <v>45763.0</v>
      </c>
      <c r="B930" s="5">
        <v>104.19</v>
      </c>
      <c r="C930" s="5">
        <v>90.47</v>
      </c>
      <c r="D930" s="5">
        <v>115.87</v>
      </c>
      <c r="E930" s="5">
        <v>269.16</v>
      </c>
      <c r="F930" s="5">
        <v>32.49</v>
      </c>
      <c r="G930" s="5">
        <v>58.26</v>
      </c>
      <c r="H930" s="5">
        <v>38.8627</v>
      </c>
      <c r="I930" s="5">
        <v>37.6864</v>
      </c>
    </row>
    <row r="931" ht="15.75" customHeight="1">
      <c r="A931" s="4">
        <v>45764.0</v>
      </c>
      <c r="B931" s="5">
        <v>106.92</v>
      </c>
      <c r="C931" s="5">
        <v>91.81</v>
      </c>
      <c r="D931" s="5">
        <v>115.42</v>
      </c>
      <c r="E931" s="5">
        <v>268.32</v>
      </c>
      <c r="F931" s="5">
        <v>33.08</v>
      </c>
      <c r="G931" s="5">
        <v>58.62</v>
      </c>
      <c r="H931" s="5">
        <v>39.7404</v>
      </c>
      <c r="I931" s="5">
        <v>38.0732</v>
      </c>
    </row>
    <row r="932" ht="15.75" customHeight="1">
      <c r="A932" s="4">
        <v>45768.0</v>
      </c>
      <c r="B932" s="5">
        <v>105.35</v>
      </c>
      <c r="C932" s="5">
        <v>90.23</v>
      </c>
      <c r="D932" s="5">
        <v>106.52</v>
      </c>
      <c r="E932" s="5">
        <v>259.47</v>
      </c>
      <c r="F932" s="5">
        <v>31.82</v>
      </c>
      <c r="G932" s="5">
        <v>56.44</v>
      </c>
      <c r="H932" s="5">
        <v>38.7018</v>
      </c>
      <c r="I932" s="5">
        <v>37.1723</v>
      </c>
    </row>
    <row r="933" ht="15.75" customHeight="1">
      <c r="A933" s="4">
        <v>45769.0</v>
      </c>
      <c r="B933" s="5">
        <v>108.3</v>
      </c>
      <c r="C933" s="5">
        <v>91.86</v>
      </c>
      <c r="D933" s="5">
        <v>112.63</v>
      </c>
      <c r="E933" s="5">
        <v>266.91</v>
      </c>
      <c r="F933" s="5">
        <v>33.0</v>
      </c>
      <c r="G933" s="5">
        <v>58.2</v>
      </c>
      <c r="H933" s="5">
        <v>39.6867</v>
      </c>
      <c r="I933" s="5">
        <v>38.1857</v>
      </c>
    </row>
    <row r="934" ht="15.75" customHeight="1">
      <c r="A934" s="4">
        <v>45770.0</v>
      </c>
      <c r="B934" s="5">
        <v>107.37</v>
      </c>
      <c r="C934" s="5">
        <v>91.13</v>
      </c>
      <c r="D934" s="5">
        <v>120.0</v>
      </c>
      <c r="E934" s="5">
        <v>275.66</v>
      </c>
      <c r="F934" s="5">
        <v>32.65</v>
      </c>
      <c r="G934" s="5">
        <v>58.48</v>
      </c>
      <c r="H934" s="5">
        <v>39.6136</v>
      </c>
      <c r="I934" s="5">
        <v>38.3472</v>
      </c>
    </row>
    <row r="935" ht="15.75" customHeight="1">
      <c r="A935" s="4">
        <v>45771.0</v>
      </c>
      <c r="B935" s="5">
        <v>108.63</v>
      </c>
      <c r="C935" s="5">
        <v>91.05</v>
      </c>
      <c r="D935" s="5">
        <v>124.23</v>
      </c>
      <c r="E935" s="5">
        <v>287.02</v>
      </c>
      <c r="F935" s="5">
        <v>32.24</v>
      </c>
      <c r="G935" s="5">
        <v>59.61</v>
      </c>
      <c r="H935" s="5">
        <v>40.2475</v>
      </c>
      <c r="I935" s="5">
        <v>38.4061</v>
      </c>
    </row>
    <row r="936" ht="15.75" customHeight="1">
      <c r="A936" s="4">
        <v>45772.0</v>
      </c>
      <c r="B936" s="5">
        <v>108.57</v>
      </c>
      <c r="C936" s="5">
        <v>90.43</v>
      </c>
      <c r="D936" s="5">
        <v>126.64</v>
      </c>
      <c r="E936" s="5">
        <v>288.82</v>
      </c>
      <c r="F936" s="5">
        <v>32.0</v>
      </c>
      <c r="G936" s="5">
        <v>59.03</v>
      </c>
      <c r="H936" s="5">
        <v>40.1743</v>
      </c>
      <c r="I936" s="5">
        <v>38.2886</v>
      </c>
    </row>
    <row r="937" ht="15.75" customHeight="1">
      <c r="A937" s="4">
        <v>45775.0</v>
      </c>
      <c r="B937" s="5">
        <v>108.63</v>
      </c>
      <c r="C937" s="5">
        <v>90.75</v>
      </c>
      <c r="D937" s="5">
        <v>129.62</v>
      </c>
      <c r="E937" s="5">
        <v>287.74</v>
      </c>
      <c r="F937" s="5">
        <v>31.45</v>
      </c>
      <c r="G937" s="5">
        <v>59.66</v>
      </c>
      <c r="H937" s="5">
        <v>40.4572</v>
      </c>
      <c r="I937" s="5">
        <v>38.5236</v>
      </c>
    </row>
    <row r="938" ht="15.75" customHeight="1">
      <c r="A938" s="4">
        <v>45776.0</v>
      </c>
      <c r="B938" s="5">
        <v>108.36</v>
      </c>
      <c r="C938" s="5">
        <v>91.45</v>
      </c>
      <c r="D938" s="5">
        <v>129.33</v>
      </c>
      <c r="E938" s="5">
        <v>290.69</v>
      </c>
      <c r="F938" s="5">
        <v>31.13</v>
      </c>
      <c r="G938" s="5">
        <v>59.67</v>
      </c>
      <c r="H938" s="5">
        <v>40.3401</v>
      </c>
      <c r="I938" s="5">
        <v>38.8222</v>
      </c>
    </row>
    <row r="939" ht="15.75" customHeight="1">
      <c r="A939" s="4">
        <v>45777.0</v>
      </c>
      <c r="B939" s="5">
        <v>105.63</v>
      </c>
      <c r="C939" s="5">
        <v>91.89</v>
      </c>
      <c r="D939" s="5">
        <v>129.63</v>
      </c>
      <c r="E939" s="5">
        <v>294.37</v>
      </c>
      <c r="F939" s="5">
        <v>29.8</v>
      </c>
      <c r="G939" s="5">
        <v>58.57</v>
      </c>
      <c r="H939" s="5">
        <v>39.2528</v>
      </c>
      <c r="I939" s="5">
        <v>38.6264</v>
      </c>
    </row>
    <row r="940" ht="15.75" customHeight="1">
      <c r="A940" s="4">
        <v>45778.0</v>
      </c>
      <c r="B940" s="5">
        <v>105.78</v>
      </c>
      <c r="C940" s="5">
        <v>91.46</v>
      </c>
      <c r="D940" s="5">
        <v>137.3</v>
      </c>
      <c r="E940" s="5">
        <v>301.66</v>
      </c>
      <c r="F940" s="5">
        <v>29.24</v>
      </c>
      <c r="G940" s="5">
        <v>58.8</v>
      </c>
      <c r="H940" s="5">
        <v>39.3991</v>
      </c>
      <c r="I940" s="5">
        <v>38.739</v>
      </c>
    </row>
    <row r="941" ht="15.75" customHeight="1">
      <c r="A941" s="4">
        <v>45779.0</v>
      </c>
      <c r="B941" s="5">
        <v>106.21</v>
      </c>
      <c r="C941" s="5">
        <v>91.05</v>
      </c>
      <c r="D941" s="5">
        <v>139.28</v>
      </c>
      <c r="E941" s="5">
        <v>299.71</v>
      </c>
      <c r="F941" s="5">
        <v>29.09</v>
      </c>
      <c r="G941" s="5">
        <v>60.0</v>
      </c>
      <c r="H941" s="5">
        <v>39.9744</v>
      </c>
      <c r="I941" s="5">
        <v>39.0425</v>
      </c>
    </row>
    <row r="942" ht="15.75" customHeight="1">
      <c r="A942" s="4">
        <v>45782.0</v>
      </c>
      <c r="B942" s="5">
        <v>103.27</v>
      </c>
      <c r="C942" s="5">
        <v>91.05</v>
      </c>
      <c r="D942" s="5">
        <v>140.0</v>
      </c>
      <c r="E942" s="5">
        <v>298.58</v>
      </c>
      <c r="F942" s="5">
        <v>28.1</v>
      </c>
      <c r="G942" s="5">
        <v>60.17</v>
      </c>
      <c r="H942" s="5">
        <v>39.2528</v>
      </c>
      <c r="I942" s="5">
        <v>38.9445</v>
      </c>
    </row>
    <row r="943" ht="15.75" customHeight="1">
      <c r="A943" s="4">
        <v>45783.0</v>
      </c>
      <c r="B943" s="5">
        <v>104.71</v>
      </c>
      <c r="C943" s="5">
        <v>91.22</v>
      </c>
      <c r="D943" s="5">
        <v>144.8</v>
      </c>
      <c r="E943" s="5">
        <v>298.11</v>
      </c>
      <c r="F943" s="5">
        <v>30.18</v>
      </c>
      <c r="G943" s="5">
        <v>58.7</v>
      </c>
      <c r="H943" s="5">
        <v>39.2625</v>
      </c>
      <c r="I943" s="5">
        <v>39.4195</v>
      </c>
    </row>
    <row r="944" ht="15.75" customHeight="1">
      <c r="A944" s="4">
        <v>45784.0</v>
      </c>
      <c r="B944" s="5">
        <v>104.61</v>
      </c>
      <c r="C944" s="5">
        <v>92.11</v>
      </c>
      <c r="D944" s="5">
        <v>139.5</v>
      </c>
      <c r="E944" s="5">
        <v>302.2</v>
      </c>
      <c r="F944" s="5">
        <v>30.27</v>
      </c>
      <c r="G944" s="5">
        <v>58.94</v>
      </c>
      <c r="H944" s="5">
        <v>39.2772</v>
      </c>
      <c r="I944" s="5">
        <v>39.532</v>
      </c>
    </row>
    <row r="945" ht="15.75" customHeight="1">
      <c r="A945" s="4">
        <v>45785.0</v>
      </c>
      <c r="B945" s="5">
        <v>106.07</v>
      </c>
      <c r="C945" s="5">
        <v>90.31</v>
      </c>
      <c r="D945" s="5">
        <v>140.91</v>
      </c>
      <c r="E945" s="5">
        <v>307.04</v>
      </c>
      <c r="F945" s="5">
        <v>30.84</v>
      </c>
      <c r="G945" s="5">
        <v>57.06</v>
      </c>
      <c r="H945" s="5">
        <v>39.794</v>
      </c>
      <c r="I945" s="5">
        <v>39.2138</v>
      </c>
    </row>
    <row r="946" ht="15.75" customHeight="1">
      <c r="A946" s="4">
        <v>45786.0</v>
      </c>
      <c r="B946" s="5">
        <v>107.31</v>
      </c>
      <c r="C946" s="5">
        <v>90.35</v>
      </c>
      <c r="D946" s="5">
        <v>135.75</v>
      </c>
      <c r="E946" s="5">
        <v>309.87</v>
      </c>
      <c r="F946" s="5">
        <v>32.7</v>
      </c>
      <c r="G946" s="5">
        <v>57.66</v>
      </c>
      <c r="H946" s="5">
        <v>40.1939</v>
      </c>
      <c r="I946" s="5">
        <v>39.2823</v>
      </c>
    </row>
    <row r="947" ht="15.75" customHeight="1">
      <c r="A947" s="4">
        <v>45789.0</v>
      </c>
      <c r="B947" s="5">
        <v>109.16</v>
      </c>
      <c r="C947" s="5">
        <v>87.78</v>
      </c>
      <c r="D947" s="5">
        <v>146.09</v>
      </c>
      <c r="E947" s="5">
        <v>322.09</v>
      </c>
      <c r="F947" s="5">
        <v>35.53</v>
      </c>
      <c r="G947" s="5">
        <v>57.13</v>
      </c>
      <c r="H947" s="5">
        <v>41.2423</v>
      </c>
      <c r="I947" s="5">
        <v>39.0473</v>
      </c>
    </row>
    <row r="948" ht="15.75" customHeight="1">
      <c r="A948" s="4">
        <v>45790.0</v>
      </c>
      <c r="B948" s="5">
        <v>109.46</v>
      </c>
      <c r="C948" s="5">
        <v>85.57</v>
      </c>
      <c r="D948" s="5">
        <v>155.0</v>
      </c>
      <c r="E948" s="5">
        <v>330.75</v>
      </c>
      <c r="F948" s="5">
        <v>35.91</v>
      </c>
      <c r="G948" s="5">
        <v>58.07</v>
      </c>
      <c r="H948" s="5">
        <v>41.8225</v>
      </c>
      <c r="I948" s="5">
        <v>38.9936</v>
      </c>
    </row>
    <row r="949" ht="15.75" customHeight="1">
      <c r="A949" s="4">
        <v>45791.0</v>
      </c>
      <c r="B949" s="5">
        <v>108.48</v>
      </c>
      <c r="C949" s="5">
        <v>84.91</v>
      </c>
      <c r="D949" s="5">
        <v>154.72</v>
      </c>
      <c r="E949" s="5">
        <v>329.09</v>
      </c>
      <c r="F949" s="5">
        <v>36.24</v>
      </c>
      <c r="G949" s="5">
        <v>58.2</v>
      </c>
      <c r="H949" s="5">
        <v>41.5689</v>
      </c>
      <c r="I949" s="5">
        <v>38.8222</v>
      </c>
    </row>
    <row r="950" ht="15.75" customHeight="1">
      <c r="A950" s="4">
        <v>45792.0</v>
      </c>
      <c r="B950" s="5">
        <v>108.58</v>
      </c>
      <c r="C950" s="5">
        <v>87.38</v>
      </c>
      <c r="D950" s="5">
        <v>152.06</v>
      </c>
      <c r="E950" s="5">
        <v>326.82</v>
      </c>
      <c r="F950" s="5">
        <v>35.77</v>
      </c>
      <c r="G950" s="5">
        <v>58.77</v>
      </c>
      <c r="H950" s="5">
        <v>41.7444</v>
      </c>
      <c r="I950" s="5">
        <v>39.6496</v>
      </c>
    </row>
    <row r="951" ht="15.75" customHeight="1">
      <c r="A951" s="4">
        <v>45793.0</v>
      </c>
      <c r="B951" s="5">
        <v>108.19</v>
      </c>
      <c r="C951" s="5">
        <v>88.71</v>
      </c>
      <c r="D951" s="5">
        <v>156.62</v>
      </c>
      <c r="E951" s="5">
        <v>329.07</v>
      </c>
      <c r="F951" s="5">
        <v>35.88</v>
      </c>
      <c r="G951" s="5">
        <v>58.79</v>
      </c>
      <c r="H951" s="5">
        <v>41.6811</v>
      </c>
      <c r="I951" s="5">
        <v>40.2321</v>
      </c>
    </row>
    <row r="952" ht="15.75" customHeight="1">
      <c r="A952" s="4">
        <v>45796.0</v>
      </c>
      <c r="B952" s="5">
        <v>106.47</v>
      </c>
      <c r="C952" s="5">
        <v>89.48</v>
      </c>
      <c r="D952" s="5">
        <v>157.32</v>
      </c>
      <c r="E952" s="5">
        <v>329.29</v>
      </c>
      <c r="F952" s="5">
        <v>36.91</v>
      </c>
      <c r="G952" s="5">
        <v>58.54</v>
      </c>
      <c r="H952" s="5">
        <v>41.1399</v>
      </c>
      <c r="I952" s="5">
        <v>40.4035</v>
      </c>
    </row>
    <row r="953" ht="15.75" customHeight="1">
      <c r="A953" s="4">
        <v>45797.0</v>
      </c>
      <c r="B953" s="5">
        <v>104.95</v>
      </c>
      <c r="C953" s="5">
        <v>90.83</v>
      </c>
      <c r="D953" s="5">
        <v>157.03</v>
      </c>
      <c r="E953" s="5">
        <v>328.25</v>
      </c>
      <c r="F953" s="5">
        <v>36.5</v>
      </c>
      <c r="G953" s="5">
        <v>58.77</v>
      </c>
      <c r="H953" s="5">
        <v>40.7595</v>
      </c>
      <c r="I953" s="5">
        <v>40.521</v>
      </c>
    </row>
    <row r="954" ht="15.75" customHeight="1">
      <c r="A954" s="4">
        <v>45798.0</v>
      </c>
      <c r="B954" s="5">
        <v>103.66</v>
      </c>
      <c r="C954" s="5">
        <v>89.66</v>
      </c>
      <c r="D954" s="5">
        <v>152.07</v>
      </c>
      <c r="E954" s="5">
        <v>322.33</v>
      </c>
      <c r="F954" s="5">
        <v>35.93</v>
      </c>
      <c r="G954" s="5">
        <v>57.93</v>
      </c>
      <c r="H954" s="5">
        <v>40.0085</v>
      </c>
      <c r="I954" s="5">
        <v>39.7817</v>
      </c>
    </row>
    <row r="955" ht="15.75" customHeight="1">
      <c r="A955" s="4">
        <v>45799.0</v>
      </c>
      <c r="B955" s="5">
        <v>102.97</v>
      </c>
      <c r="C955" s="5">
        <v>88.84</v>
      </c>
      <c r="D955" s="5">
        <v>154.72</v>
      </c>
      <c r="E955" s="5">
        <v>321.07</v>
      </c>
      <c r="F955" s="5">
        <v>36.12</v>
      </c>
      <c r="G955" s="5">
        <v>57.75</v>
      </c>
      <c r="H955" s="5">
        <v>39.8526</v>
      </c>
      <c r="I955" s="5">
        <v>39.2138</v>
      </c>
    </row>
    <row r="956" ht="15.75" customHeight="1">
      <c r="A956" s="4">
        <v>45800.0</v>
      </c>
      <c r="B956" s="5">
        <v>103.03</v>
      </c>
      <c r="C956" s="5">
        <v>89.64</v>
      </c>
      <c r="D956" s="5">
        <v>158.16</v>
      </c>
      <c r="E956" s="5">
        <v>321.06</v>
      </c>
      <c r="F956" s="5">
        <v>36.52</v>
      </c>
      <c r="G956" s="5">
        <v>58.99</v>
      </c>
      <c r="H956" s="5">
        <v>39.9794</v>
      </c>
      <c r="I956" s="5">
        <v>39.6838</v>
      </c>
    </row>
    <row r="957" ht="15.75" customHeight="1">
      <c r="A957" s="4">
        <v>45804.0</v>
      </c>
      <c r="B957" s="5">
        <v>103.52</v>
      </c>
      <c r="C957" s="5">
        <v>89.92</v>
      </c>
      <c r="D957" s="5">
        <v>163.86</v>
      </c>
      <c r="E957" s="5">
        <v>328.16</v>
      </c>
      <c r="F957" s="5">
        <v>36.57</v>
      </c>
      <c r="G957" s="5">
        <v>60.1</v>
      </c>
      <c r="H957" s="5">
        <v>40.3254</v>
      </c>
      <c r="I957" s="5">
        <v>39.9825</v>
      </c>
    </row>
    <row r="958" ht="15.75" customHeight="1">
      <c r="A958" s="4">
        <v>45805.0</v>
      </c>
      <c r="B958" s="5">
        <v>102.11</v>
      </c>
      <c r="C958" s="5">
        <v>88.22</v>
      </c>
      <c r="D958" s="5">
        <v>162.36</v>
      </c>
      <c r="E958" s="5">
        <v>325.67</v>
      </c>
      <c r="F958" s="5">
        <v>36.96</v>
      </c>
      <c r="G958" s="5">
        <v>60.62</v>
      </c>
      <c r="H958" s="5">
        <v>39.8135</v>
      </c>
      <c r="I958" s="5">
        <v>39.4242</v>
      </c>
    </row>
    <row r="959" ht="15.75" customHeight="1">
      <c r="A959" s="4">
        <v>45806.0</v>
      </c>
      <c r="B959" s="5">
        <v>102.69</v>
      </c>
      <c r="C959" s="5">
        <v>88.75</v>
      </c>
      <c r="D959" s="5">
        <v>159.73</v>
      </c>
      <c r="E959" s="5">
        <v>324.81</v>
      </c>
      <c r="F959" s="5">
        <v>36.26</v>
      </c>
      <c r="G959" s="5">
        <v>60.27</v>
      </c>
      <c r="H959" s="5">
        <v>40.111</v>
      </c>
      <c r="I959" s="5">
        <v>39.6985</v>
      </c>
    </row>
    <row r="960" ht="15.75" customHeight="1">
      <c r="A960" s="4">
        <v>45807.0</v>
      </c>
      <c r="B960" s="5">
        <v>102.3</v>
      </c>
      <c r="C960" s="5">
        <v>90.0</v>
      </c>
      <c r="D960" s="5">
        <v>160.57</v>
      </c>
      <c r="E960" s="5">
        <v>320.2</v>
      </c>
      <c r="F960" s="5">
        <v>35.38</v>
      </c>
      <c r="G960" s="5">
        <v>60.51</v>
      </c>
      <c r="H960" s="5">
        <v>39.7551</v>
      </c>
      <c r="I960" s="5">
        <v>40.1047</v>
      </c>
    </row>
    <row r="961" ht="15.75" customHeight="1">
      <c r="A961" s="4">
        <v>45810.0</v>
      </c>
      <c r="B961" s="5">
        <v>103.05</v>
      </c>
      <c r="C961" s="5">
        <v>89.94</v>
      </c>
      <c r="D961" s="5">
        <v>167.47</v>
      </c>
      <c r="E961" s="5">
        <v>318.86</v>
      </c>
      <c r="F961" s="5">
        <v>34.62</v>
      </c>
      <c r="G961" s="5">
        <v>61.27</v>
      </c>
      <c r="H961" s="5">
        <v>40.2767</v>
      </c>
      <c r="I961" s="5">
        <v>40.2321</v>
      </c>
    </row>
    <row r="962" ht="15.75" customHeight="1">
      <c r="A962" s="4">
        <v>45811.0</v>
      </c>
      <c r="B962" s="5">
        <v>103.8</v>
      </c>
      <c r="C962" s="5">
        <v>89.59</v>
      </c>
      <c r="D962" s="5">
        <v>176.0</v>
      </c>
      <c r="E962" s="5">
        <v>325.84</v>
      </c>
      <c r="F962" s="5">
        <v>35.32</v>
      </c>
      <c r="G962" s="5">
        <v>61.11</v>
      </c>
      <c r="H962" s="5">
        <v>40.7546</v>
      </c>
      <c r="I962" s="5">
        <v>40.3398</v>
      </c>
    </row>
    <row r="963" ht="15.75" customHeight="1">
      <c r="A963" s="4">
        <v>45812.0</v>
      </c>
      <c r="B963" s="5">
        <v>102.3</v>
      </c>
      <c r="C963" s="5">
        <v>88.29</v>
      </c>
      <c r="D963" s="5">
        <v>172.69</v>
      </c>
      <c r="E963" s="5">
        <v>327.08</v>
      </c>
      <c r="F963" s="5">
        <v>33.61</v>
      </c>
      <c r="G963" s="5">
        <v>60.12</v>
      </c>
      <c r="H963" s="5">
        <v>39.9598</v>
      </c>
      <c r="I963" s="5">
        <v>39.6349</v>
      </c>
    </row>
    <row r="964" ht="15.75" customHeight="1">
      <c r="A964" s="4">
        <v>45813.0</v>
      </c>
      <c r="B964" s="5">
        <v>101.83</v>
      </c>
      <c r="C964" s="5">
        <v>88.38</v>
      </c>
      <c r="D964" s="5">
        <v>170.87</v>
      </c>
      <c r="E964" s="5">
        <v>326.48</v>
      </c>
      <c r="F964" s="5">
        <v>33.88</v>
      </c>
      <c r="G964" s="5">
        <v>60.56</v>
      </c>
      <c r="H964" s="5">
        <v>39.9208</v>
      </c>
      <c r="I964" s="5">
        <v>39.5711</v>
      </c>
    </row>
    <row r="965" ht="15.75" customHeight="1">
      <c r="A965" s="4">
        <v>45814.0</v>
      </c>
      <c r="B965" s="5">
        <v>104.27</v>
      </c>
      <c r="C965" s="5">
        <v>88.26</v>
      </c>
      <c r="D965" s="5">
        <v>173.62</v>
      </c>
      <c r="E965" s="5">
        <v>331.45</v>
      </c>
      <c r="F965" s="5">
        <v>34.27</v>
      </c>
      <c r="G965" s="5">
        <v>60.56</v>
      </c>
      <c r="H965" s="5">
        <v>40.6717</v>
      </c>
      <c r="I965" s="5">
        <v>39.7474</v>
      </c>
    </row>
    <row r="966" ht="15.75" customHeight="1">
      <c r="A966" s="4">
        <v>45817.0</v>
      </c>
      <c r="B966" s="5">
        <v>104.97</v>
      </c>
      <c r="C966" s="5">
        <v>88.5</v>
      </c>
      <c r="D966" s="5">
        <v>169.37</v>
      </c>
      <c r="E966" s="5">
        <v>325.81</v>
      </c>
      <c r="F966" s="5">
        <v>33.71</v>
      </c>
      <c r="G966" s="5">
        <v>59.66</v>
      </c>
      <c r="H966" s="5">
        <v>40.7497</v>
      </c>
      <c r="I966" s="5">
        <v>39.4929</v>
      </c>
    </row>
    <row r="967" ht="15.75" customHeight="1">
      <c r="A967" s="4">
        <v>45818.0</v>
      </c>
      <c r="B967" s="5">
        <v>107.22</v>
      </c>
      <c r="C967" s="5">
        <v>89.3</v>
      </c>
      <c r="D967" s="5">
        <v>164.65</v>
      </c>
      <c r="E967" s="5">
        <v>324.24</v>
      </c>
      <c r="F967" s="5">
        <v>36.29</v>
      </c>
      <c r="G967" s="5">
        <v>58.96</v>
      </c>
      <c r="H967" s="5">
        <v>41.4762</v>
      </c>
      <c r="I967" s="5">
        <v>39.5858</v>
      </c>
    </row>
    <row r="968" ht="15.75" customHeight="1">
      <c r="A968" s="4">
        <v>45819.0</v>
      </c>
      <c r="B968" s="5">
        <v>109.31</v>
      </c>
      <c r="C968" s="5">
        <v>89.55</v>
      </c>
      <c r="D968" s="5">
        <v>166.79</v>
      </c>
      <c r="E968" s="5">
        <v>325.71</v>
      </c>
      <c r="F968" s="5">
        <v>35.92</v>
      </c>
      <c r="G968" s="5">
        <v>59.42</v>
      </c>
      <c r="H968" s="5">
        <v>42.0761</v>
      </c>
      <c r="I968" s="5">
        <v>39.6103</v>
      </c>
    </row>
    <row r="969" ht="15.75" customHeight="1">
      <c r="A969" s="4">
        <v>45820.0</v>
      </c>
      <c r="B969" s="5">
        <v>109.73</v>
      </c>
      <c r="C969" s="5">
        <v>90.36</v>
      </c>
      <c r="D969" s="5">
        <v>173.87</v>
      </c>
      <c r="E969" s="5">
        <v>330.34</v>
      </c>
      <c r="F969" s="5">
        <v>36.21</v>
      </c>
      <c r="G969" s="5">
        <v>60.08</v>
      </c>
      <c r="H969" s="5">
        <v>42.2223</v>
      </c>
      <c r="I969" s="5">
        <v>40.0901</v>
      </c>
    </row>
    <row r="970" ht="15.75" customHeight="1">
      <c r="A970" s="4">
        <v>45821.0</v>
      </c>
      <c r="B970" s="5">
        <v>112.12</v>
      </c>
      <c r="C970" s="5">
        <v>90.35</v>
      </c>
      <c r="D970" s="5">
        <v>173.75</v>
      </c>
      <c r="E970" s="5">
        <v>323.66</v>
      </c>
      <c r="F970" s="5">
        <v>36.29</v>
      </c>
      <c r="G970" s="5">
        <v>59.78</v>
      </c>
      <c r="H970" s="5">
        <v>42.9586</v>
      </c>
      <c r="I970" s="5">
        <v>39.86</v>
      </c>
    </row>
    <row r="971" ht="15.75" customHeight="1">
      <c r="A971" s="4">
        <v>45824.0</v>
      </c>
      <c r="B971" s="5">
        <v>112.48</v>
      </c>
      <c r="C971" s="5">
        <v>88.94</v>
      </c>
      <c r="D971" s="5">
        <v>177.2</v>
      </c>
      <c r="E971" s="5">
        <v>338.01</v>
      </c>
      <c r="F971" s="5">
        <v>35.48</v>
      </c>
      <c r="G971" s="5">
        <v>59.15</v>
      </c>
      <c r="H971" s="5">
        <v>42.8319</v>
      </c>
      <c r="I971" s="5">
        <v>39.6642</v>
      </c>
    </row>
    <row r="972" ht="15.75" customHeight="1">
      <c r="A972" s="4">
        <v>45825.0</v>
      </c>
      <c r="B972" s="5">
        <v>114.0</v>
      </c>
      <c r="C972" s="5">
        <v>88.42</v>
      </c>
      <c r="D972" s="5">
        <v>177.75</v>
      </c>
      <c r="E972" s="5">
        <v>330.51</v>
      </c>
      <c r="F972" s="5">
        <v>35.43</v>
      </c>
      <c r="G972" s="5">
        <v>58.5</v>
      </c>
      <c r="H972" s="5">
        <v>43.2317</v>
      </c>
      <c r="I972" s="5">
        <v>39.3362</v>
      </c>
    </row>
    <row r="973" ht="15.75" customHeight="1">
      <c r="A973" s="4">
        <v>45826.0</v>
      </c>
      <c r="B973" s="5">
        <v>113.19</v>
      </c>
      <c r="C973" s="5">
        <v>88.63</v>
      </c>
      <c r="D973" s="5">
        <v>181.13</v>
      </c>
      <c r="E973" s="5">
        <v>334.86</v>
      </c>
      <c r="F973" s="5">
        <v>35.28</v>
      </c>
      <c r="G973" s="5">
        <v>59.12</v>
      </c>
      <c r="H973" s="5">
        <v>42.9489</v>
      </c>
      <c r="I973" s="5">
        <v>39.4389</v>
      </c>
    </row>
    <row r="974" ht="15.75" customHeight="1">
      <c r="A974" s="4">
        <v>45828.0</v>
      </c>
      <c r="B974" s="5">
        <v>114.7</v>
      </c>
      <c r="C974" s="5">
        <v>89.3</v>
      </c>
      <c r="D974" s="5">
        <v>185.1</v>
      </c>
      <c r="E974" s="5">
        <v>331.23</v>
      </c>
      <c r="F974" s="5">
        <v>34.68</v>
      </c>
      <c r="G974" s="5">
        <v>60.49</v>
      </c>
      <c r="H974" s="5">
        <v>43.3877</v>
      </c>
      <c r="I974" s="5">
        <v>39.5467</v>
      </c>
    </row>
    <row r="975" ht="15.75" customHeight="1">
      <c r="A975" s="4">
        <v>45831.0</v>
      </c>
      <c r="B975" s="5">
        <v>111.74</v>
      </c>
      <c r="C975" s="5">
        <v>90.67</v>
      </c>
      <c r="D975" s="5">
        <v>186.55</v>
      </c>
      <c r="E975" s="5">
        <v>332.95</v>
      </c>
      <c r="F975" s="5">
        <v>33.79</v>
      </c>
      <c r="G975" s="5">
        <v>60.48</v>
      </c>
      <c r="H975" s="5">
        <v>42.2907</v>
      </c>
      <c r="I975" s="5">
        <v>40.0483</v>
      </c>
    </row>
    <row r="976" ht="15.75" customHeight="1">
      <c r="A976" s="4">
        <v>45832.0</v>
      </c>
      <c r="B976" s="5">
        <v>108.34</v>
      </c>
      <c r="C976" s="5">
        <v>90.89</v>
      </c>
      <c r="D976" s="5">
        <v>186.17</v>
      </c>
      <c r="E976" s="5">
        <v>343.26</v>
      </c>
      <c r="F976" s="5">
        <v>34.35</v>
      </c>
      <c r="G976" s="5">
        <v>61.12</v>
      </c>
      <c r="H976" s="5">
        <v>41.7401</v>
      </c>
      <c r="I976" s="5">
        <v>40.2208</v>
      </c>
    </row>
    <row r="977" ht="15.75" customHeight="1">
      <c r="A977" s="4">
        <v>45833.0</v>
      </c>
      <c r="B977" s="5">
        <v>108.37</v>
      </c>
      <c r="C977" s="5">
        <v>90.4</v>
      </c>
      <c r="D977" s="5">
        <v>186.32</v>
      </c>
      <c r="E977" s="5">
        <v>342.35</v>
      </c>
      <c r="F977" s="5">
        <v>33.06</v>
      </c>
      <c r="G977" s="5">
        <v>60.69</v>
      </c>
      <c r="H977" s="5">
        <v>41.5581</v>
      </c>
      <c r="I977" s="5">
        <v>39.6835</v>
      </c>
    </row>
    <row r="978" ht="15.75" customHeight="1">
      <c r="A978" s="4">
        <v>45834.0</v>
      </c>
      <c r="B978" s="5">
        <v>109.99</v>
      </c>
      <c r="C978" s="5">
        <v>90.35</v>
      </c>
      <c r="D978" s="5">
        <v>190.4</v>
      </c>
      <c r="E978" s="5">
        <v>348.14</v>
      </c>
      <c r="F978" s="5">
        <v>33.38</v>
      </c>
      <c r="G978" s="5">
        <v>62.87</v>
      </c>
      <c r="H978" s="5">
        <v>42.1531</v>
      </c>
      <c r="I978" s="5">
        <v>40.0137</v>
      </c>
    </row>
    <row r="979" ht="15.75" customHeight="1">
      <c r="A979" s="4">
        <v>45835.0</v>
      </c>
      <c r="B979" s="5">
        <v>109.38</v>
      </c>
      <c r="C979" s="5">
        <v>90.9</v>
      </c>
      <c r="D979" s="5">
        <v>195.04</v>
      </c>
      <c r="E979" s="5">
        <v>353.23</v>
      </c>
      <c r="F979" s="5">
        <v>33.33</v>
      </c>
      <c r="G979" s="5">
        <v>62.67</v>
      </c>
      <c r="H979" s="5">
        <v>41.9317</v>
      </c>
      <c r="I979" s="5">
        <v>40.0926</v>
      </c>
    </row>
    <row r="980" ht="15.75" customHeight="1">
      <c r="A980" s="4">
        <v>45838.0</v>
      </c>
      <c r="B980" s="5">
        <v>107.8</v>
      </c>
      <c r="C980" s="5">
        <v>91.83</v>
      </c>
      <c r="D980" s="5">
        <v>193.81</v>
      </c>
      <c r="E980" s="5">
        <v>356.99</v>
      </c>
      <c r="F980" s="5">
        <v>31.45</v>
      </c>
      <c r="G980" s="5">
        <v>62.81</v>
      </c>
      <c r="H980" s="5">
        <v>41.6909</v>
      </c>
      <c r="I980" s="5">
        <v>40.2553</v>
      </c>
    </row>
    <row r="981" ht="15.75" customHeight="1">
      <c r="A981" s="4">
        <v>45839.0</v>
      </c>
      <c r="B981" s="5">
        <v>109.24</v>
      </c>
      <c r="C981" s="5">
        <v>92.3</v>
      </c>
      <c r="D981" s="5">
        <v>185.1</v>
      </c>
      <c r="E981" s="5">
        <v>355.04</v>
      </c>
      <c r="F981" s="5">
        <v>31.45</v>
      </c>
      <c r="G981" s="5">
        <v>58.72</v>
      </c>
      <c r="H981" s="5">
        <v>42.0105</v>
      </c>
      <c r="I981" s="5">
        <v>40.3934</v>
      </c>
    </row>
    <row r="982" ht="15.75" customHeight="1">
      <c r="A982" s="4">
        <v>45840.0</v>
      </c>
      <c r="B982" s="5">
        <v>111.05</v>
      </c>
      <c r="C982" s="5">
        <v>91.15</v>
      </c>
      <c r="D982" s="5">
        <v>187.02</v>
      </c>
      <c r="E982" s="5">
        <v>358.19</v>
      </c>
      <c r="F982" s="5">
        <v>32.04</v>
      </c>
      <c r="G982" s="5">
        <v>59.14</v>
      </c>
      <c r="H982" s="5">
        <v>42.7331</v>
      </c>
      <c r="I982" s="5">
        <v>40.0433</v>
      </c>
    </row>
    <row r="983" ht="15.75" customHeight="1">
      <c r="A983" s="4">
        <v>45841.0</v>
      </c>
      <c r="B983" s="5">
        <v>112.2</v>
      </c>
      <c r="C983" s="5">
        <v>91.51</v>
      </c>
      <c r="D983" s="5">
        <v>192.2</v>
      </c>
      <c r="E983" s="5">
        <v>362.22</v>
      </c>
      <c r="F983" s="5">
        <v>32.28</v>
      </c>
      <c r="G983" s="5">
        <v>58.64</v>
      </c>
      <c r="H983" s="5">
        <v>42.7822</v>
      </c>
      <c r="I983" s="5">
        <v>40.344</v>
      </c>
    </row>
    <row r="984" ht="15.75" customHeight="1">
      <c r="A984" s="4">
        <v>45845.0</v>
      </c>
      <c r="B984" s="5">
        <v>111.11</v>
      </c>
      <c r="C984" s="5">
        <v>91.66</v>
      </c>
      <c r="D984" s="5">
        <v>193.7</v>
      </c>
      <c r="E984" s="5">
        <v>358.49</v>
      </c>
      <c r="F984" s="5">
        <v>30.9</v>
      </c>
      <c r="G984" s="5">
        <v>58.48</v>
      </c>
      <c r="H984" s="5">
        <v>42.3693</v>
      </c>
      <c r="I984" s="5">
        <v>40.4278</v>
      </c>
    </row>
    <row r="985" ht="15.75" customHeight="1">
      <c r="A985" s="4">
        <v>45846.0</v>
      </c>
      <c r="B985" s="5">
        <v>114.19</v>
      </c>
      <c r="C985" s="5">
        <v>91.26</v>
      </c>
      <c r="D985" s="5">
        <v>190.18</v>
      </c>
      <c r="E985" s="5">
        <v>356.98</v>
      </c>
      <c r="F985" s="5">
        <v>33.05</v>
      </c>
      <c r="G985" s="5">
        <v>57.69</v>
      </c>
      <c r="H985" s="5">
        <v>43.5097</v>
      </c>
      <c r="I985" s="5">
        <v>39.9989</v>
      </c>
    </row>
    <row r="986" ht="15.75" customHeight="1">
      <c r="A986" s="4">
        <v>45847.0</v>
      </c>
      <c r="B986" s="5">
        <v>113.8</v>
      </c>
      <c r="C986" s="5">
        <v>91.96</v>
      </c>
      <c r="D986" s="5">
        <v>197.01</v>
      </c>
      <c r="E986" s="5">
        <v>359.78</v>
      </c>
      <c r="F986" s="5">
        <v>31.91</v>
      </c>
      <c r="G986" s="5">
        <v>57.85</v>
      </c>
      <c r="H986" s="5">
        <v>43.2886</v>
      </c>
      <c r="I986" s="5">
        <v>40.3736</v>
      </c>
    </row>
    <row r="987" ht="15.75" customHeight="1">
      <c r="A987" s="4">
        <v>45848.0</v>
      </c>
      <c r="B987" s="5">
        <v>114.93</v>
      </c>
      <c r="C987" s="5">
        <v>93.26</v>
      </c>
      <c r="D987" s="5">
        <v>195.78</v>
      </c>
      <c r="E987" s="5">
        <v>357.64</v>
      </c>
      <c r="F987" s="5">
        <v>31.8</v>
      </c>
      <c r="G987" s="5">
        <v>57.78</v>
      </c>
      <c r="H987" s="5">
        <v>43.618</v>
      </c>
      <c r="I987" s="5">
        <v>40.7039</v>
      </c>
    </row>
    <row r="988" ht="15.75" customHeight="1">
      <c r="A988" s="4">
        <v>45849.0</v>
      </c>
      <c r="B988" s="5">
        <v>115.43</v>
      </c>
      <c r="C988" s="5">
        <v>92.66</v>
      </c>
      <c r="D988" s="5">
        <v>196.58</v>
      </c>
      <c r="E988" s="5">
        <v>360.62</v>
      </c>
      <c r="F988" s="5">
        <v>30.97</v>
      </c>
      <c r="G988" s="5">
        <v>58.22</v>
      </c>
      <c r="H988" s="5">
        <v>43.8145</v>
      </c>
      <c r="I988" s="5">
        <v>40.6447</v>
      </c>
    </row>
    <row r="989" ht="15.75" customHeight="1">
      <c r="A989" s="4">
        <v>45852.0</v>
      </c>
      <c r="B989" s="5">
        <v>113.92</v>
      </c>
      <c r="C989" s="5">
        <v>92.68</v>
      </c>
      <c r="D989" s="5">
        <v>194.81</v>
      </c>
      <c r="E989" s="5">
        <v>360.29</v>
      </c>
      <c r="F989" s="5">
        <v>31.08</v>
      </c>
      <c r="G989" s="5">
        <v>59.04</v>
      </c>
      <c r="H989" s="5">
        <v>43.3328</v>
      </c>
      <c r="I989" s="5">
        <v>40.8074</v>
      </c>
    </row>
    <row r="990" ht="15.75" customHeight="1">
      <c r="A990" s="4">
        <v>45853.0</v>
      </c>
      <c r="B990" s="5">
        <v>112.91</v>
      </c>
      <c r="C990" s="5">
        <v>92.47</v>
      </c>
      <c r="D990" s="5">
        <v>191.37</v>
      </c>
      <c r="E990" s="5">
        <v>362.11</v>
      </c>
      <c r="F990" s="5">
        <v>31.61</v>
      </c>
      <c r="G990" s="5">
        <v>58.37</v>
      </c>
      <c r="H990" s="5">
        <v>42.7085</v>
      </c>
      <c r="I990" s="5">
        <v>40.418</v>
      </c>
    </row>
    <row r="991" ht="15.75" customHeight="1">
      <c r="A991" s="4">
        <v>45854.0</v>
      </c>
      <c r="B991" s="5">
        <v>112.23</v>
      </c>
      <c r="C991" s="5">
        <v>93.3</v>
      </c>
      <c r="D991" s="5">
        <v>184.13</v>
      </c>
      <c r="E991" s="5">
        <v>362.89</v>
      </c>
      <c r="F991" s="5">
        <v>30.81</v>
      </c>
      <c r="G991" s="5">
        <v>58.48</v>
      </c>
      <c r="H991" s="5">
        <v>42.3399</v>
      </c>
      <c r="I991" s="5">
        <v>40.4376</v>
      </c>
    </row>
    <row r="992" ht="15.75" customHeight="1">
      <c r="A992" s="4">
        <v>45855.0</v>
      </c>
      <c r="B992" s="5">
        <v>111.66</v>
      </c>
      <c r="C992" s="5">
        <v>93.33</v>
      </c>
      <c r="D992" s="5">
        <v>182.0</v>
      </c>
      <c r="E992" s="5">
        <v>380.72</v>
      </c>
      <c r="F992" s="5">
        <v>30.91</v>
      </c>
      <c r="G992" s="5">
        <v>58.09</v>
      </c>
      <c r="H992" s="5">
        <v>42.6003</v>
      </c>
      <c r="I992" s="5">
        <v>40.6053</v>
      </c>
    </row>
    <row r="993" ht="15.75" customHeight="1">
      <c r="A993" s="4">
        <v>45856.0</v>
      </c>
      <c r="B993" s="5">
        <v>107.77</v>
      </c>
      <c r="C993" s="5">
        <v>94.1</v>
      </c>
      <c r="D993" s="5">
        <v>193.01</v>
      </c>
      <c r="E993" s="5">
        <v>378.62</v>
      </c>
      <c r="F993" s="5">
        <v>30.73</v>
      </c>
      <c r="G993" s="5">
        <v>59.35</v>
      </c>
      <c r="H993" s="5">
        <v>42.2562</v>
      </c>
      <c r="I993" s="5">
        <v>41.2856</v>
      </c>
    </row>
    <row r="994" ht="15.75" customHeight="1">
      <c r="A994" s="4">
        <v>45859.0</v>
      </c>
      <c r="B994" s="5">
        <v>108.05</v>
      </c>
      <c r="C994" s="5">
        <v>94.79</v>
      </c>
      <c r="D994" s="5">
        <v>188.23</v>
      </c>
      <c r="E994" s="5">
        <v>373.66</v>
      </c>
      <c r="F994" s="5">
        <v>30.59</v>
      </c>
      <c r="G994" s="5">
        <v>57.68</v>
      </c>
      <c r="H994" s="5">
        <v>41.8187</v>
      </c>
      <c r="I994" s="5">
        <v>41.4187</v>
      </c>
    </row>
    <row r="995" ht="15.75" customHeight="1">
      <c r="A995" s="4">
        <v>45860.0</v>
      </c>
      <c r="B995" s="5">
        <v>108.54</v>
      </c>
      <c r="C995" s="5">
        <v>95.85</v>
      </c>
      <c r="D995" s="5">
        <v>189.09</v>
      </c>
      <c r="E995" s="5">
        <v>372.65</v>
      </c>
      <c r="F995" s="5">
        <v>30.53</v>
      </c>
      <c r="G995" s="5">
        <v>57.36</v>
      </c>
      <c r="H995" s="5">
        <v>42.0154</v>
      </c>
      <c r="I995" s="5">
        <v>41.9265</v>
      </c>
    </row>
    <row r="996" ht="15.75" customHeight="1">
      <c r="A996" s="4">
        <v>45861.0</v>
      </c>
      <c r="B996" s="5">
        <v>109.93</v>
      </c>
      <c r="C996" s="5">
        <v>95.13</v>
      </c>
      <c r="D996" s="5">
        <v>200.12</v>
      </c>
      <c r="E996" s="5">
        <v>380.24</v>
      </c>
      <c r="F996" s="5">
        <v>32.29</v>
      </c>
      <c r="G996" s="5">
        <v>57.71</v>
      </c>
      <c r="H996" s="5">
        <v>42.674</v>
      </c>
      <c r="I996" s="5">
        <v>41.611</v>
      </c>
    </row>
    <row r="997" ht="15.75" customHeight="1">
      <c r="A997" s="4">
        <v>45862.0</v>
      </c>
      <c r="B997" s="5">
        <v>110.79</v>
      </c>
      <c r="C997" s="5">
        <v>95.0</v>
      </c>
      <c r="D997" s="5">
        <v>196.24</v>
      </c>
      <c r="E997" s="5">
        <v>384.9</v>
      </c>
      <c r="F997" s="5">
        <v>32.4</v>
      </c>
      <c r="G997" s="5">
        <v>58.75</v>
      </c>
      <c r="H997" s="5">
        <v>42.9788</v>
      </c>
      <c r="I997" s="5">
        <v>41.5568</v>
      </c>
    </row>
    <row r="998" ht="15.75" customHeight="1">
      <c r="A998" s="4">
        <v>45863.0</v>
      </c>
      <c r="B998" s="5">
        <v>110.4</v>
      </c>
      <c r="C998" s="5">
        <v>95.35</v>
      </c>
      <c r="D998" s="5">
        <v>192.2</v>
      </c>
      <c r="E998" s="5">
        <v>392.17</v>
      </c>
      <c r="F998" s="5">
        <v>33.16</v>
      </c>
      <c r="G998" s="5">
        <v>57.82</v>
      </c>
      <c r="H998" s="5">
        <v>42.8166</v>
      </c>
      <c r="I998" s="5">
        <v>41.6652</v>
      </c>
    </row>
    <row r="999" ht="15.75" customHeight="1">
      <c r="A999" s="4">
        <v>45866.0</v>
      </c>
      <c r="B999" s="5">
        <v>111.44</v>
      </c>
      <c r="C999" s="5">
        <v>94.3</v>
      </c>
      <c r="D999" s="5">
        <v>195.88</v>
      </c>
      <c r="E999" s="5">
        <v>392.76</v>
      </c>
      <c r="F999" s="5">
        <v>33.23</v>
      </c>
      <c r="G999" s="5">
        <v>57.51</v>
      </c>
      <c r="H999" s="5">
        <v>43.3032</v>
      </c>
      <c r="I999" s="5">
        <v>41.2216</v>
      </c>
    </row>
    <row r="1000" ht="15.75" customHeight="1">
      <c r="A1000" s="4">
        <v>45867.0</v>
      </c>
      <c r="B1000" s="5">
        <v>112.88</v>
      </c>
      <c r="C1000" s="5">
        <v>95.2</v>
      </c>
      <c r="D1000" s="5">
        <v>198.0</v>
      </c>
      <c r="E1000" s="5">
        <v>390.01</v>
      </c>
      <c r="F1000" s="5">
        <v>34.81</v>
      </c>
      <c r="G1000" s="5">
        <v>58.89</v>
      </c>
      <c r="H1000" s="5">
        <v>43.726</v>
      </c>
      <c r="I1000" s="5">
        <v>41.6948</v>
      </c>
    </row>
    <row r="1001" ht="15.75" customHeight="1">
      <c r="A1001" s="4">
        <v>45868.0</v>
      </c>
      <c r="B1001" s="5">
        <v>111.9</v>
      </c>
      <c r="C1001" s="5">
        <v>94.9</v>
      </c>
      <c r="D1001" s="5">
        <v>207.05</v>
      </c>
      <c r="E1001" s="5">
        <v>390.09</v>
      </c>
      <c r="F1001" s="5">
        <v>33.89</v>
      </c>
      <c r="G1001" s="5">
        <v>59.24</v>
      </c>
      <c r="H1001" s="5">
        <v>43.1018</v>
      </c>
      <c r="I1001" s="5">
        <v>42.0053</v>
      </c>
    </row>
    <row r="1002" ht="15.75" customHeight="1">
      <c r="A1002" s="4">
        <v>45869.0</v>
      </c>
      <c r="B1002" s="5">
        <v>111.64</v>
      </c>
      <c r="C1002" s="5">
        <v>94.48</v>
      </c>
      <c r="D1002" s="5">
        <v>208.54</v>
      </c>
      <c r="E1002" s="5">
        <v>384.72</v>
      </c>
      <c r="F1002" s="5">
        <v>33.54</v>
      </c>
      <c r="G1002" s="5">
        <v>59.95</v>
      </c>
      <c r="H1002" s="5">
        <v>42.8707</v>
      </c>
      <c r="I1002" s="5">
        <v>42.2321</v>
      </c>
    </row>
    <row r="1003" ht="15.75" customHeight="1">
      <c r="A1003" s="4">
        <v>45870.0</v>
      </c>
      <c r="B1003" s="5">
        <v>109.64</v>
      </c>
      <c r="C1003" s="5">
        <v>94.99</v>
      </c>
      <c r="D1003" s="5">
        <v>208.05</v>
      </c>
      <c r="E1003" s="5">
        <v>381.29</v>
      </c>
      <c r="F1003" s="5">
        <v>33.11</v>
      </c>
      <c r="G1003" s="5">
        <v>60.27</v>
      </c>
      <c r="H1003" s="5">
        <v>42.0743</v>
      </c>
      <c r="I1003" s="5">
        <v>42.2961</v>
      </c>
    </row>
    <row r="1004" ht="15.75" customHeight="1">
      <c r="A1004" s="4">
        <v>45873.0</v>
      </c>
      <c r="B1004" s="5">
        <v>107.37</v>
      </c>
      <c r="C1004" s="5">
        <v>96.0</v>
      </c>
      <c r="D1004" s="5">
        <v>214.06</v>
      </c>
      <c r="E1004" s="5">
        <v>384.76</v>
      </c>
      <c r="F1004" s="5">
        <v>33.48</v>
      </c>
      <c r="G1004" s="5">
        <v>60.26</v>
      </c>
      <c r="H1004" s="5">
        <v>41.9809</v>
      </c>
      <c r="I1004" s="5">
        <v>43.0455</v>
      </c>
    </row>
    <row r="1005" ht="15.75" customHeight="1">
      <c r="A1005" s="4">
        <v>45874.0</v>
      </c>
      <c r="B1005" s="5">
        <v>107.24</v>
      </c>
      <c r="C1005" s="5">
        <v>94.39</v>
      </c>
      <c r="D1005" s="5">
        <v>209.6</v>
      </c>
      <c r="E1005" s="5">
        <v>356.45</v>
      </c>
      <c r="F1005" s="5">
        <v>35.1</v>
      </c>
      <c r="G1005" s="5">
        <v>59.0</v>
      </c>
      <c r="H1005" s="5">
        <v>42.0351</v>
      </c>
      <c r="I1005" s="5">
        <v>42.587</v>
      </c>
    </row>
    <row r="1006" ht="15.75" customHeight="1">
      <c r="A1006" s="4">
        <v>45875.0</v>
      </c>
      <c r="B1006" s="5">
        <v>106.51</v>
      </c>
      <c r="C1006" s="5">
        <v>94.68</v>
      </c>
      <c r="D1006" s="5">
        <v>200.85</v>
      </c>
      <c r="E1006" s="5">
        <v>358.16</v>
      </c>
      <c r="F1006" s="5">
        <v>36.2</v>
      </c>
      <c r="G1006" s="5">
        <v>58.64</v>
      </c>
      <c r="H1006" s="5">
        <v>41.6467</v>
      </c>
      <c r="I1006" s="5">
        <v>42.2075</v>
      </c>
    </row>
    <row r="1007" ht="15.75" customHeight="1">
      <c r="A1007" s="4">
        <v>45876.0</v>
      </c>
      <c r="B1007" s="5">
        <v>105.95</v>
      </c>
      <c r="C1007" s="5">
        <v>95.35</v>
      </c>
      <c r="D1007" s="5">
        <v>205.59</v>
      </c>
      <c r="E1007" s="5">
        <v>360.16</v>
      </c>
      <c r="F1007" s="5">
        <v>35.77</v>
      </c>
      <c r="G1007" s="5">
        <v>57.89</v>
      </c>
      <c r="H1007" s="5">
        <v>41.4845</v>
      </c>
      <c r="I1007" s="5">
        <v>42.6659</v>
      </c>
    </row>
    <row r="1008" ht="15.75" customHeight="1">
      <c r="A1008" s="4">
        <v>45877.0</v>
      </c>
      <c r="B1008" s="5">
        <v>106.8</v>
      </c>
      <c r="C1008" s="5">
        <v>94.69</v>
      </c>
      <c r="D1008" s="5">
        <v>202.12</v>
      </c>
      <c r="E1008" s="5">
        <v>362.84</v>
      </c>
      <c r="F1008" s="5">
        <v>34.29</v>
      </c>
      <c r="G1008" s="5">
        <v>57.89</v>
      </c>
      <c r="H1008" s="5">
        <v>41.7499</v>
      </c>
      <c r="I1008" s="5">
        <v>42.4835</v>
      </c>
    </row>
    <row r="1009" ht="15.75" customHeight="1">
      <c r="A1009" s="4">
        <v>45880.0</v>
      </c>
      <c r="B1009" s="5">
        <v>105.83</v>
      </c>
      <c r="C1009" s="5">
        <v>94.57</v>
      </c>
      <c r="D1009" s="5">
        <v>200.08</v>
      </c>
      <c r="E1009" s="5">
        <v>360.11</v>
      </c>
      <c r="F1009" s="5">
        <v>34.3</v>
      </c>
      <c r="G1009" s="5">
        <v>58.06</v>
      </c>
      <c r="H1009" s="5">
        <v>41.4156</v>
      </c>
      <c r="I1009" s="5">
        <v>42.3504</v>
      </c>
    </row>
    <row r="1010" ht="15.75" customHeight="1">
      <c r="A1010" s="4">
        <v>45881.0</v>
      </c>
      <c r="B1010" s="5">
        <v>106.13</v>
      </c>
      <c r="C1010" s="5">
        <v>93.96</v>
      </c>
      <c r="D1010" s="5">
        <v>209.56</v>
      </c>
      <c r="E1010" s="5">
        <v>363.3</v>
      </c>
      <c r="F1010" s="5">
        <v>33.95</v>
      </c>
      <c r="G1010" s="5">
        <v>57.76</v>
      </c>
      <c r="H1010" s="5">
        <v>41.6172</v>
      </c>
      <c r="I1010" s="5">
        <v>42.5327</v>
      </c>
    </row>
    <row r="1011" ht="15.75" customHeight="1">
      <c r="A1011" s="4">
        <v>45882.0</v>
      </c>
      <c r="B1011" s="5">
        <v>107.6</v>
      </c>
      <c r="C1011" s="5">
        <v>94.79</v>
      </c>
      <c r="D1011" s="5">
        <v>205.28</v>
      </c>
      <c r="E1011" s="5">
        <v>357.49</v>
      </c>
      <c r="F1011" s="5">
        <v>33.75</v>
      </c>
      <c r="G1011" s="5">
        <v>57.86</v>
      </c>
      <c r="H1011" s="5">
        <v>42.0989</v>
      </c>
      <c r="I1011" s="5">
        <v>42.6264</v>
      </c>
    </row>
    <row r="1012" ht="15.75" customHeight="1">
      <c r="A1012" s="4">
        <v>45883.0</v>
      </c>
      <c r="B1012" s="5">
        <v>107.38</v>
      </c>
      <c r="C1012" s="5">
        <v>94.19</v>
      </c>
      <c r="D1012" s="5">
        <v>202.35</v>
      </c>
      <c r="E1012" s="5">
        <v>355.1</v>
      </c>
      <c r="F1012" s="5">
        <v>32.69</v>
      </c>
      <c r="G1012" s="5">
        <v>57.34</v>
      </c>
      <c r="H1012" s="5">
        <v>42.0596</v>
      </c>
      <c r="I1012" s="5">
        <v>42.3307</v>
      </c>
    </row>
    <row r="1013" ht="15.75" customHeight="1">
      <c r="A1013" s="4">
        <v>45884.0</v>
      </c>
      <c r="B1013" s="5">
        <v>106.49</v>
      </c>
      <c r="C1013" s="5">
        <v>94.07</v>
      </c>
      <c r="D1013" s="5">
        <v>197.33</v>
      </c>
      <c r="E1013" s="5">
        <v>351.03</v>
      </c>
      <c r="F1013" s="5">
        <v>32.97</v>
      </c>
      <c r="G1013" s="5">
        <v>57.46</v>
      </c>
      <c r="H1013" s="5">
        <v>42.0596</v>
      </c>
      <c r="I1013" s="5">
        <v>42.2075</v>
      </c>
    </row>
    <row r="1014" ht="15.75" customHeight="1">
      <c r="A1014" s="4">
        <v>45887.0</v>
      </c>
      <c r="B1014" s="5">
        <v>106.72</v>
      </c>
      <c r="C1014" s="5">
        <v>92.85</v>
      </c>
      <c r="D1014" s="5">
        <v>198.96</v>
      </c>
      <c r="E1014" s="5">
        <v>353.5</v>
      </c>
      <c r="F1014" s="5">
        <v>33.74</v>
      </c>
      <c r="G1014" s="5">
        <v>56.52</v>
      </c>
      <c r="H1014" s="5">
        <v>41.8089</v>
      </c>
      <c r="I1014" s="5">
        <v>42.025</v>
      </c>
    </row>
    <row r="1015" ht="15.75" customHeight="1">
      <c r="A1015" s="4">
        <v>45888.0</v>
      </c>
      <c r="B1015" s="5">
        <v>107.42</v>
      </c>
      <c r="C1015" s="5">
        <v>94.18</v>
      </c>
      <c r="D1015" s="5">
        <v>193.52</v>
      </c>
      <c r="E1015" s="5">
        <v>349.0</v>
      </c>
      <c r="F1015" s="5">
        <v>31.97</v>
      </c>
      <c r="G1015" s="5">
        <v>56.57</v>
      </c>
      <c r="H1015" s="5">
        <v>41.8237</v>
      </c>
      <c r="I1015" s="5">
        <v>42.4342</v>
      </c>
    </row>
    <row r="1016" ht="15.75" customHeight="1">
      <c r="A1016" s="4">
        <v>45889.0</v>
      </c>
      <c r="B1016" s="5">
        <v>108.53</v>
      </c>
      <c r="C1016" s="5">
        <v>94.93</v>
      </c>
      <c r="D1016" s="5">
        <v>192.91</v>
      </c>
      <c r="E1016" s="5">
        <v>346.22</v>
      </c>
      <c r="F1016" s="5">
        <v>31.41</v>
      </c>
      <c r="G1016" s="5">
        <v>57.22</v>
      </c>
      <c r="H1016" s="5">
        <v>42.1727</v>
      </c>
      <c r="I1016" s="5">
        <v>42.4785</v>
      </c>
    </row>
    <row r="1017" ht="15.75" customHeight="1">
      <c r="A1017" s="4">
        <v>45890.0</v>
      </c>
      <c r="B1017" s="5">
        <v>109.23</v>
      </c>
      <c r="C1017" s="5">
        <v>94.62</v>
      </c>
      <c r="D1017" s="5">
        <v>190.28</v>
      </c>
      <c r="E1017" s="5">
        <v>345.38</v>
      </c>
      <c r="F1017" s="5">
        <v>31.67</v>
      </c>
      <c r="G1017" s="5">
        <v>57.8</v>
      </c>
      <c r="H1017" s="5">
        <v>42.4627</v>
      </c>
      <c r="I1017" s="5">
        <v>42.1877</v>
      </c>
    </row>
    <row r="1018" ht="15.75" customHeight="1">
      <c r="A1018" s="4">
        <v>45891.0</v>
      </c>
      <c r="B1018" s="5">
        <v>111.28</v>
      </c>
      <c r="C1018" s="5">
        <v>94.48</v>
      </c>
      <c r="D1018" s="5">
        <v>190.46</v>
      </c>
      <c r="E1018" s="5">
        <v>347.61</v>
      </c>
      <c r="F1018" s="5">
        <v>31.75</v>
      </c>
      <c r="G1018" s="5">
        <v>57.07</v>
      </c>
      <c r="H1018" s="5">
        <v>43.3278</v>
      </c>
      <c r="I1018" s="5">
        <v>42.4144</v>
      </c>
    </row>
    <row r="1019" ht="15.75" customHeight="1">
      <c r="A1019" s="4">
        <v>45894.0</v>
      </c>
      <c r="B1019" s="5">
        <v>111.74</v>
      </c>
      <c r="C1019" s="5">
        <v>93.13</v>
      </c>
      <c r="D1019" s="5">
        <v>190.08</v>
      </c>
      <c r="E1019" s="5">
        <v>345.76</v>
      </c>
      <c r="F1019" s="5">
        <v>30.1</v>
      </c>
      <c r="G1019" s="5">
        <v>56.83</v>
      </c>
      <c r="H1019" s="5">
        <v>43.4409</v>
      </c>
      <c r="I1019" s="5">
        <v>41.9363</v>
      </c>
    </row>
    <row r="1020" ht="15.75" customHeight="1">
      <c r="A1020" s="4">
        <v>45895.0</v>
      </c>
      <c r="B1020" s="5">
        <v>111.49</v>
      </c>
      <c r="C1020" s="5">
        <v>93.09</v>
      </c>
      <c r="D1020" s="5">
        <v>195.12</v>
      </c>
      <c r="E1020" s="5">
        <v>352.02</v>
      </c>
      <c r="F1020" s="5">
        <v>30.71</v>
      </c>
      <c r="G1020" s="5">
        <v>57.13</v>
      </c>
      <c r="H1020" s="5">
        <v>43.3721</v>
      </c>
      <c r="I1020" s="5">
        <v>42.0299</v>
      </c>
    </row>
    <row r="1021" ht="15.75" customHeight="1">
      <c r="A1021" s="4">
        <v>45896.0</v>
      </c>
      <c r="B1021" s="5">
        <v>112.75</v>
      </c>
      <c r="C1021" s="5">
        <v>93.28</v>
      </c>
      <c r="D1021" s="5">
        <v>194.6</v>
      </c>
      <c r="E1021" s="5">
        <v>351.4</v>
      </c>
      <c r="F1021" s="5">
        <v>30.32</v>
      </c>
      <c r="G1021" s="5">
        <v>57.49</v>
      </c>
      <c r="H1021" s="5">
        <v>43.8587</v>
      </c>
      <c r="I1021" s="5">
        <v>42.0398</v>
      </c>
    </row>
    <row r="1022" ht="15.75" customHeight="1">
      <c r="A1022" s="4">
        <v>45897.0</v>
      </c>
      <c r="B1022" s="5">
        <v>113.35</v>
      </c>
      <c r="C1022" s="5">
        <v>92.24</v>
      </c>
      <c r="D1022" s="5">
        <v>196.7</v>
      </c>
      <c r="E1022" s="5">
        <v>355.34</v>
      </c>
      <c r="F1022" s="5">
        <v>30.84</v>
      </c>
      <c r="G1022" s="5">
        <v>58.0</v>
      </c>
      <c r="H1022" s="5">
        <v>44.1931</v>
      </c>
      <c r="I1022" s="5">
        <v>41.7194</v>
      </c>
    </row>
    <row r="1023" ht="15.75" customHeight="1">
      <c r="A1023" s="4">
        <v>45898.0</v>
      </c>
      <c r="B1023" s="5">
        <v>114.29</v>
      </c>
      <c r="C1023" s="5">
        <v>92.3</v>
      </c>
      <c r="D1023" s="5">
        <v>189.11</v>
      </c>
      <c r="E1023" s="5">
        <v>349.14</v>
      </c>
      <c r="F1023" s="5">
        <v>30.47</v>
      </c>
      <c r="G1023" s="5">
        <v>57.88</v>
      </c>
      <c r="H1023" s="5">
        <v>44.4339</v>
      </c>
      <c r="I1023" s="5">
        <v>41.5666</v>
      </c>
    </row>
    <row r="1024" ht="15.75" customHeight="1">
      <c r="A1024" s="4">
        <v>45902.0</v>
      </c>
      <c r="B1024" s="5">
        <v>114.69</v>
      </c>
      <c r="C1024" s="5">
        <v>92.09</v>
      </c>
      <c r="D1024" s="5">
        <v>185.81</v>
      </c>
      <c r="E1024" s="5">
        <v>343.75</v>
      </c>
      <c r="F1024" s="5">
        <v>30.38</v>
      </c>
      <c r="G1024" s="5">
        <v>57.38</v>
      </c>
      <c r="H1024" s="5">
        <v>44.4979</v>
      </c>
      <c r="I1024" s="5">
        <v>41.4286</v>
      </c>
    </row>
    <row r="1025" ht="15.75" customHeight="1">
      <c r="A1025" s="4">
        <v>45903.0</v>
      </c>
      <c r="B1025" s="5">
        <v>111.91</v>
      </c>
      <c r="C1025" s="5">
        <v>91.66</v>
      </c>
      <c r="D1025" s="5">
        <v>188.12</v>
      </c>
      <c r="E1025" s="5">
        <v>342.99</v>
      </c>
      <c r="F1025" s="5">
        <v>29.55</v>
      </c>
      <c r="G1025" s="5">
        <v>57.73</v>
      </c>
      <c r="H1025" s="5">
        <v>43.5</v>
      </c>
      <c r="I1025" s="5">
        <v>41.325</v>
      </c>
    </row>
    <row r="1026" ht="15.75" customHeight="1">
      <c r="A1026" s="4">
        <v>45904.0</v>
      </c>
      <c r="B1026" s="5">
        <v>112.4</v>
      </c>
      <c r="C1026" s="5">
        <v>91.87</v>
      </c>
      <c r="D1026" s="5">
        <v>189.73</v>
      </c>
      <c r="E1026" s="5">
        <v>348.22</v>
      </c>
      <c r="F1026" s="5">
        <v>30.82</v>
      </c>
      <c r="G1026" s="5">
        <v>57.58</v>
      </c>
      <c r="H1026" s="5">
        <v>43.7899</v>
      </c>
      <c r="I1026" s="5">
        <v>41.2758</v>
      </c>
    </row>
    <row r="1027" ht="15.75" customHeight="1">
      <c r="A1027" s="4">
        <v>45905.0</v>
      </c>
      <c r="B1027" s="5">
        <v>109.23</v>
      </c>
      <c r="C1027" s="5">
        <v>91.78</v>
      </c>
      <c r="D1027" s="5">
        <v>188.0</v>
      </c>
      <c r="E1027" s="5">
        <v>349.03</v>
      </c>
      <c r="F1027" s="5">
        <v>30.83</v>
      </c>
      <c r="G1027" s="5">
        <v>57.2</v>
      </c>
      <c r="H1027" s="5">
        <v>42.9445</v>
      </c>
      <c r="I1027" s="5">
        <v>41.1475</v>
      </c>
    </row>
    <row r="1028" ht="15.75" customHeight="1">
      <c r="A1028" s="4">
        <v>45908.0</v>
      </c>
      <c r="B1028" s="5">
        <v>109.85</v>
      </c>
      <c r="C1028" s="5">
        <v>90.83</v>
      </c>
      <c r="D1028" s="5">
        <v>188.01</v>
      </c>
      <c r="E1028" s="5">
        <v>349.49</v>
      </c>
      <c r="F1028" s="5">
        <v>26.1</v>
      </c>
      <c r="G1028" s="5">
        <v>56.85</v>
      </c>
      <c r="H1028" s="5">
        <v>42.8461</v>
      </c>
      <c r="I1028" s="5">
        <v>40.7286</v>
      </c>
    </row>
    <row r="1029" ht="15.75" customHeight="1">
      <c r="A1029" s="4">
        <v>45909.0</v>
      </c>
      <c r="B1029" s="5">
        <v>110.65</v>
      </c>
      <c r="C1029" s="5">
        <v>91.21</v>
      </c>
      <c r="D1029" s="5">
        <v>193.78</v>
      </c>
      <c r="E1029" s="5">
        <v>348.23</v>
      </c>
      <c r="F1029" s="5">
        <v>26.83</v>
      </c>
      <c r="G1029" s="5">
        <v>57.57</v>
      </c>
      <c r="H1029" s="5">
        <v>43.0526</v>
      </c>
      <c r="I1029" s="5">
        <v>41.0096</v>
      </c>
    </row>
    <row r="1030" ht="15.75" customHeight="1">
      <c r="A1030" s="4">
        <v>45910.0</v>
      </c>
      <c r="B1030" s="5">
        <v>112.5</v>
      </c>
      <c r="C1030" s="5">
        <v>91.56</v>
      </c>
      <c r="D1030" s="5">
        <v>209.21</v>
      </c>
      <c r="E1030" s="5">
        <v>362.25</v>
      </c>
      <c r="F1030" s="5">
        <v>28.64</v>
      </c>
      <c r="G1030" s="5">
        <v>58.76</v>
      </c>
      <c r="H1030" s="5">
        <v>43.8048</v>
      </c>
      <c r="I1030" s="5">
        <v>41.7145</v>
      </c>
    </row>
    <row r="1031" ht="15.75" customHeight="1">
      <c r="A1031" s="4">
        <v>45911.0</v>
      </c>
      <c r="B1031" s="5">
        <v>112.14</v>
      </c>
      <c r="C1031" s="5">
        <v>92.13</v>
      </c>
      <c r="D1031" s="5">
        <v>204.05</v>
      </c>
      <c r="E1031" s="5">
        <v>360.08</v>
      </c>
      <c r="F1031" s="5">
        <v>28.2</v>
      </c>
      <c r="G1031" s="5">
        <v>59.33</v>
      </c>
      <c r="H1031" s="5">
        <v>43.8145</v>
      </c>
      <c r="I1031" s="5">
        <v>41.9363</v>
      </c>
    </row>
    <row r="1032" ht="15.75" customHeight="1">
      <c r="A1032" s="4">
        <v>45912.0</v>
      </c>
      <c r="B1032" s="5">
        <v>112.16</v>
      </c>
      <c r="C1032" s="5">
        <v>92.27</v>
      </c>
      <c r="D1032" s="5">
        <v>209.7</v>
      </c>
      <c r="E1032" s="5">
        <v>365.9</v>
      </c>
      <c r="F1032" s="5">
        <v>27.08</v>
      </c>
      <c r="G1032" s="5">
        <v>58.81</v>
      </c>
      <c r="H1032" s="5">
        <v>43.554</v>
      </c>
      <c r="I1032" s="5">
        <v>42.1482</v>
      </c>
    </row>
    <row r="1033" ht="15.75" customHeight="1">
      <c r="A1033" s="4">
        <v>45915.0</v>
      </c>
      <c r="B1033" s="5">
        <v>112.35</v>
      </c>
      <c r="C1033" s="5">
        <v>92.28</v>
      </c>
      <c r="D1033" s="5">
        <v>213.52</v>
      </c>
      <c r="E1033" s="5">
        <v>375.54</v>
      </c>
      <c r="F1033" s="5">
        <v>26.69</v>
      </c>
      <c r="G1033" s="5">
        <v>58.4</v>
      </c>
      <c r="H1033" s="5">
        <v>43.4066</v>
      </c>
      <c r="I1033" s="5">
        <v>42.2469</v>
      </c>
    </row>
    <row r="1034" ht="15.75" customHeight="1">
      <c r="A1034" s="4">
        <v>45916.0</v>
      </c>
      <c r="B1034" s="5">
        <v>114.68</v>
      </c>
      <c r="C1034" s="5">
        <v>91.36</v>
      </c>
      <c r="D1034" s="5">
        <v>209.43</v>
      </c>
      <c r="E1034" s="5">
        <v>371.19</v>
      </c>
      <c r="F1034" s="5">
        <v>27.71</v>
      </c>
      <c r="G1034" s="5">
        <v>57.95</v>
      </c>
      <c r="H1034" s="5">
        <v>44.1341</v>
      </c>
      <c r="I1034" s="5">
        <v>41.4778</v>
      </c>
    </row>
    <row r="1035" ht="15.75" customHeight="1">
      <c r="A1035" s="4">
        <v>45917.0</v>
      </c>
      <c r="B1035" s="5">
        <v>115.29</v>
      </c>
      <c r="C1035" s="5">
        <v>91.63</v>
      </c>
      <c r="D1035" s="5">
        <v>208.31</v>
      </c>
      <c r="E1035" s="5">
        <v>363.35</v>
      </c>
      <c r="F1035" s="5">
        <v>27.24</v>
      </c>
      <c r="G1035" s="5">
        <v>59.02</v>
      </c>
      <c r="H1035" s="5">
        <v>44.2373</v>
      </c>
      <c r="I1035" s="5">
        <v>41.5814</v>
      </c>
    </row>
    <row r="1036" ht="15.75" customHeight="1">
      <c r="A1036" s="4">
        <v>45918.0</v>
      </c>
      <c r="B1036" s="5">
        <v>113.93</v>
      </c>
      <c r="C1036" s="5">
        <v>91.45</v>
      </c>
      <c r="D1036" s="5">
        <v>210.16</v>
      </c>
      <c r="E1036" s="5">
        <v>371.27</v>
      </c>
      <c r="F1036" s="5">
        <v>24.41</v>
      </c>
      <c r="G1036" s="5">
        <v>60.38</v>
      </c>
      <c r="H1036" s="5">
        <v>44.0997</v>
      </c>
      <c r="I1036" s="5">
        <v>41.611</v>
      </c>
    </row>
    <row r="1037" ht="15.75" customHeight="1">
      <c r="A1037" s="4">
        <v>45919.0</v>
      </c>
      <c r="B1037" s="5">
        <v>112.82</v>
      </c>
      <c r="C1037" s="5">
        <v>91.8</v>
      </c>
      <c r="D1037" s="5">
        <v>211.28</v>
      </c>
      <c r="E1037" s="5">
        <v>374.5</v>
      </c>
      <c r="F1037" s="5">
        <v>23.87</v>
      </c>
      <c r="G1037" s="5">
        <v>60.11</v>
      </c>
      <c r="H1037" s="5">
        <v>43.5146</v>
      </c>
      <c r="I1037" s="5">
        <v>41.8772</v>
      </c>
    </row>
    <row r="1038" ht="15.75" customHeight="1">
      <c r="A1038" s="4">
        <v>45922.0</v>
      </c>
      <c r="B1038" s="5">
        <v>112.02</v>
      </c>
      <c r="C1038" s="5">
        <v>92.33</v>
      </c>
      <c r="D1038" s="5">
        <v>217.92</v>
      </c>
      <c r="E1038" s="5">
        <v>378.31</v>
      </c>
      <c r="F1038" s="5">
        <v>26.92</v>
      </c>
      <c r="G1038" s="5">
        <v>60.16</v>
      </c>
      <c r="H1038" s="5">
        <v>43.4645</v>
      </c>
      <c r="I1038" s="5">
        <v>42.283</v>
      </c>
    </row>
    <row r="1039" ht="15.75" customHeight="1">
      <c r="A1039" s="4">
        <v>45923.0</v>
      </c>
      <c r="B1039" s="5">
        <v>113.95</v>
      </c>
      <c r="C1039" s="5">
        <v>93.72</v>
      </c>
      <c r="D1039" s="5">
        <v>204.24</v>
      </c>
      <c r="E1039" s="5">
        <v>368.52</v>
      </c>
      <c r="F1039" s="5">
        <v>27.45</v>
      </c>
      <c r="G1039" s="5">
        <v>61.39</v>
      </c>
      <c r="H1039" s="5">
        <v>44.2131</v>
      </c>
      <c r="I1039" s="5">
        <v>42.5014</v>
      </c>
    </row>
    <row r="1040" ht="15.75" customHeight="1">
      <c r="A1040" s="4">
        <v>45924.0</v>
      </c>
      <c r="B1040" s="5">
        <v>114.56</v>
      </c>
      <c r="C1040" s="5">
        <v>94.41</v>
      </c>
      <c r="D1040" s="5">
        <v>202.06</v>
      </c>
      <c r="E1040" s="5">
        <v>372.21</v>
      </c>
      <c r="F1040" s="5">
        <v>27.73</v>
      </c>
      <c r="G1040" s="5">
        <v>62.86</v>
      </c>
      <c r="H1040" s="5">
        <v>44.7882</v>
      </c>
      <c r="I1040" s="5">
        <v>42.8041</v>
      </c>
    </row>
    <row r="1041" ht="15.75" customHeight="1">
      <c r="A1041" s="4">
        <v>45925.0</v>
      </c>
      <c r="B1041" s="5">
        <v>115.59</v>
      </c>
      <c r="C1041" s="5">
        <v>93.69</v>
      </c>
      <c r="D1041" s="5">
        <v>201.62</v>
      </c>
      <c r="E1041" s="5">
        <v>364.74</v>
      </c>
      <c r="F1041" s="5">
        <v>26.77</v>
      </c>
      <c r="G1041" s="5">
        <v>63.31</v>
      </c>
      <c r="H1041" s="5">
        <v>45.1898</v>
      </c>
      <c r="I1041" s="5">
        <v>42.3922</v>
      </c>
    </row>
    <row r="1042" ht="15.75" customHeight="1">
      <c r="A1042" s="4">
        <v>45926.0</v>
      </c>
      <c r="B1042" s="5">
        <v>117.22</v>
      </c>
      <c r="C1042" s="5">
        <v>94.53</v>
      </c>
      <c r="D1042" s="5">
        <v>207.22</v>
      </c>
      <c r="E1042" s="5">
        <v>365.58</v>
      </c>
      <c r="F1042" s="5">
        <v>26.05</v>
      </c>
      <c r="G1042" s="5">
        <v>64.01</v>
      </c>
      <c r="H1042" s="5">
        <v>45.6062</v>
      </c>
      <c r="I1042" s="5">
        <v>43.082</v>
      </c>
    </row>
    <row r="1043" ht="15.75" customHeight="1">
      <c r="A1043" s="4">
        <v>45929.0</v>
      </c>
      <c r="B1043" s="5">
        <v>114.22</v>
      </c>
      <c r="C1043" s="5">
        <v>93.91</v>
      </c>
      <c r="D1043" s="5">
        <v>197.94</v>
      </c>
      <c r="E1043" s="5">
        <v>367.15</v>
      </c>
      <c r="F1043" s="5">
        <v>25.35</v>
      </c>
      <c r="G1043" s="5">
        <v>63.97</v>
      </c>
      <c r="H1043" s="5">
        <v>44.7684</v>
      </c>
      <c r="I1043" s="5">
        <v>43.2061</v>
      </c>
    </row>
    <row r="1044" ht="15.75" customHeight="1">
      <c r="A1044" s="4">
        <v>45930.0</v>
      </c>
      <c r="B1044" s="5">
        <v>112.75</v>
      </c>
      <c r="C1044" s="5">
        <v>94.77</v>
      </c>
      <c r="D1044" s="5">
        <v>195.92</v>
      </c>
      <c r="E1044" s="5">
        <v>374.25</v>
      </c>
      <c r="F1044" s="5">
        <v>24.29</v>
      </c>
      <c r="G1044" s="5">
        <v>63.35</v>
      </c>
      <c r="H1044" s="5">
        <v>44.2924</v>
      </c>
      <c r="I1044" s="5">
        <v>43.2805</v>
      </c>
    </row>
    <row r="1045" ht="15.75" customHeight="1">
      <c r="A1045" s="4">
        <v>45931.0</v>
      </c>
      <c r="B1045" s="5">
        <v>111.99</v>
      </c>
      <c r="C1045" s="5">
        <v>94.8</v>
      </c>
      <c r="D1045" s="5">
        <v>201.51</v>
      </c>
      <c r="E1045" s="5">
        <v>373.84</v>
      </c>
      <c r="F1045" s="5">
        <v>23.57</v>
      </c>
      <c r="G1045" s="5">
        <v>63.69</v>
      </c>
      <c r="H1045" s="5">
        <v>44.2924</v>
      </c>
      <c r="I1045" s="5">
        <v>43.6974</v>
      </c>
    </row>
    <row r="1046" ht="15.75" customHeight="1">
      <c r="A1046" s="4">
        <v>45932.0</v>
      </c>
      <c r="B1046" s="5">
        <v>111.29</v>
      </c>
      <c r="C1046" s="5">
        <v>93.89</v>
      </c>
      <c r="D1046" s="5">
        <v>202.65</v>
      </c>
      <c r="E1046" s="5">
        <v>376.76</v>
      </c>
      <c r="F1046" s="5">
        <v>23.81</v>
      </c>
      <c r="G1046" s="5">
        <v>64.06</v>
      </c>
      <c r="H1046" s="5">
        <v>43.8462</v>
      </c>
      <c r="I1046" s="5">
        <v>43.618</v>
      </c>
    </row>
    <row r="1047" ht="15.75" customHeight="1">
      <c r="A1047" s="4">
        <v>45933.0</v>
      </c>
      <c r="B1047" s="5">
        <v>113.26</v>
      </c>
      <c r="C1047" s="5">
        <v>94.54</v>
      </c>
      <c r="D1047" s="5">
        <v>201.99</v>
      </c>
      <c r="E1047" s="5">
        <v>373.46</v>
      </c>
      <c r="F1047" s="5">
        <v>24.15</v>
      </c>
      <c r="G1047" s="5">
        <v>64.48</v>
      </c>
      <c r="H1047" s="5">
        <v>44.0792</v>
      </c>
      <c r="I1047" s="5">
        <v>44.1242</v>
      </c>
    </row>
    <row r="1048" ht="15.75" customHeight="1">
      <c r="A1048" s="4">
        <v>45936.0</v>
      </c>
      <c r="B1048" s="5">
        <v>114.2</v>
      </c>
      <c r="C1048" s="5">
        <v>95.49</v>
      </c>
      <c r="D1048" s="5">
        <v>200.41</v>
      </c>
      <c r="E1048" s="5">
        <v>380.02</v>
      </c>
      <c r="F1048" s="5">
        <v>24.62</v>
      </c>
      <c r="G1048" s="5">
        <v>63.58</v>
      </c>
      <c r="H1048" s="5">
        <v>44.2974</v>
      </c>
      <c r="I1048" s="5">
        <v>44.551</v>
      </c>
    </row>
    <row r="1049" ht="15.75" customHeight="1">
      <c r="A1049" s="4">
        <v>45937.0</v>
      </c>
      <c r="B1049" s="5">
        <v>114.26</v>
      </c>
      <c r="C1049" s="5">
        <v>96.42</v>
      </c>
      <c r="D1049" s="5">
        <v>199.62</v>
      </c>
      <c r="E1049" s="5">
        <v>370.94</v>
      </c>
      <c r="F1049" s="5">
        <v>23.99</v>
      </c>
      <c r="G1049" s="5">
        <v>63.97</v>
      </c>
      <c r="H1049" s="5">
        <v>44.3668</v>
      </c>
      <c r="I1049" s="5">
        <v>44.7545</v>
      </c>
    </row>
    <row r="1050" ht="15.75" customHeight="1">
      <c r="A1050" s="4">
        <v>45938.0</v>
      </c>
      <c r="B1050" s="5">
        <v>114.02</v>
      </c>
      <c r="C1050" s="5">
        <v>96.18</v>
      </c>
      <c r="D1050" s="5">
        <v>206.55</v>
      </c>
      <c r="E1050" s="5">
        <v>376.7</v>
      </c>
      <c r="F1050" s="5">
        <v>24.4</v>
      </c>
      <c r="G1050" s="5">
        <v>63.5</v>
      </c>
      <c r="H1050" s="5">
        <v>44.109</v>
      </c>
      <c r="I1050" s="5">
        <v>45.0622</v>
      </c>
    </row>
    <row r="1051" ht="15.75" customHeight="1">
      <c r="A1051" s="4">
        <v>45939.0</v>
      </c>
      <c r="B1051" s="5">
        <v>112.91</v>
      </c>
      <c r="C1051" s="5">
        <v>96.13</v>
      </c>
      <c r="D1051" s="5">
        <v>210.0</v>
      </c>
      <c r="E1051" s="5">
        <v>377.19</v>
      </c>
      <c r="F1051" s="5">
        <v>26.59</v>
      </c>
      <c r="G1051" s="5">
        <v>63.1</v>
      </c>
      <c r="H1051" s="5">
        <v>43.5091</v>
      </c>
      <c r="I1051" s="5">
        <v>44.948</v>
      </c>
    </row>
    <row r="1052" ht="15.75" customHeight="1">
      <c r="A1052" s="4">
        <v>45940.0</v>
      </c>
      <c r="B1052" s="5">
        <v>110.73</v>
      </c>
      <c r="C1052" s="5">
        <v>98.29</v>
      </c>
      <c r="D1052" s="5">
        <v>196.86</v>
      </c>
      <c r="E1052" s="5">
        <v>369.08</v>
      </c>
      <c r="F1052" s="5">
        <v>26.42</v>
      </c>
      <c r="G1052" s="5">
        <v>62.61</v>
      </c>
      <c r="H1052" s="5">
        <v>42.2498</v>
      </c>
      <c r="I1052" s="5">
        <v>44.7644</v>
      </c>
    </row>
    <row r="1053" ht="15.75" customHeight="1">
      <c r="A1053" s="4">
        <v>45943.0</v>
      </c>
      <c r="B1053" s="5">
        <v>112.24</v>
      </c>
      <c r="C1053" s="5">
        <v>98.08</v>
      </c>
      <c r="D1053" s="5">
        <v>209.55</v>
      </c>
      <c r="E1053" s="5">
        <v>375.37</v>
      </c>
      <c r="F1053" s="5">
        <v>27.65</v>
      </c>
      <c r="G1053" s="5">
        <v>62.68</v>
      </c>
      <c r="H1053" s="5">
        <v>42.8249</v>
      </c>
      <c r="I1053" s="5">
        <v>45.1068</v>
      </c>
    </row>
    <row r="1054" ht="15.75" customHeight="1">
      <c r="A1054" s="4">
        <v>45944.0</v>
      </c>
      <c r="B1054" s="5">
        <v>112.29</v>
      </c>
      <c r="C1054" s="5">
        <v>99.68</v>
      </c>
      <c r="D1054" s="5">
        <v>205.51</v>
      </c>
      <c r="E1054" s="5">
        <v>374.35</v>
      </c>
      <c r="F1054" s="5">
        <v>26.05</v>
      </c>
      <c r="G1054" s="5">
        <v>62.36</v>
      </c>
      <c r="H1054" s="5">
        <v>42.82</v>
      </c>
      <c r="I1054" s="5">
        <v>45.5088</v>
      </c>
    </row>
    <row r="1055" ht="15.75" customHeight="1">
      <c r="A1055" s="4">
        <v>45945.0</v>
      </c>
      <c r="B1055" s="5">
        <v>111.61</v>
      </c>
      <c r="C1055" s="5">
        <v>99.72</v>
      </c>
      <c r="D1055" s="5">
        <v>210.85</v>
      </c>
      <c r="E1055" s="5">
        <v>381.72</v>
      </c>
      <c r="F1055" s="5">
        <v>26.53</v>
      </c>
      <c r="G1055" s="5">
        <v>63.78</v>
      </c>
      <c r="H1055" s="5">
        <v>42.7952</v>
      </c>
      <c r="I1055" s="5">
        <v>46.1044</v>
      </c>
    </row>
    <row r="1056" ht="15.75" customHeight="1">
      <c r="A1056" s="4">
        <v>45946.0</v>
      </c>
      <c r="B1056" s="5">
        <v>110.64</v>
      </c>
      <c r="C1056" s="5">
        <v>98.43</v>
      </c>
      <c r="D1056" s="5">
        <v>210.4</v>
      </c>
      <c r="E1056" s="5">
        <v>375.59</v>
      </c>
      <c r="F1056" s="5">
        <v>26.38</v>
      </c>
      <c r="G1056" s="5">
        <v>62.53</v>
      </c>
      <c r="H1056" s="5">
        <v>42.2796</v>
      </c>
      <c r="I1056" s="5">
        <v>45.6031</v>
      </c>
    </row>
    <row r="1057" ht="15.75" customHeight="1">
      <c r="A1057" s="4">
        <v>45947.0</v>
      </c>
      <c r="B1057" s="5">
        <v>112.24</v>
      </c>
      <c r="C1057" s="5">
        <v>97.8</v>
      </c>
      <c r="D1057" s="5">
        <v>201.35</v>
      </c>
      <c r="E1057" s="5">
        <v>373.3</v>
      </c>
      <c r="F1057" s="5">
        <v>26.06</v>
      </c>
      <c r="G1057" s="5">
        <v>62.46</v>
      </c>
      <c r="H1057" s="5">
        <v>42.6266</v>
      </c>
      <c r="I1057" s="5">
        <v>45.4443</v>
      </c>
    </row>
    <row r="1058" ht="15.75" customHeight="1">
      <c r="A1058" s="4">
        <v>45950.0</v>
      </c>
      <c r="B1058" s="5">
        <v>112.7</v>
      </c>
      <c r="C1058" s="5">
        <v>97.69</v>
      </c>
      <c r="D1058" s="5">
        <v>194.24</v>
      </c>
      <c r="E1058" s="5">
        <v>377.69</v>
      </c>
      <c r="F1058" s="5">
        <v>25.12</v>
      </c>
      <c r="G1058" s="5">
        <v>63.06</v>
      </c>
      <c r="H1058" s="5">
        <v>43.0778</v>
      </c>
      <c r="I1058" s="5">
        <v>45.4294</v>
      </c>
    </row>
    <row r="1059" ht="15.75" customHeight="1">
      <c r="A1059" s="4">
        <v>45951.0</v>
      </c>
      <c r="B1059" s="5">
        <v>112.71</v>
      </c>
      <c r="C1059" s="5">
        <v>97.0</v>
      </c>
      <c r="D1059" s="5">
        <v>186.52</v>
      </c>
      <c r="E1059" s="5">
        <v>373.46</v>
      </c>
      <c r="F1059" s="5">
        <v>24.71</v>
      </c>
      <c r="G1059" s="5">
        <v>62.34</v>
      </c>
      <c r="H1059" s="5">
        <v>42.9786</v>
      </c>
      <c r="I1059" s="5">
        <v>44.9679</v>
      </c>
    </row>
    <row r="1060" ht="15.75" customHeight="1">
      <c r="A1060" s="4">
        <v>45952.0</v>
      </c>
      <c r="B1060" s="5">
        <v>114.71</v>
      </c>
      <c r="C1060" s="5">
        <v>97.48</v>
      </c>
      <c r="D1060" s="5">
        <v>185.83</v>
      </c>
      <c r="E1060" s="5">
        <v>360.6</v>
      </c>
      <c r="F1060" s="5">
        <v>24.75</v>
      </c>
      <c r="G1060" s="5">
        <v>62.16</v>
      </c>
      <c r="H1060" s="5">
        <v>43.5289</v>
      </c>
      <c r="I1060" s="5">
        <v>44.8637</v>
      </c>
    </row>
    <row r="1061" ht="15.75" customHeight="1">
      <c r="A1061" s="4">
        <v>45953.0</v>
      </c>
      <c r="B1061" s="5">
        <v>115.98</v>
      </c>
      <c r="C1061" s="5">
        <v>96.15</v>
      </c>
      <c r="D1061" s="5">
        <v>191.37</v>
      </c>
      <c r="E1061" s="5">
        <v>372.4</v>
      </c>
      <c r="F1061" s="5">
        <v>26.89</v>
      </c>
      <c r="G1061" s="5">
        <v>58.93</v>
      </c>
      <c r="H1061" s="5">
        <v>44.109</v>
      </c>
      <c r="I1061" s="5">
        <v>44.8289</v>
      </c>
    </row>
    <row r="1062" ht="15.75" customHeight="1">
      <c r="A1062" s="4">
        <v>45954.0</v>
      </c>
      <c r="B1062" s="5">
        <v>115.39</v>
      </c>
      <c r="C1062" s="5">
        <v>95.88</v>
      </c>
      <c r="D1062" s="5">
        <v>201.47</v>
      </c>
      <c r="E1062" s="5">
        <v>376.29</v>
      </c>
      <c r="F1062" s="5">
        <v>26.95</v>
      </c>
      <c r="G1062" s="5">
        <v>57.48</v>
      </c>
      <c r="H1062" s="5">
        <v>43.6628</v>
      </c>
      <c r="I1062" s="5">
        <v>45.355</v>
      </c>
    </row>
    <row r="1063" ht="15.75" customHeight="1">
      <c r="A1063" s="4">
        <v>45957.0</v>
      </c>
      <c r="B1063" s="5">
        <v>115.94</v>
      </c>
      <c r="C1063" s="5">
        <v>95.4</v>
      </c>
      <c r="D1063" s="5">
        <v>199.3</v>
      </c>
      <c r="E1063" s="5">
        <v>379.74</v>
      </c>
      <c r="F1063" s="5">
        <v>33.36</v>
      </c>
      <c r="G1063" s="5">
        <v>57.67</v>
      </c>
      <c r="H1063" s="5">
        <v>43.7669</v>
      </c>
      <c r="I1063" s="5">
        <v>45.4791</v>
      </c>
    </row>
    <row r="1064" ht="15.75" customHeight="1">
      <c r="A1064" s="4">
        <v>45958.0</v>
      </c>
      <c r="B1064" s="5">
        <v>115.03</v>
      </c>
      <c r="C1064" s="5">
        <v>93.91</v>
      </c>
      <c r="D1064" s="5">
        <v>190.59</v>
      </c>
      <c r="E1064" s="5">
        <v>376.01</v>
      </c>
      <c r="F1064" s="5">
        <v>33.85</v>
      </c>
      <c r="G1064" s="5">
        <v>57.59</v>
      </c>
      <c r="H1064" s="5">
        <v>43.3108</v>
      </c>
      <c r="I1064" s="5">
        <v>44.7297</v>
      </c>
    </row>
    <row r="1065" ht="15.75" customHeight="1">
      <c r="A1065" s="4">
        <v>45959.0</v>
      </c>
      <c r="B1065" s="5">
        <v>116.45</v>
      </c>
      <c r="C1065" s="5">
        <v>93.51</v>
      </c>
      <c r="D1065" s="5">
        <v>199.37</v>
      </c>
      <c r="E1065" s="5">
        <v>387.75</v>
      </c>
      <c r="F1065" s="5">
        <v>34.97</v>
      </c>
      <c r="G1065" s="5">
        <v>56.98</v>
      </c>
      <c r="H1065" s="5">
        <v>43.633</v>
      </c>
      <c r="I1065" s="5">
        <v>44.7148</v>
      </c>
    </row>
    <row r="1066" ht="15.75" customHeight="1">
      <c r="A1066" s="4">
        <v>45960.0</v>
      </c>
      <c r="B1066" s="5">
        <v>114.69</v>
      </c>
      <c r="C1066" s="5">
        <v>95.07</v>
      </c>
      <c r="D1066" s="5">
        <v>189.71</v>
      </c>
      <c r="E1066" s="5">
        <v>383.09</v>
      </c>
      <c r="F1066" s="5">
        <v>34.59</v>
      </c>
      <c r="G1066" s="5">
        <v>57.62</v>
      </c>
      <c r="H1066" s="5">
        <v>43.3752</v>
      </c>
      <c r="I1066" s="5">
        <v>44.5262</v>
      </c>
    </row>
    <row r="1067" ht="15.75" customHeight="1">
      <c r="A1067" s="4">
        <v>45961.0</v>
      </c>
      <c r="B1067" s="5">
        <v>114.36</v>
      </c>
      <c r="C1067" s="5">
        <v>94.04</v>
      </c>
      <c r="D1067" s="5">
        <v>188.3</v>
      </c>
      <c r="E1067" s="5">
        <v>381.56</v>
      </c>
      <c r="F1067" s="5">
        <v>36.43</v>
      </c>
      <c r="G1067" s="5">
        <v>57.87</v>
      </c>
      <c r="H1067" s="5">
        <v>43.6925</v>
      </c>
      <c r="I1067" s="5">
        <v>44.2185</v>
      </c>
    </row>
    <row r="1068" ht="15.75" customHeight="1">
      <c r="A1068" s="4">
        <v>45964.0</v>
      </c>
      <c r="B1068" s="5">
        <v>113.76</v>
      </c>
      <c r="C1068" s="5">
        <v>93.15</v>
      </c>
      <c r="D1068" s="5">
        <v>193.04</v>
      </c>
      <c r="E1068" s="5">
        <v>386.57</v>
      </c>
      <c r="F1068" s="5">
        <v>37.06</v>
      </c>
      <c r="G1068" s="5">
        <v>59.03</v>
      </c>
      <c r="H1068" s="5">
        <v>43.6975</v>
      </c>
      <c r="I1068" s="5">
        <v>44.2433</v>
      </c>
    </row>
    <row r="1069" ht="15.75" customHeight="1">
      <c r="A1069" s="4">
        <v>45965.0</v>
      </c>
      <c r="B1069" s="5">
        <v>114.14</v>
      </c>
      <c r="C1069" s="5">
        <v>92.73</v>
      </c>
      <c r="D1069" s="5">
        <v>185.74</v>
      </c>
      <c r="E1069" s="5">
        <v>377.72</v>
      </c>
      <c r="F1069" s="5">
        <v>36.23</v>
      </c>
      <c r="G1069" s="5">
        <v>56.51</v>
      </c>
      <c r="H1069" s="5">
        <v>43.2265</v>
      </c>
      <c r="I1069" s="5">
        <v>44.0845</v>
      </c>
    </row>
    <row r="1070" ht="15.75" customHeight="1">
      <c r="A1070" s="4">
        <v>45966.0</v>
      </c>
      <c r="B1070" s="5">
        <v>113.68</v>
      </c>
      <c r="C1070" s="5">
        <v>91.41</v>
      </c>
      <c r="D1070" s="5">
        <v>189.39</v>
      </c>
      <c r="E1070" s="5">
        <v>385.44</v>
      </c>
      <c r="F1070" s="5">
        <v>37.02</v>
      </c>
      <c r="G1070" s="5">
        <v>57.54</v>
      </c>
      <c r="H1070" s="5">
        <v>43.3405</v>
      </c>
      <c r="I1070" s="5">
        <v>44.0944</v>
      </c>
    </row>
    <row r="1071" ht="15.75" customHeight="1">
      <c r="A1071" s="4">
        <v>45967.0</v>
      </c>
      <c r="B1071" s="5">
        <v>114.5</v>
      </c>
      <c r="C1071" s="5">
        <v>90.9</v>
      </c>
      <c r="D1071" s="5">
        <v>184.62</v>
      </c>
      <c r="E1071" s="5">
        <v>377.4</v>
      </c>
      <c r="F1071" s="5">
        <v>36.52</v>
      </c>
      <c r="G1071" s="5">
        <v>57.94</v>
      </c>
      <c r="H1071" s="5">
        <v>43.7619</v>
      </c>
      <c r="I1071" s="5">
        <v>43.9009</v>
      </c>
    </row>
    <row r="1072" ht="15.75" customHeight="1">
      <c r="A1072" s="4">
        <v>45968.0</v>
      </c>
      <c r="B1072" s="5">
        <v>117.22</v>
      </c>
      <c r="C1072" s="5">
        <v>91.44</v>
      </c>
      <c r="D1072" s="5">
        <v>191.0</v>
      </c>
      <c r="E1072" s="5">
        <v>373.77</v>
      </c>
      <c r="F1072" s="5">
        <v>36.26</v>
      </c>
      <c r="G1072" s="5">
        <v>59.58</v>
      </c>
      <c r="H1072" s="5">
        <v>44.3916</v>
      </c>
      <c r="I1072" s="5">
        <v>44.5113</v>
      </c>
    </row>
    <row r="1073" ht="15.75" customHeight="1">
      <c r="A1073" s="4">
        <v>45971.0</v>
      </c>
      <c r="B1073" s="5">
        <v>118.22</v>
      </c>
      <c r="C1073" s="5">
        <v>90.76</v>
      </c>
      <c r="D1073" s="5">
        <v>188.28</v>
      </c>
      <c r="E1073" s="5">
        <v>379.57</v>
      </c>
      <c r="F1073" s="5">
        <v>37.21</v>
      </c>
      <c r="G1073" s="5">
        <v>60.6</v>
      </c>
      <c r="H1073" s="5">
        <v>44.7931</v>
      </c>
      <c r="I1073" s="5">
        <v>44.4964</v>
      </c>
    </row>
    <row r="1074" ht="15.75" customHeight="1">
      <c r="A1074" s="4">
        <v>45972.0</v>
      </c>
      <c r="B1074" s="5">
        <v>119.78</v>
      </c>
      <c r="C1074" s="5">
        <v>91.14</v>
      </c>
      <c r="D1074" s="5">
        <v>179.16</v>
      </c>
      <c r="E1074" s="5">
        <v>367.91</v>
      </c>
      <c r="F1074" s="5">
        <v>37.52</v>
      </c>
      <c r="G1074" s="5">
        <v>60.6</v>
      </c>
      <c r="H1074" s="5">
        <v>45.3782</v>
      </c>
      <c r="I1074" s="5">
        <v>44.5212</v>
      </c>
    </row>
    <row r="1075" ht="15.75" customHeight="1">
      <c r="A1075" s="4">
        <v>45973.0</v>
      </c>
      <c r="B1075" s="5">
        <v>118.12</v>
      </c>
      <c r="C1075" s="5">
        <v>91.89</v>
      </c>
      <c r="D1075" s="5">
        <v>178.27</v>
      </c>
      <c r="E1075" s="5">
        <v>369.4</v>
      </c>
      <c r="F1075" s="5">
        <v>37.91</v>
      </c>
      <c r="G1075" s="5">
        <v>60.43</v>
      </c>
      <c r="H1075" s="5">
        <v>44.7436</v>
      </c>
      <c r="I1075" s="5">
        <v>44.6255</v>
      </c>
    </row>
    <row r="1076" ht="15.75" customHeight="1">
      <c r="A1076" s="4">
        <v>45974.0</v>
      </c>
      <c r="B1076" s="5">
        <v>118.79</v>
      </c>
      <c r="C1076" s="5">
        <v>91.17</v>
      </c>
      <c r="D1076" s="5">
        <v>171.56</v>
      </c>
      <c r="E1076" s="5">
        <v>354.07</v>
      </c>
      <c r="F1076" s="5">
        <v>37.24</v>
      </c>
      <c r="G1076" s="5">
        <v>59.59</v>
      </c>
      <c r="H1076" s="5">
        <v>44.8576</v>
      </c>
      <c r="I1076" s="5">
        <v>44.0101</v>
      </c>
    </row>
    <row r="1077" ht="15.75" customHeight="1">
      <c r="A1077" s="4">
        <v>45975.0</v>
      </c>
      <c r="B1077" s="5">
        <v>119.29</v>
      </c>
      <c r="C1077" s="5">
        <v>90.69</v>
      </c>
      <c r="D1077" s="5">
        <v>174.69</v>
      </c>
      <c r="E1077" s="5">
        <v>352.39</v>
      </c>
      <c r="F1077" s="5">
        <v>38.67</v>
      </c>
      <c r="G1077" s="5">
        <v>60.99</v>
      </c>
      <c r="H1077" s="5">
        <v>45.6211</v>
      </c>
      <c r="I1077" s="5">
        <v>44.0498</v>
      </c>
    </row>
    <row r="1078" ht="15.75" customHeight="1">
      <c r="A1078" s="4">
        <v>45978.0</v>
      </c>
      <c r="B1078" s="5">
        <v>117.68</v>
      </c>
      <c r="C1078" s="5">
        <v>90.58</v>
      </c>
      <c r="D1078" s="5">
        <v>175.0</v>
      </c>
      <c r="E1078" s="5">
        <v>342.75</v>
      </c>
      <c r="F1078" s="5">
        <v>38.48</v>
      </c>
      <c r="G1078" s="5">
        <v>59.91</v>
      </c>
      <c r="H1078" s="5">
        <v>44.7882</v>
      </c>
      <c r="I1078" s="5">
        <v>44.4468</v>
      </c>
    </row>
    <row r="1079" ht="15.75" customHeight="1">
      <c r="A1079" s="4">
        <v>45979.0</v>
      </c>
      <c r="B1079" s="5">
        <v>119.03</v>
      </c>
      <c r="C1079" s="5">
        <v>90.69</v>
      </c>
      <c r="D1079" s="5">
        <v>174.42</v>
      </c>
      <c r="E1079" s="5">
        <v>338.29</v>
      </c>
      <c r="F1079" s="5">
        <v>38.66</v>
      </c>
      <c r="G1079" s="5">
        <v>59.17</v>
      </c>
      <c r="H1079" s="5">
        <v>45.1451</v>
      </c>
      <c r="I1079" s="5">
        <v>44.2781</v>
      </c>
    </row>
    <row r="1080" ht="15.75" customHeight="1">
      <c r="A1080" s="4">
        <v>45980.0</v>
      </c>
      <c r="B1080" s="5">
        <v>117.35</v>
      </c>
      <c r="C1080" s="5">
        <v>89.05</v>
      </c>
      <c r="D1080" s="5">
        <v>179.14</v>
      </c>
      <c r="E1080" s="5">
        <v>345.65</v>
      </c>
      <c r="F1080" s="5">
        <v>38.67</v>
      </c>
      <c r="G1080" s="5">
        <v>58.89</v>
      </c>
      <c r="H1080" s="5">
        <v>44.5601</v>
      </c>
      <c r="I1080" s="5">
        <v>43.9058</v>
      </c>
    </row>
    <row r="1081" ht="15.75" customHeight="1">
      <c r="A1081" s="4">
        <v>45981.0</v>
      </c>
      <c r="B1081" s="5">
        <v>117.02</v>
      </c>
      <c r="C1081" s="5">
        <v>88.57</v>
      </c>
      <c r="D1081" s="5">
        <v>173.79</v>
      </c>
      <c r="E1081" s="5">
        <v>328.19</v>
      </c>
      <c r="F1081" s="5">
        <v>37.01</v>
      </c>
      <c r="G1081" s="5">
        <v>58.91</v>
      </c>
      <c r="H1081" s="5">
        <v>44.0544</v>
      </c>
      <c r="I1081" s="5">
        <v>43.6825</v>
      </c>
    </row>
    <row r="1082" ht="15.75" customHeight="1">
      <c r="A1082" s="4">
        <v>45982.0</v>
      </c>
      <c r="B1082" s="5">
        <v>117.08</v>
      </c>
      <c r="C1082" s="5">
        <v>89.27</v>
      </c>
      <c r="D1082" s="5">
        <v>168.59</v>
      </c>
      <c r="E1082" s="5">
        <v>331.71</v>
      </c>
      <c r="F1082" s="5">
        <v>35.7</v>
      </c>
      <c r="G1082" s="5">
        <v>59.61</v>
      </c>
      <c r="H1082" s="5">
        <v>44.3321</v>
      </c>
      <c r="I1082" s="5">
        <v>43.747</v>
      </c>
    </row>
    <row r="1083" ht="15.75" customHeight="1">
      <c r="A1083" s="4">
        <v>45985.0</v>
      </c>
      <c r="B1083" s="5">
        <v>115.97</v>
      </c>
      <c r="C1083" s="5">
        <v>89.14</v>
      </c>
      <c r="D1083" s="5">
        <v>175.14</v>
      </c>
      <c r="E1083" s="5">
        <v>330.43</v>
      </c>
      <c r="F1083" s="5">
        <v>35.29</v>
      </c>
      <c r="G1083" s="5">
        <v>59.43</v>
      </c>
      <c r="H1083" s="5">
        <v>44.2081</v>
      </c>
      <c r="I1083" s="5">
        <v>44.2433</v>
      </c>
    </row>
    <row r="1084" ht="15.75" customHeight="1">
      <c r="A1084" s="4">
        <v>45986.0</v>
      </c>
      <c r="B1084" s="5">
        <v>114.51</v>
      </c>
      <c r="C1084" s="5">
        <v>89.29</v>
      </c>
      <c r="D1084" s="5">
        <v>170.84</v>
      </c>
      <c r="E1084" s="5">
        <v>336.65</v>
      </c>
      <c r="F1084" s="5">
        <v>35.34</v>
      </c>
      <c r="G1084" s="5">
        <v>59.37</v>
      </c>
      <c r="H1084" s="5">
        <v>43.9305</v>
      </c>
      <c r="I1084" s="5">
        <v>44.0746</v>
      </c>
    </row>
    <row r="1085" ht="15.75" customHeight="1">
      <c r="A1085" s="4">
        <v>45987.0</v>
      </c>
      <c r="B1085" s="5">
        <v>114.77</v>
      </c>
      <c r="C1085" s="5">
        <v>90.24</v>
      </c>
      <c r="D1085" s="5">
        <v>176.8</v>
      </c>
      <c r="E1085" s="5">
        <v>341.69</v>
      </c>
      <c r="F1085" s="5">
        <v>36.06</v>
      </c>
      <c r="G1085" s="5">
        <v>60.22</v>
      </c>
      <c r="H1085" s="5">
        <v>44.2627</v>
      </c>
      <c r="I1085" s="5">
        <v>44.6602</v>
      </c>
    </row>
    <row r="1086" ht="15.75" customHeight="1">
      <c r="A1086" s="4">
        <v>45989.0</v>
      </c>
      <c r="B1086" s="5">
        <v>115.92</v>
      </c>
      <c r="C1086" s="5">
        <v>91.12</v>
      </c>
      <c r="D1086" s="5">
        <v>178.86</v>
      </c>
      <c r="E1086" s="5">
        <v>345.89</v>
      </c>
      <c r="F1086" s="5">
        <v>36.82</v>
      </c>
      <c r="G1086" s="5">
        <v>60.93</v>
      </c>
      <c r="H1086" s="5">
        <v>44.8427</v>
      </c>
      <c r="I1086" s="5">
        <v>44.9778</v>
      </c>
    </row>
    <row r="1087" ht="15.75" customHeight="1">
      <c r="A1087" s="4">
        <v>45992.0</v>
      </c>
      <c r="B1087" s="5">
        <v>116.63</v>
      </c>
      <c r="C1087" s="5">
        <v>89.01</v>
      </c>
      <c r="D1087" s="5">
        <v>173.64</v>
      </c>
      <c r="E1087" s="5">
        <v>339.71</v>
      </c>
      <c r="F1087" s="5">
        <v>36.43</v>
      </c>
      <c r="G1087" s="5">
        <v>61.44</v>
      </c>
      <c r="H1087" s="5">
        <v>45.274</v>
      </c>
      <c r="I1087" s="5">
        <v>43.9257</v>
      </c>
    </row>
    <row r="1088" ht="15.75" customHeight="1">
      <c r="A1088" s="4">
        <v>45993.0</v>
      </c>
      <c r="B1088" s="5">
        <v>115.38</v>
      </c>
      <c r="C1088" s="5">
        <v>89.04</v>
      </c>
      <c r="D1088" s="5">
        <v>172.55</v>
      </c>
      <c r="E1088" s="5">
        <v>333.11</v>
      </c>
      <c r="F1088" s="5">
        <v>36.11</v>
      </c>
      <c r="G1088" s="5">
        <v>60.21</v>
      </c>
      <c r="H1088" s="5">
        <v>44.689</v>
      </c>
      <c r="I1088" s="5">
        <v>43.613</v>
      </c>
    </row>
    <row r="1089" ht="15.75" customHeight="1">
      <c r="A1089" s="4">
        <v>45994.0</v>
      </c>
      <c r="B1089" s="5">
        <v>117.8</v>
      </c>
      <c r="C1089" s="5">
        <v>87.98</v>
      </c>
      <c r="D1089" s="5">
        <v>171.65</v>
      </c>
      <c r="E1089" s="5">
        <v>335.57</v>
      </c>
      <c r="F1089" s="5">
        <v>37.25</v>
      </c>
      <c r="G1089" s="5">
        <v>61.55</v>
      </c>
      <c r="H1089" s="5">
        <v>45.5269</v>
      </c>
      <c r="I1089" s="5">
        <v>43.4741</v>
      </c>
    </row>
    <row r="1090" ht="15.75" customHeight="1">
      <c r="A1090" s="4">
        <v>45995.0</v>
      </c>
      <c r="B1090" s="5">
        <v>117.14</v>
      </c>
      <c r="C1090" s="5">
        <v>87.33</v>
      </c>
      <c r="D1090" s="5">
        <v>176.07</v>
      </c>
      <c r="E1090" s="5">
        <v>338.93</v>
      </c>
      <c r="F1090" s="5">
        <v>36.64</v>
      </c>
      <c r="G1090" s="5">
        <v>63.66</v>
      </c>
      <c r="H1090" s="5">
        <v>45.7202</v>
      </c>
      <c r="I1090" s="5">
        <v>43.3848</v>
      </c>
    </row>
    <row r="1091" ht="15.75" customHeight="1">
      <c r="A1091" s="4">
        <v>45996.0</v>
      </c>
      <c r="B1091" s="5">
        <v>116.54</v>
      </c>
      <c r="C1091" s="5">
        <v>86.28</v>
      </c>
      <c r="D1091" s="5">
        <v>167.17</v>
      </c>
      <c r="E1091" s="5">
        <v>337.66</v>
      </c>
      <c r="F1091" s="5">
        <v>35.79</v>
      </c>
      <c r="G1091" s="5">
        <v>62.81</v>
      </c>
      <c r="H1091" s="5">
        <v>45.5318</v>
      </c>
      <c r="I1091" s="5">
        <v>42.9778</v>
      </c>
    </row>
    <row r="1092" ht="15.75" customHeight="1">
      <c r="A1092" s="4">
        <v>45999.0</v>
      </c>
      <c r="B1092" s="5">
        <v>115.98</v>
      </c>
      <c r="C1092" s="5">
        <v>85.56</v>
      </c>
      <c r="D1092" s="5">
        <v>166.12</v>
      </c>
      <c r="E1092" s="5">
        <v>343.39</v>
      </c>
      <c r="F1092" s="5">
        <v>35.94</v>
      </c>
      <c r="G1092" s="5">
        <v>61.95</v>
      </c>
      <c r="H1092" s="5">
        <v>45.0361</v>
      </c>
      <c r="I1092" s="5">
        <v>42.4021</v>
      </c>
    </row>
    <row r="1093" ht="15.75" customHeight="1">
      <c r="A1093" s="4">
        <v>46000.0</v>
      </c>
      <c r="B1093" s="5">
        <v>118.25</v>
      </c>
      <c r="C1093" s="5">
        <v>85.49</v>
      </c>
      <c r="D1093" s="5">
        <v>164.81</v>
      </c>
      <c r="E1093" s="5">
        <v>341.76</v>
      </c>
      <c r="F1093" s="5">
        <v>35.73</v>
      </c>
      <c r="G1093" s="5">
        <v>61.55</v>
      </c>
      <c r="H1093" s="5">
        <v>45.3137</v>
      </c>
      <c r="I1093" s="5">
        <v>42.4319</v>
      </c>
    </row>
    <row r="1094" ht="15.75" customHeight="1">
      <c r="A1094" s="4">
        <v>46001.0</v>
      </c>
      <c r="B1094" s="5">
        <v>119.54</v>
      </c>
      <c r="C1094" s="5">
        <v>84.08</v>
      </c>
      <c r="D1094" s="5">
        <v>165.17</v>
      </c>
      <c r="E1094" s="5">
        <v>353.45</v>
      </c>
      <c r="F1094" s="5">
        <v>36.07</v>
      </c>
      <c r="G1094" s="5">
        <v>60.5</v>
      </c>
      <c r="H1094" s="5">
        <v>45.7897</v>
      </c>
      <c r="I1094" s="5">
        <v>42.412</v>
      </c>
    </row>
    <row r="1095" ht="15.75" customHeight="1">
      <c r="A1095" s="4">
        <v>46002.0</v>
      </c>
      <c r="B1095" s="5">
        <v>119.54</v>
      </c>
      <c r="C1095" s="5">
        <v>84.73</v>
      </c>
      <c r="D1095" s="5">
        <v>174.6</v>
      </c>
      <c r="E1095" s="5">
        <v>350.36</v>
      </c>
      <c r="F1095" s="5">
        <v>35.55</v>
      </c>
      <c r="G1095" s="5">
        <v>60.92</v>
      </c>
      <c r="H1095" s="5">
        <v>45.5715</v>
      </c>
      <c r="I1095" s="5">
        <v>42.7197</v>
      </c>
    </row>
    <row r="1096" ht="15.75" customHeight="1">
      <c r="A1096" s="4">
        <v>46003.0</v>
      </c>
      <c r="B1096" s="5">
        <v>118.82</v>
      </c>
      <c r="C1096" s="5">
        <v>84.44</v>
      </c>
      <c r="D1096" s="5">
        <v>170.1</v>
      </c>
      <c r="E1096" s="5">
        <v>331.98</v>
      </c>
      <c r="F1096" s="5">
        <v>35.03</v>
      </c>
      <c r="G1096" s="5">
        <v>59.74</v>
      </c>
      <c r="H1096" s="5">
        <v>45.1253</v>
      </c>
      <c r="I1096" s="5">
        <v>42.5113</v>
      </c>
    </row>
    <row r="1097" ht="15.75" customHeight="1">
      <c r="A1097" s="4">
        <v>46006.0</v>
      </c>
      <c r="B1097" s="5">
        <v>117.76</v>
      </c>
      <c r="C1097" s="5">
        <v>86.0</v>
      </c>
      <c r="D1097" s="5">
        <v>168.25</v>
      </c>
      <c r="E1097" s="5">
        <v>333.21</v>
      </c>
      <c r="F1097" s="5">
        <v>35.11</v>
      </c>
      <c r="G1097" s="5">
        <v>59.48</v>
      </c>
      <c r="H1097" s="5">
        <v>44.808</v>
      </c>
      <c r="I1097" s="5">
        <v>42.8984</v>
      </c>
    </row>
    <row r="1098" ht="15.75" customHeight="1">
      <c r="A1098" s="4">
        <v>46007.0</v>
      </c>
      <c r="B1098" s="5">
        <v>114.68</v>
      </c>
      <c r="C1098" s="5">
        <v>85.71</v>
      </c>
      <c r="D1098" s="5">
        <v>173.45</v>
      </c>
      <c r="E1098" s="5">
        <v>329.93</v>
      </c>
      <c r="F1098" s="5">
        <v>34.14</v>
      </c>
      <c r="G1098" s="5">
        <v>58.41</v>
      </c>
      <c r="H1098" s="5">
        <v>43.4397</v>
      </c>
      <c r="I1098" s="5">
        <v>42.7197</v>
      </c>
    </row>
    <row r="1099" ht="15.75" customHeight="1">
      <c r="A1099" s="4">
        <v>46008.0</v>
      </c>
      <c r="B1099" s="5">
        <v>117.41</v>
      </c>
      <c r="C1099" s="5">
        <v>87.03</v>
      </c>
      <c r="D1099" s="5">
        <v>159.97</v>
      </c>
      <c r="E1099" s="5">
        <v>315.82</v>
      </c>
      <c r="F1099" s="5">
        <v>34.06</v>
      </c>
      <c r="G1099" s="5">
        <v>58.84</v>
      </c>
      <c r="H1099" s="5">
        <v>44.4015</v>
      </c>
      <c r="I1099" s="5">
        <v>42.4418</v>
      </c>
    </row>
    <row r="1100" ht="15.75" customHeight="1">
      <c r="A1100" s="4">
        <v>46009.0</v>
      </c>
      <c r="B1100" s="5">
        <v>116.54</v>
      </c>
      <c r="C1100" s="5">
        <v>87.22</v>
      </c>
      <c r="D1100" s="5">
        <v>166.17</v>
      </c>
      <c r="E1100" s="5">
        <v>315.95</v>
      </c>
      <c r="F1100" s="5">
        <v>35.61</v>
      </c>
      <c r="G1100" s="5">
        <v>58.66</v>
      </c>
      <c r="H1100" s="5">
        <v>43.757</v>
      </c>
      <c r="I1100" s="5">
        <v>42.8587</v>
      </c>
    </row>
    <row r="1101" ht="15.75" customHeight="1">
      <c r="A1101" s="4">
        <v>46010.0</v>
      </c>
      <c r="B1101" s="5">
        <v>116.69</v>
      </c>
      <c r="C1101" s="5">
        <v>85.28</v>
      </c>
      <c r="D1101" s="5">
        <v>163.03</v>
      </c>
      <c r="E1101" s="5">
        <v>317.8</v>
      </c>
      <c r="F1101" s="5">
        <v>35.54</v>
      </c>
      <c r="G1101" s="5">
        <v>58.26</v>
      </c>
      <c r="H1101" s="5">
        <v>43.757</v>
      </c>
      <c r="I1101" s="5">
        <v>42.3128</v>
      </c>
    </row>
    <row r="1102" ht="15.75" customHeight="1">
      <c r="A1102" s="4">
        <v>46013.0</v>
      </c>
      <c r="B1102" s="5">
        <v>118.15</v>
      </c>
      <c r="C1102" s="5">
        <v>85.72</v>
      </c>
      <c r="D1102" s="5">
        <v>161.57</v>
      </c>
      <c r="E1102" s="5">
        <v>320.39</v>
      </c>
      <c r="F1102" s="5">
        <v>35.51</v>
      </c>
      <c r="G1102" s="5">
        <v>58.92</v>
      </c>
      <c r="H1102" s="5">
        <v>44.21</v>
      </c>
      <c r="I1102" s="5">
        <v>42.47</v>
      </c>
    </row>
    <row r="1103" ht="15.75" customHeight="1">
      <c r="A1103" s="4">
        <v>46014.0</v>
      </c>
      <c r="B1103" s="5">
        <v>119.42</v>
      </c>
      <c r="C1103" s="5">
        <v>86.39</v>
      </c>
      <c r="D1103" s="5">
        <v>161.67</v>
      </c>
      <c r="E1103" s="5">
        <v>322.81</v>
      </c>
      <c r="F1103" s="5">
        <v>35.91</v>
      </c>
      <c r="G1103" s="5">
        <v>59.75</v>
      </c>
      <c r="H1103" s="5">
        <v>44.5</v>
      </c>
      <c r="I1103" s="5">
        <v>42.62</v>
      </c>
    </row>
    <row r="1104" ht="15.75" customHeight="1">
      <c r="A1104" s="4">
        <v>46015.0</v>
      </c>
      <c r="B1104" s="5">
        <v>119.22</v>
      </c>
      <c r="C1104" s="5">
        <v>87.17</v>
      </c>
      <c r="D1104" s="5">
        <v>161.96</v>
      </c>
      <c r="E1104" s="5">
        <v>323.67</v>
      </c>
      <c r="F1104" s="5">
        <v>36.02</v>
      </c>
      <c r="G1104" s="5">
        <v>59.46</v>
      </c>
      <c r="H1104" s="5">
        <v>44.37</v>
      </c>
      <c r="I1104" s="5">
        <v>42.81</v>
      </c>
    </row>
    <row r="1105" ht="15.75" customHeight="1">
      <c r="A1105" s="4">
        <v>46017.0</v>
      </c>
      <c r="B1105" s="5">
        <v>119.11</v>
      </c>
      <c r="C1105" s="5">
        <v>87.17</v>
      </c>
      <c r="D1105" s="5">
        <v>161.67</v>
      </c>
      <c r="E1105" s="5">
        <v>322.17</v>
      </c>
      <c r="F1105" s="5">
        <v>35.96</v>
      </c>
      <c r="G1105" s="5">
        <v>59.52</v>
      </c>
      <c r="H1105" s="5">
        <v>44.2</v>
      </c>
      <c r="I1105" s="5">
        <v>42.78</v>
      </c>
    </row>
    <row r="1106" ht="15.75" customHeight="1">
      <c r="A1106" s="4">
        <v>46020.0</v>
      </c>
      <c r="B1106" s="5">
        <v>120.53</v>
      </c>
      <c r="C1106" s="5">
        <v>87.54</v>
      </c>
      <c r="D1106" s="5">
        <v>161.84</v>
      </c>
      <c r="E1106" s="5">
        <v>321.45</v>
      </c>
      <c r="F1106" s="5">
        <v>36.46</v>
      </c>
      <c r="G1106" s="5">
        <v>59.8</v>
      </c>
      <c r="H1106" s="5">
        <v>44.62</v>
      </c>
      <c r="I1106" s="5">
        <v>42.86</v>
      </c>
    </row>
    <row r="1107" ht="15.75" customHeight="1">
      <c r="A1107" s="4">
        <v>46021.0</v>
      </c>
      <c r="B1107" s="5">
        <v>120.99</v>
      </c>
      <c r="C1107" s="5">
        <v>87.57</v>
      </c>
      <c r="D1107" s="5">
        <v>162.62</v>
      </c>
      <c r="E1107" s="5">
        <v>320.86</v>
      </c>
      <c r="F1107" s="5">
        <v>36.08</v>
      </c>
      <c r="G1107" s="5">
        <v>60.16</v>
      </c>
      <c r="H1107" s="5">
        <v>44.96</v>
      </c>
      <c r="I1107" s="5">
        <v>42.96</v>
      </c>
    </row>
    <row r="1108" ht="15.75" customHeight="1">
      <c r="A1108" s="4">
        <v>46022.0</v>
      </c>
      <c r="B1108" s="5">
        <v>120.34</v>
      </c>
      <c r="C1108" s="5">
        <v>87.2</v>
      </c>
      <c r="D1108" s="5">
        <v>161.33</v>
      </c>
      <c r="E1108" s="5">
        <v>318.51</v>
      </c>
      <c r="F1108" s="5">
        <v>36.16</v>
      </c>
      <c r="G1108" s="5">
        <v>60.11</v>
      </c>
      <c r="H1108" s="5">
        <v>44.71</v>
      </c>
      <c r="I1108" s="5">
        <v>42.69</v>
      </c>
    </row>
    <row r="1109" ht="15.75" customHeight="1">
      <c r="A1109" s="4">
        <v>46024.0</v>
      </c>
      <c r="B1109" s="5">
        <v>122.65</v>
      </c>
      <c r="C1109" s="5">
        <v>87.18</v>
      </c>
      <c r="D1109" s="5">
        <v>165.23</v>
      </c>
      <c r="E1109" s="5">
        <v>327.31</v>
      </c>
      <c r="F1109" s="5">
        <v>36.29</v>
      </c>
      <c r="G1109" s="5">
        <v>60.85</v>
      </c>
      <c r="H1109" s="5">
        <v>45.65</v>
      </c>
      <c r="I1109" s="5">
        <v>43.18</v>
      </c>
    </row>
    <row r="1110" ht="15.75" customHeight="1">
      <c r="A1110" s="4">
        <v>46027.0</v>
      </c>
      <c r="B1110" s="5">
        <v>125.36</v>
      </c>
      <c r="C1110" s="5">
        <v>86.87</v>
      </c>
      <c r="D1110" s="5">
        <v>162.93</v>
      </c>
      <c r="E1110" s="5">
        <v>322.26</v>
      </c>
      <c r="F1110" s="5">
        <v>36.38</v>
      </c>
      <c r="G1110" s="5">
        <v>61.16</v>
      </c>
      <c r="H1110" s="5">
        <v>46.89</v>
      </c>
      <c r="I1110" s="5">
        <v>42.7</v>
      </c>
    </row>
    <row r="1111" ht="15.75" customHeight="1">
      <c r="A1111" s="4">
        <v>46028.0</v>
      </c>
      <c r="B1111" s="5">
        <v>121.05</v>
      </c>
      <c r="C1111" s="5">
        <v>87.52</v>
      </c>
      <c r="D1111" s="5">
        <v>169.53</v>
      </c>
      <c r="E1111" s="5">
        <v>332.97</v>
      </c>
      <c r="F1111" s="5">
        <v>34.39</v>
      </c>
      <c r="G1111" s="5">
        <v>59.5</v>
      </c>
      <c r="H1111" s="5">
        <v>45.64</v>
      </c>
      <c r="I1111" s="5">
        <v>42.91</v>
      </c>
    </row>
    <row r="1112" ht="15.75" customHeight="1">
      <c r="A1112" s="4">
        <v>46029.0</v>
      </c>
      <c r="B1112" s="5">
        <v>118.49</v>
      </c>
      <c r="C1112" s="5">
        <v>86.27</v>
      </c>
      <c r="D1112" s="5">
        <v>154.6</v>
      </c>
      <c r="E1112" s="5">
        <v>322.67</v>
      </c>
      <c r="F1112" s="5">
        <v>32.78</v>
      </c>
      <c r="G1112" s="5">
        <v>60.39</v>
      </c>
      <c r="H1112" s="5">
        <v>45.13</v>
      </c>
      <c r="I1112" s="5">
        <v>41.87</v>
      </c>
    </row>
    <row r="1113" ht="15.75" customHeight="1">
      <c r="A1113" s="4">
        <v>46030.0</v>
      </c>
      <c r="B1113" s="5">
        <v>122.91</v>
      </c>
      <c r="C1113" s="5">
        <v>87.22</v>
      </c>
      <c r="D1113" s="5">
        <v>150.6</v>
      </c>
      <c r="E1113" s="5">
        <v>320.58</v>
      </c>
      <c r="F1113" s="5">
        <v>33.8</v>
      </c>
      <c r="G1113" s="5">
        <v>61.15</v>
      </c>
      <c r="H1113" s="5">
        <v>46.55</v>
      </c>
      <c r="I1113" s="5">
        <v>41.99</v>
      </c>
    </row>
    <row r="1114" ht="15.75" customHeight="1">
      <c r="A1114" s="4">
        <v>46031.0</v>
      </c>
      <c r="B1114" s="5">
        <v>124.61</v>
      </c>
      <c r="C1114" s="5">
        <v>87.01</v>
      </c>
      <c r="D1114" s="5">
        <v>166.37</v>
      </c>
      <c r="E1114" s="5">
        <v>324.51</v>
      </c>
      <c r="F1114" s="5">
        <v>34.08</v>
      </c>
      <c r="G1114" s="5">
        <v>60.32</v>
      </c>
      <c r="H1114" s="5">
        <v>46.67</v>
      </c>
      <c r="I1114" s="5">
        <v>42.51</v>
      </c>
    </row>
    <row r="1115" ht="15.75" customHeight="1">
      <c r="A1115" s="4">
        <v>46034.0</v>
      </c>
      <c r="B1115" s="5">
        <v>124.03</v>
      </c>
      <c r="C1115" s="5">
        <v>86.74</v>
      </c>
      <c r="D1115" s="5">
        <v>172.58</v>
      </c>
      <c r="E1115" s="5">
        <v>329.1</v>
      </c>
      <c r="F1115" s="5">
        <v>33.82</v>
      </c>
      <c r="G1115" s="5">
        <v>59.56</v>
      </c>
      <c r="H1115" s="5">
        <v>46.34</v>
      </c>
      <c r="I1115" s="5">
        <v>42.58</v>
      </c>
    </row>
    <row r="1116" ht="15.75" customHeight="1">
      <c r="A1116" s="4">
        <v>46035.0</v>
      </c>
      <c r="B1116" s="5">
        <v>126.54</v>
      </c>
      <c r="C1116" s="5">
        <v>87.55</v>
      </c>
      <c r="D1116" s="5">
        <v>171.42</v>
      </c>
      <c r="E1116" s="5">
        <v>332.38</v>
      </c>
      <c r="F1116" s="5">
        <v>34.83</v>
      </c>
      <c r="G1116" s="5">
        <v>60.49</v>
      </c>
      <c r="H1116" s="5">
        <v>47.0</v>
      </c>
      <c r="I1116" s="5">
        <v>42.85</v>
      </c>
    </row>
    <row r="1117" ht="15.75" customHeight="1">
      <c r="A1117" s="4">
        <v>46036.0</v>
      </c>
      <c r="B1117" s="5">
        <v>130.2</v>
      </c>
      <c r="C1117" s="5">
        <v>88.42</v>
      </c>
      <c r="D1117" s="5">
        <v>168.97</v>
      </c>
      <c r="E1117" s="5">
        <v>331.14</v>
      </c>
      <c r="F1117" s="5">
        <v>34.55</v>
      </c>
      <c r="G1117" s="5">
        <v>60.71</v>
      </c>
      <c r="H1117" s="5">
        <v>48.06</v>
      </c>
      <c r="I1117" s="5">
        <v>43.17</v>
      </c>
    </row>
    <row r="1118" ht="15.75" customHeight="1">
      <c r="A1118" s="4">
        <v>46037.0</v>
      </c>
      <c r="B1118" s="5">
        <v>129.13</v>
      </c>
      <c r="C1118" s="5">
        <v>88.78</v>
      </c>
      <c r="D1118" s="5">
        <v>180.18</v>
      </c>
      <c r="E1118" s="5">
        <v>333.46</v>
      </c>
      <c r="F1118" s="5">
        <v>33.72</v>
      </c>
      <c r="G1118" s="5">
        <v>60.29</v>
      </c>
      <c r="H1118" s="5">
        <v>47.61</v>
      </c>
      <c r="I1118" s="5">
        <v>43.61</v>
      </c>
    </row>
    <row r="1119" ht="15.75" customHeight="1">
      <c r="A1119" s="4">
        <v>46038.0</v>
      </c>
      <c r="B1119" s="5">
        <v>129.89</v>
      </c>
      <c r="C1119" s="5">
        <v>88.9</v>
      </c>
      <c r="D1119" s="5">
        <v>166.6</v>
      </c>
      <c r="E1119" s="5">
        <v>343.75</v>
      </c>
      <c r="F1119" s="5">
        <v>34.31</v>
      </c>
      <c r="G1119" s="5">
        <v>61.55</v>
      </c>
      <c r="H1119" s="5">
        <v>47.69</v>
      </c>
      <c r="I1119" s="5">
        <v>43.39</v>
      </c>
    </row>
    <row r="1120" ht="15.75" customHeight="1">
      <c r="A1120" s="4">
        <v>46042.0</v>
      </c>
      <c r="B1120" s="5">
        <v>130.46</v>
      </c>
      <c r="C1120" s="5">
        <v>88.82</v>
      </c>
      <c r="D1120" s="5">
        <v>156.81</v>
      </c>
      <c r="E1120" s="5">
        <v>337.59</v>
      </c>
      <c r="F1120" s="5">
        <v>34.52</v>
      </c>
      <c r="G1120" s="5">
        <v>61.51</v>
      </c>
      <c r="H1120" s="5">
        <v>47.6</v>
      </c>
      <c r="I1120" s="5">
        <v>42.96</v>
      </c>
    </row>
    <row r="1121" ht="15.75" customHeight="1">
      <c r="A1121" s="4">
        <v>46043.0</v>
      </c>
      <c r="B1121" s="5">
        <v>133.61</v>
      </c>
      <c r="C1121" s="5">
        <v>89.15</v>
      </c>
      <c r="D1121" s="5">
        <v>160.02</v>
      </c>
      <c r="E1121" s="5">
        <v>337.96</v>
      </c>
      <c r="F1121" s="5">
        <v>36.09</v>
      </c>
      <c r="G1121" s="5">
        <v>63.18</v>
      </c>
      <c r="H1121" s="5">
        <v>48.75</v>
      </c>
      <c r="I1121" s="5">
        <v>43.02</v>
      </c>
    </row>
    <row r="1122" ht="15.75" customHeight="1">
      <c r="A1122" s="4">
        <v>46044.0</v>
      </c>
      <c r="B1122" s="5">
        <v>133.64</v>
      </c>
      <c r="C1122" s="5">
        <v>87.51</v>
      </c>
      <c r="D1122" s="5">
        <v>160.36</v>
      </c>
      <c r="E1122" s="5">
        <v>334.04</v>
      </c>
      <c r="F1122" s="5">
        <v>35.69</v>
      </c>
      <c r="G1122" s="5">
        <v>63.72</v>
      </c>
      <c r="H1122" s="5">
        <v>48.91</v>
      </c>
      <c r="I1122" s="5">
        <v>42.71</v>
      </c>
    </row>
    <row r="1123" ht="15.75" customHeight="1">
      <c r="A1123" s="4">
        <v>46045.0</v>
      </c>
      <c r="B1123" s="5">
        <v>134.97</v>
      </c>
      <c r="C1123" s="5">
        <v>87.54</v>
      </c>
      <c r="D1123" s="5">
        <v>160.12</v>
      </c>
      <c r="E1123" s="5">
        <v>331.22</v>
      </c>
      <c r="F1123" s="5">
        <v>36.42</v>
      </c>
      <c r="G1123" s="5">
        <v>64.96</v>
      </c>
      <c r="H1123" s="5">
        <v>49.19</v>
      </c>
      <c r="I1123" s="5">
        <v>42.56</v>
      </c>
    </row>
    <row r="1124" ht="15.75" customHeight="1">
      <c r="A1124" s="4">
        <v>46048.0</v>
      </c>
      <c r="B1124" s="5">
        <v>134.84</v>
      </c>
      <c r="C1124" s="5">
        <v>88.16</v>
      </c>
      <c r="D1124" s="5">
        <v>158.81</v>
      </c>
      <c r="E1124" s="5">
        <v>332.28</v>
      </c>
      <c r="F1124" s="5">
        <v>36.53</v>
      </c>
      <c r="G1124" s="5">
        <v>64.29</v>
      </c>
      <c r="H1124" s="5">
        <v>49.22</v>
      </c>
      <c r="I1124" s="5">
        <v>42.87</v>
      </c>
    </row>
    <row r="1125" ht="15.75" customHeight="1">
      <c r="A1125" s="4">
        <v>46049.0</v>
      </c>
      <c r="B1125" s="5">
        <v>136.83</v>
      </c>
      <c r="C1125" s="5">
        <v>88.84</v>
      </c>
      <c r="D1125" s="5">
        <v>164.26</v>
      </c>
      <c r="E1125" s="5">
        <v>341.19</v>
      </c>
      <c r="F1125" s="5">
        <v>38.28</v>
      </c>
      <c r="G1125" s="5">
        <v>65.48</v>
      </c>
      <c r="H1125" s="5">
        <v>49.67</v>
      </c>
      <c r="I1125" s="5">
        <v>43.43</v>
      </c>
    </row>
    <row r="1126" ht="15.75" customHeight="1">
      <c r="A1126" s="4">
        <v>46050.0</v>
      </c>
      <c r="B1126" s="5">
        <v>137.58</v>
      </c>
      <c r="C1126" s="5">
        <v>88.33</v>
      </c>
      <c r="D1126" s="5">
        <v>165.64</v>
      </c>
      <c r="E1126" s="5">
        <v>347.32</v>
      </c>
      <c r="F1126" s="5">
        <v>38.6</v>
      </c>
      <c r="G1126" s="5">
        <v>66.92</v>
      </c>
      <c r="H1126" s="5">
        <v>50.05</v>
      </c>
      <c r="I1126" s="5">
        <v>43.33</v>
      </c>
    </row>
    <row r="1127" ht="15.75" customHeight="1">
      <c r="A1127" s="4">
        <v>46051.0</v>
      </c>
      <c r="B1127" s="5">
        <v>140.51</v>
      </c>
      <c r="C1127" s="5">
        <v>89.14</v>
      </c>
      <c r="D1127" s="5">
        <v>162.58</v>
      </c>
      <c r="E1127" s="5">
        <v>354.37</v>
      </c>
      <c r="F1127" s="5">
        <v>39.77</v>
      </c>
      <c r="G1127" s="5">
        <v>67.24</v>
      </c>
      <c r="H1127" s="5">
        <v>50.51</v>
      </c>
      <c r="I1127" s="5">
        <v>43.33</v>
      </c>
    </row>
    <row r="1128" ht="15.75" customHeight="1">
      <c r="A1128" s="4">
        <v>46052.0</v>
      </c>
      <c r="B1128" s="5">
        <v>141.4</v>
      </c>
      <c r="C1128" s="5">
        <v>89.31</v>
      </c>
      <c r="D1128" s="5">
        <v>158.35</v>
      </c>
      <c r="E1128" s="5">
        <v>351.42</v>
      </c>
      <c r="F1128" s="5">
        <v>39.79</v>
      </c>
      <c r="G1128" s="5">
        <v>67.26</v>
      </c>
      <c r="H1128" s="5">
        <v>51.05</v>
      </c>
      <c r="I1128" s="5">
        <v>43.25</v>
      </c>
    </row>
    <row r="1129" ht="15.75" customHeight="1">
      <c r="A1129" s="4">
        <v>46055.0</v>
      </c>
      <c r="B1129" s="5">
        <v>138.4</v>
      </c>
      <c r="C1129" s="5">
        <v>88.19</v>
      </c>
      <c r="D1129" s="5">
        <v>154.26</v>
      </c>
      <c r="E1129" s="5">
        <v>359.44</v>
      </c>
      <c r="F1129" s="5">
        <v>38.86</v>
      </c>
      <c r="G1129" s="5">
        <v>66.34</v>
      </c>
      <c r="H1129" s="5">
        <v>50.05</v>
      </c>
      <c r="I1129" s="5">
        <v>42.62</v>
      </c>
    </row>
    <row r="1130" ht="15.75" customHeight="1">
      <c r="A1130" s="4">
        <v>46056.0</v>
      </c>
      <c r="B1130" s="5">
        <v>143.73</v>
      </c>
      <c r="C1130" s="5">
        <v>90.13</v>
      </c>
      <c r="D1130" s="5">
        <v>153.0</v>
      </c>
      <c r="E1130" s="5">
        <v>362.53</v>
      </c>
      <c r="F1130" s="5">
        <v>38.97</v>
      </c>
      <c r="G1130" s="5">
        <v>68.5</v>
      </c>
      <c r="H1130" s="5">
        <v>51.67</v>
      </c>
      <c r="I1130" s="5">
        <v>43.24</v>
      </c>
    </row>
    <row r="1131" ht="15.75" customHeight="1">
      <c r="A1131" s="4">
        <v>46057.0</v>
      </c>
      <c r="B1131" s="5">
        <v>147.59</v>
      </c>
      <c r="C1131" s="5">
        <v>90.29</v>
      </c>
      <c r="D1131" s="5">
        <v>142.52</v>
      </c>
      <c r="E1131" s="5">
        <v>365.0</v>
      </c>
      <c r="F1131" s="5">
        <v>39.49</v>
      </c>
      <c r="G1131" s="5">
        <v>66.46</v>
      </c>
      <c r="H1131" s="5">
        <v>52.83</v>
      </c>
      <c r="I1131" s="5">
        <v>43.08</v>
      </c>
    </row>
    <row r="1132" ht="15.75" customHeight="1">
      <c r="A1132" s="4">
        <v>46058.0</v>
      </c>
      <c r="B1132" s="5">
        <v>146.08</v>
      </c>
      <c r="C1132" s="5">
        <v>91.08</v>
      </c>
      <c r="D1132" s="5">
        <v>143.07</v>
      </c>
      <c r="E1132" s="5">
        <v>354.67</v>
      </c>
      <c r="F1132" s="5">
        <v>37.5</v>
      </c>
      <c r="G1132" s="5">
        <v>67.42</v>
      </c>
      <c r="H1132" s="5">
        <v>52.21</v>
      </c>
      <c r="I1132" s="5">
        <v>43.1</v>
      </c>
    </row>
    <row r="1133" ht="15.75" customHeight="1">
      <c r="A1133" s="4">
        <v>46059.0</v>
      </c>
      <c r="B1133" s="5">
        <v>149.05</v>
      </c>
      <c r="C1133" s="5">
        <v>90.08</v>
      </c>
      <c r="D1133" s="5">
        <v>149.65</v>
      </c>
      <c r="E1133" s="5">
        <v>373.82</v>
      </c>
      <c r="F1133" s="5">
        <v>38.14</v>
      </c>
      <c r="G1133" s="5">
        <v>66.92</v>
      </c>
      <c r="H1133" s="5">
        <v>53.25</v>
      </c>
      <c r="I1133" s="5">
        <v>43.35</v>
      </c>
    </row>
    <row r="1134" ht="15.75" customHeight="1">
      <c r="A1134" s="4">
        <v>46062.0</v>
      </c>
      <c r="B1134" s="5">
        <v>151.21</v>
      </c>
      <c r="C1134" s="5">
        <v>89.38</v>
      </c>
      <c r="D1134" s="5">
        <v>152.97</v>
      </c>
      <c r="E1134" s="5">
        <v>377.06</v>
      </c>
      <c r="F1134" s="5">
        <v>38.29</v>
      </c>
      <c r="G1134" s="5">
        <v>67.85</v>
      </c>
      <c r="H1134" s="5">
        <v>53.64</v>
      </c>
      <c r="I1134" s="5">
        <v>43.48</v>
      </c>
    </row>
    <row r="1135" ht="15.75" customHeight="1">
      <c r="A1135" s="4">
        <v>46063.0</v>
      </c>
      <c r="B1135" s="5">
        <v>151.59</v>
      </c>
      <c r="C1135" s="5">
        <v>90.72</v>
      </c>
      <c r="D1135" s="5">
        <v>159.6</v>
      </c>
      <c r="E1135" s="5">
        <v>377.47</v>
      </c>
      <c r="F1135" s="5">
        <v>39.1</v>
      </c>
      <c r="G1135" s="5">
        <v>68.84</v>
      </c>
      <c r="H1135" s="5">
        <v>53.58</v>
      </c>
      <c r="I1135" s="5">
        <v>44.2</v>
      </c>
    </row>
    <row r="1136" ht="15.75" customHeight="1">
      <c r="A1136" s="4">
        <v>46064.0</v>
      </c>
      <c r="B1136" s="5">
        <v>155.56</v>
      </c>
      <c r="C1136" s="5">
        <v>90.86</v>
      </c>
      <c r="D1136" s="5">
        <v>160.15</v>
      </c>
      <c r="E1136" s="5">
        <v>396.09</v>
      </c>
      <c r="F1136" s="5">
        <v>38.99</v>
      </c>
      <c r="G1136" s="5">
        <v>71.12</v>
      </c>
      <c r="H1136" s="5">
        <v>54.98</v>
      </c>
      <c r="I1136" s="5">
        <v>44.59</v>
      </c>
    </row>
    <row r="1137" ht="15.75" customHeight="1">
      <c r="A1137" s="4">
        <v>46065.0</v>
      </c>
      <c r="B1137" s="5">
        <v>149.93</v>
      </c>
      <c r="C1137" s="5">
        <v>92.56</v>
      </c>
      <c r="D1137" s="5">
        <v>163.1</v>
      </c>
      <c r="E1137" s="5">
        <v>390.33</v>
      </c>
      <c r="F1137" s="5">
        <v>37.32</v>
      </c>
      <c r="G1137" s="5">
        <v>71.13</v>
      </c>
      <c r="H1137" s="5">
        <v>53.98</v>
      </c>
      <c r="I1137" s="5">
        <v>45.25</v>
      </c>
    </row>
    <row r="1138" ht="15.75" customHeight="1">
      <c r="A1138" s="4">
        <v>46066.0</v>
      </c>
      <c r="B1138" s="5">
        <v>148.45</v>
      </c>
      <c r="C1138" s="5">
        <v>94.95</v>
      </c>
      <c r="D1138" s="5">
        <v>171.49</v>
      </c>
      <c r="E1138" s="5">
        <v>389.25</v>
      </c>
      <c r="F1138" s="5">
        <v>37.37</v>
      </c>
      <c r="G1138" s="5">
        <v>72.28</v>
      </c>
      <c r="H1138" s="5">
        <v>54.35</v>
      </c>
      <c r="I1138" s="5">
        <v>46.5</v>
      </c>
    </row>
    <row r="1139" ht="15.75" customHeight="1">
      <c r="A1139" s="4">
        <v>46070.0</v>
      </c>
      <c r="B1139" s="5">
        <v>146.19</v>
      </c>
      <c r="C1139" s="5">
        <v>92.0</v>
      </c>
      <c r="D1139" s="5">
        <v>173.68</v>
      </c>
      <c r="E1139" s="5">
        <v>391.49</v>
      </c>
      <c r="F1139" s="5">
        <v>37.01</v>
      </c>
      <c r="G1139" s="5">
        <v>71.96</v>
      </c>
      <c r="H1139" s="5">
        <v>53.75</v>
      </c>
      <c r="I1139" s="5">
        <v>46.38</v>
      </c>
    </row>
    <row r="1140" ht="15.75" customHeight="1">
      <c r="A1140" s="4">
        <v>46071.0</v>
      </c>
      <c r="B1140" s="5">
        <v>150.68</v>
      </c>
      <c r="C1140" s="5">
        <v>91.04</v>
      </c>
      <c r="D1140" s="5">
        <v>170.57</v>
      </c>
      <c r="E1140" s="5">
        <v>380.38</v>
      </c>
      <c r="F1140" s="5">
        <v>37.38</v>
      </c>
      <c r="G1140" s="5">
        <v>72.14</v>
      </c>
      <c r="H1140" s="5">
        <v>54.78</v>
      </c>
      <c r="I1140" s="5">
        <v>45.61</v>
      </c>
    </row>
    <row r="1141" ht="15.75" customHeight="1">
      <c r="A1141" s="4">
        <v>46072.0</v>
      </c>
      <c r="B1141" s="5">
        <v>150.97</v>
      </c>
      <c r="C1141" s="5">
        <v>95.05</v>
      </c>
      <c r="D1141" s="5">
        <v>172.5</v>
      </c>
      <c r="E1141" s="5">
        <v>377.32</v>
      </c>
      <c r="F1141" s="5">
        <v>38.5</v>
      </c>
      <c r="G1141" s="5">
        <v>72.17</v>
      </c>
      <c r="H1141" s="5">
        <v>55.18</v>
      </c>
      <c r="I1141" s="5">
        <v>46.11</v>
      </c>
    </row>
    <row r="1142" ht="15.75" customHeight="1">
      <c r="A1142" s="4">
        <v>46073.0</v>
      </c>
      <c r="B1142" s="5">
        <v>147.28</v>
      </c>
      <c r="C1142" s="5">
        <v>94.3</v>
      </c>
      <c r="D1142" s="5">
        <v>171.4</v>
      </c>
      <c r="E1142" s="5">
        <v>373.38</v>
      </c>
      <c r="F1142" s="5">
        <v>38.51</v>
      </c>
      <c r="G1142" s="5">
        <v>72.98</v>
      </c>
      <c r="H1142" s="5">
        <v>54.88</v>
      </c>
      <c r="I1142" s="5">
        <v>46.33</v>
      </c>
    </row>
    <row r="1143" ht="15.75" customHeight="1">
      <c r="A1143" s="4">
        <v>46076.0</v>
      </c>
      <c r="B1143" s="5">
        <v>150.76</v>
      </c>
      <c r="C1143" s="5">
        <v>95.18</v>
      </c>
      <c r="D1143" s="5">
        <v>167.8</v>
      </c>
      <c r="E1143" s="5">
        <v>362.05</v>
      </c>
      <c r="F1143" s="5">
        <v>37.52</v>
      </c>
      <c r="G1143" s="5">
        <v>72.98</v>
      </c>
      <c r="H1143" s="5">
        <v>55.15</v>
      </c>
      <c r="I1143" s="5">
        <v>46.68</v>
      </c>
    </row>
    <row r="1144" ht="15.75" customHeight="1">
      <c r="A1144" s="4">
        <v>46077.0</v>
      </c>
      <c r="B1144" s="5">
        <v>149.26</v>
      </c>
      <c r="C1144" s="5">
        <v>95.81</v>
      </c>
      <c r="D1144" s="5">
        <v>171.62</v>
      </c>
      <c r="E1144" s="5">
        <v>374.56</v>
      </c>
      <c r="F1144" s="5">
        <v>38.01</v>
      </c>
      <c r="G1144" s="5">
        <v>73.5</v>
      </c>
      <c r="H1144" s="5">
        <v>55.1</v>
      </c>
      <c r="I1144" s="5">
        <v>47.2</v>
      </c>
    </row>
    <row r="1145" ht="15.75" customHeight="1">
      <c r="A1145" s="4">
        <v>46078.0</v>
      </c>
      <c r="B1145" s="5">
        <v>149.06</v>
      </c>
      <c r="C1145" s="5">
        <v>95.92</v>
      </c>
      <c r="D1145" s="5">
        <v>175.36</v>
      </c>
      <c r="E1145" s="5">
        <v>373.53</v>
      </c>
      <c r="F1145" s="5">
        <v>37.31</v>
      </c>
      <c r="G1145" s="5">
        <v>73.97</v>
      </c>
      <c r="H1145" s="5">
        <v>54.87</v>
      </c>
      <c r="I1145" s="5">
        <v>47.36</v>
      </c>
    </row>
    <row r="1146" ht="15.75" customHeight="1">
      <c r="A1146" s="4">
        <v>46079.0</v>
      </c>
      <c r="B1146" s="5">
        <v>148.54</v>
      </c>
      <c r="C1146" s="5">
        <v>96.35</v>
      </c>
      <c r="D1146" s="5">
        <v>176.82</v>
      </c>
      <c r="E1146" s="5">
        <v>374.59</v>
      </c>
      <c r="F1146" s="5">
        <v>36.28</v>
      </c>
      <c r="G1146" s="5">
        <v>74.77</v>
      </c>
      <c r="H1146" s="5">
        <v>55.05</v>
      </c>
      <c r="I1146" s="5">
        <v>47.18</v>
      </c>
    </row>
    <row r="1147" ht="15.75" customHeight="1">
      <c r="A1147" s="4">
        <v>46080.0</v>
      </c>
      <c r="B1147" s="5">
        <v>152.5</v>
      </c>
      <c r="C1147" s="5">
        <v>97.38</v>
      </c>
      <c r="D1147" s="5">
        <v>173.89</v>
      </c>
      <c r="E1147" s="5">
        <v>375.92</v>
      </c>
      <c r="F1147" s="5">
        <v>35.39</v>
      </c>
      <c r="G1147" s="5">
        <v>74.72</v>
      </c>
      <c r="H1147" s="5">
        <v>55.92</v>
      </c>
      <c r="I1147" s="5">
        <v>47.73</v>
      </c>
    </row>
    <row r="1148" ht="15.75" customHeight="1">
      <c r="A1148" s="4">
        <v>46083.0</v>
      </c>
      <c r="B1148" s="5">
        <v>154.22</v>
      </c>
      <c r="C1148" s="5">
        <v>97.23</v>
      </c>
      <c r="D1148" s="5">
        <v>165.99</v>
      </c>
      <c r="E1148" s="5">
        <v>377.4</v>
      </c>
      <c r="F1148" s="5">
        <v>35.35</v>
      </c>
      <c r="G1148" s="5">
        <v>76.26</v>
      </c>
      <c r="H1148" s="5">
        <v>57.04</v>
      </c>
      <c r="I1148" s="5">
        <v>47.37</v>
      </c>
    </row>
    <row r="1149" ht="15.75" customHeight="1">
      <c r="A1149" s="4">
        <v>46084.0</v>
      </c>
      <c r="B1149" s="5">
        <v>151.83</v>
      </c>
      <c r="C1149" s="5">
        <v>96.79</v>
      </c>
      <c r="D1149" s="5">
        <v>161.7</v>
      </c>
      <c r="E1149" s="5">
        <v>355.56</v>
      </c>
      <c r="F1149" s="5">
        <v>34.67</v>
      </c>
      <c r="G1149" s="5">
        <v>75.88</v>
      </c>
      <c r="H1149" s="5">
        <v>56.52</v>
      </c>
      <c r="I1149" s="5">
        <v>47.07</v>
      </c>
    </row>
    <row r="1150" ht="15.75" customHeight="1">
      <c r="A1150" s="4">
        <v>46085.0</v>
      </c>
      <c r="B1150" s="5">
        <v>149.82</v>
      </c>
      <c r="C1150" s="5">
        <v>97.63</v>
      </c>
      <c r="D1150" s="5">
        <v>163.36</v>
      </c>
      <c r="E1150" s="5">
        <v>354.46</v>
      </c>
      <c r="F1150" s="5">
        <v>35.2</v>
      </c>
      <c r="G1150" s="5">
        <v>75.77</v>
      </c>
      <c r="H1150" s="5">
        <v>56.19</v>
      </c>
      <c r="I1150" s="5">
        <v>47.27</v>
      </c>
    </row>
    <row r="1151" ht="15.75" customHeight="1">
      <c r="A1151" s="4">
        <v>46086.0</v>
      </c>
      <c r="B1151" s="5">
        <v>150.76</v>
      </c>
      <c r="C1151" s="5">
        <v>97.2</v>
      </c>
      <c r="D1151" s="5">
        <v>167.4</v>
      </c>
      <c r="E1151" s="5">
        <v>354.79</v>
      </c>
      <c r="F1151" s="5">
        <v>35.98</v>
      </c>
      <c r="G1151" s="5">
        <v>74.77</v>
      </c>
      <c r="H1151" s="5">
        <v>56.48</v>
      </c>
      <c r="I1151" s="5">
        <v>46.9</v>
      </c>
    </row>
    <row r="1152" ht="15.75" customHeight="1">
      <c r="A1152" s="4">
        <v>46087.0</v>
      </c>
      <c r="B1152" s="5">
        <v>151.21</v>
      </c>
      <c r="C1152" s="5">
        <v>97.48</v>
      </c>
      <c r="D1152" s="5">
        <v>158.65</v>
      </c>
      <c r="E1152" s="5">
        <v>347.75</v>
      </c>
      <c r="F1152" s="5">
        <v>36.89</v>
      </c>
      <c r="G1152" s="5">
        <v>74.24</v>
      </c>
      <c r="H1152" s="5">
        <v>56.57</v>
      </c>
      <c r="I1152" s="5">
        <v>46.74</v>
      </c>
    </row>
    <row r="1153" ht="15.75" customHeight="1">
      <c r="A1153" s="4">
        <v>46090.0</v>
      </c>
      <c r="B1153" s="5">
        <v>150.44</v>
      </c>
      <c r="C1153" s="5">
        <v>97.25</v>
      </c>
      <c r="D1153" s="5">
        <v>163.62</v>
      </c>
      <c r="E1153" s="5">
        <v>353.87</v>
      </c>
      <c r="F1153" s="5">
        <v>36.78</v>
      </c>
      <c r="G1153" s="5">
        <v>73.18</v>
      </c>
      <c r="H1153" s="5">
        <v>56.32</v>
      </c>
      <c r="I1153" s="5">
        <v>46.85</v>
      </c>
    </row>
    <row r="1154" ht="15.75" customHeight="1">
      <c r="A1154" s="4">
        <v>46091.0</v>
      </c>
      <c r="B1154" s="5">
        <v>148.13</v>
      </c>
      <c r="C1154" s="5">
        <v>96.27</v>
      </c>
      <c r="D1154" s="5">
        <v>164.4</v>
      </c>
      <c r="E1154" s="5">
        <v>361.06</v>
      </c>
      <c r="F1154" s="5">
        <v>36.68</v>
      </c>
      <c r="G1154" s="5">
        <v>73.84</v>
      </c>
      <c r="H1154" s="5">
        <v>55.6</v>
      </c>
      <c r="I1154" s="5">
        <v>46.56</v>
      </c>
    </row>
    <row r="1155" ht="15.75" customHeight="1">
      <c r="A1155" s="4">
        <v>46092.0</v>
      </c>
      <c r="B1155" s="5">
        <v>151.58</v>
      </c>
      <c r="C1155" s="5">
        <v>96.26</v>
      </c>
      <c r="D1155" s="5">
        <v>159.16</v>
      </c>
      <c r="E1155" s="5">
        <v>355.79</v>
      </c>
      <c r="F1155" s="5">
        <v>39.28</v>
      </c>
      <c r="G1155" s="5">
        <v>74.4</v>
      </c>
      <c r="H1155" s="5">
        <v>56.98</v>
      </c>
      <c r="I1155" s="5">
        <v>46.17</v>
      </c>
    </row>
    <row r="1156" ht="15.75" customHeight="1">
      <c r="A1156" s="4">
        <v>46093.0</v>
      </c>
      <c r="B1156" s="5">
        <v>153.53</v>
      </c>
      <c r="C1156" s="5">
        <v>97.84</v>
      </c>
      <c r="D1156" s="5">
        <v>159.58</v>
      </c>
      <c r="E1156" s="5">
        <v>348.64</v>
      </c>
      <c r="F1156" s="5">
        <v>38.26</v>
      </c>
      <c r="G1156" s="5">
        <v>73.52</v>
      </c>
      <c r="H1156" s="5">
        <v>57.51</v>
      </c>
      <c r="I1156" s="5">
        <v>46.5</v>
      </c>
    </row>
    <row r="1157" ht="15.75" customHeight="1">
      <c r="A1157" s="4">
        <v>46094.0</v>
      </c>
      <c r="B1157" s="5">
        <v>156.12</v>
      </c>
      <c r="C1157" s="5">
        <v>98.01</v>
      </c>
      <c r="D1157" s="5">
        <v>158.95</v>
      </c>
      <c r="E1157" s="5">
        <v>355.4</v>
      </c>
      <c r="F1157" s="5">
        <v>38.25</v>
      </c>
      <c r="G1157" s="5">
        <v>73.34</v>
      </c>
      <c r="H1157" s="5">
        <v>57.7</v>
      </c>
      <c r="I1157" s="5">
        <v>46.96</v>
      </c>
    </row>
    <row r="1158" ht="15.75" customHeight="1">
      <c r="A1158" s="4">
        <v>46097.0</v>
      </c>
      <c r="B1158" s="5">
        <v>157.23</v>
      </c>
      <c r="C1158" s="5">
        <v>99.11</v>
      </c>
      <c r="D1158" s="5">
        <v>161.99</v>
      </c>
      <c r="E1158" s="5">
        <v>361.04</v>
      </c>
      <c r="F1158" s="5">
        <v>37.45</v>
      </c>
      <c r="G1158" s="5">
        <v>73.89</v>
      </c>
      <c r="H1158" s="5">
        <v>57.9</v>
      </c>
      <c r="I1158" s="5">
        <v>47.26</v>
      </c>
    </row>
    <row r="1159" ht="15.75" customHeight="1">
      <c r="A1159" s="4">
        <v>46098.0</v>
      </c>
      <c r="B1159" s="5">
        <v>158.81</v>
      </c>
      <c r="C1159" s="5">
        <v>98.27</v>
      </c>
      <c r="D1159" s="5">
        <v>164.33</v>
      </c>
      <c r="E1159" s="5">
        <v>363.95</v>
      </c>
      <c r="F1159" s="5">
        <v>38.11</v>
      </c>
      <c r="G1159" s="5">
        <v>73.69</v>
      </c>
      <c r="H1159" s="5">
        <v>58.51</v>
      </c>
      <c r="I1159" s="5">
        <v>47.13</v>
      </c>
    </row>
    <row r="1160" ht="15.75" customHeight="1">
      <c r="A1160" s="4">
        <v>46099.0</v>
      </c>
      <c r="B1160" s="5">
        <v>157.59</v>
      </c>
      <c r="C1160" s="5">
        <v>96.54</v>
      </c>
      <c r="D1160" s="5">
        <v>170.12</v>
      </c>
      <c r="E1160" s="5">
        <v>360.54</v>
      </c>
      <c r="F1160" s="5">
        <v>39.48</v>
      </c>
      <c r="G1160" s="5">
        <v>72.8</v>
      </c>
      <c r="H1160" s="5">
        <v>58.43</v>
      </c>
      <c r="I1160" s="5">
        <v>46.73</v>
      </c>
    </row>
    <row r="1161" ht="15.75" customHeight="1">
      <c r="A1161" s="4">
        <v>46100.0</v>
      </c>
      <c r="B1161" s="5">
        <v>158.16</v>
      </c>
      <c r="C1161" s="5">
        <v>96.23</v>
      </c>
      <c r="D1161" s="5">
        <v>167.37</v>
      </c>
      <c r="E1161" s="5">
        <v>360.23</v>
      </c>
      <c r="F1161" s="5">
        <v>41.59</v>
      </c>
      <c r="G1161" s="5">
        <v>74.06</v>
      </c>
      <c r="H1161" s="5">
        <v>59.36</v>
      </c>
      <c r="I1161" s="5">
        <v>46.54</v>
      </c>
    </row>
    <row r="1162" ht="15.75" customHeight="1">
      <c r="A1162" s="4">
        <v>46101.0</v>
      </c>
      <c r="B1162" s="5">
        <v>159.67</v>
      </c>
      <c r="C1162" s="5">
        <v>93.39</v>
      </c>
      <c r="D1162" s="5">
        <v>146.02</v>
      </c>
      <c r="E1162" s="5">
        <v>356.8</v>
      </c>
      <c r="F1162" s="5">
        <v>41.92</v>
      </c>
      <c r="G1162" s="5">
        <v>72.41</v>
      </c>
      <c r="H1162" s="5">
        <v>59.31</v>
      </c>
      <c r="I1162" s="5">
        <v>44.65</v>
      </c>
    </row>
    <row r="1163" ht="15.75" customHeight="1">
      <c r="A1163" s="4">
        <v>46104.0</v>
      </c>
      <c r="B1163" s="5">
        <v>161.13</v>
      </c>
      <c r="C1163" s="5">
        <v>93.75</v>
      </c>
      <c r="D1163" s="5">
        <v>151.29</v>
      </c>
      <c r="E1163" s="5">
        <v>359.74</v>
      </c>
      <c r="F1163" s="5">
        <v>41.21</v>
      </c>
      <c r="G1163" s="5">
        <v>73.6</v>
      </c>
      <c r="H1163" s="5">
        <v>59.63</v>
      </c>
      <c r="I1163" s="5">
        <v>44.78</v>
      </c>
    </row>
    <row r="1164" ht="15.75" customHeight="1">
      <c r="A1164" s="4">
        <v>46105.0</v>
      </c>
      <c r="B1164" s="5">
        <v>165.38</v>
      </c>
      <c r="C1164" s="5">
        <v>93.98</v>
      </c>
      <c r="D1164" s="5">
        <v>152.72</v>
      </c>
      <c r="E1164" s="5">
        <v>374.1</v>
      </c>
      <c r="F1164" s="5">
        <v>42.56</v>
      </c>
      <c r="G1164" s="5">
        <v>74.46</v>
      </c>
      <c r="H1164" s="5">
        <v>60.84</v>
      </c>
      <c r="I1164" s="5">
        <v>45.09</v>
      </c>
    </row>
    <row r="1165" ht="15.75" customHeight="1">
      <c r="A1165" s="4">
        <v>46106.0</v>
      </c>
      <c r="B1165" s="5">
        <v>163.26</v>
      </c>
      <c r="C1165" s="5">
        <v>94.61</v>
      </c>
      <c r="D1165" s="5">
        <v>151.51</v>
      </c>
      <c r="E1165" s="5">
        <v>375.0</v>
      </c>
      <c r="F1165" s="5">
        <v>43.18</v>
      </c>
      <c r="G1165" s="5">
        <v>73.81</v>
      </c>
      <c r="H1165" s="5">
        <v>60.57</v>
      </c>
      <c r="I1165" s="5">
        <v>45.25</v>
      </c>
    </row>
    <row r="1166" ht="15.75" customHeight="1">
      <c r="A1166" s="4">
        <v>46107.0</v>
      </c>
      <c r="B1166" s="5">
        <v>165.43</v>
      </c>
      <c r="C1166" s="5">
        <v>95.42</v>
      </c>
      <c r="D1166" s="5">
        <v>152.3</v>
      </c>
      <c r="E1166" s="5">
        <v>357.1</v>
      </c>
      <c r="F1166" s="5">
        <v>43.68</v>
      </c>
      <c r="G1166" s="5">
        <v>74.06</v>
      </c>
      <c r="H1166" s="5">
        <v>61.52</v>
      </c>
      <c r="I1166" s="5">
        <v>45.33</v>
      </c>
    </row>
    <row r="1167" ht="15.75" customHeight="1">
      <c r="A1167" s="4">
        <v>46108.0</v>
      </c>
      <c r="B1167" s="5">
        <v>170.99</v>
      </c>
      <c r="C1167" s="5">
        <v>95.55</v>
      </c>
      <c r="D1167" s="5">
        <v>155.48</v>
      </c>
      <c r="E1167" s="5">
        <v>357.36</v>
      </c>
      <c r="F1167" s="5">
        <v>45.17</v>
      </c>
      <c r="G1167" s="5">
        <v>73.58</v>
      </c>
      <c r="H1167" s="5">
        <v>62.56</v>
      </c>
      <c r="I1167" s="5">
        <v>45.59</v>
      </c>
    </row>
    <row r="1168" ht="15.75" customHeight="1">
      <c r="A1168" s="4">
        <v>46111.0</v>
      </c>
      <c r="B1168" s="5">
        <v>171.47</v>
      </c>
      <c r="C1168" s="5">
        <v>96.93</v>
      </c>
      <c r="D1168" s="5">
        <v>147.54</v>
      </c>
      <c r="E1168" s="5">
        <v>343.53</v>
      </c>
      <c r="F1168" s="5">
        <v>46.12</v>
      </c>
      <c r="G1168" s="5">
        <v>72.47</v>
      </c>
      <c r="H1168" s="5">
        <v>61.96</v>
      </c>
      <c r="I1168" s="5">
        <v>45.92</v>
      </c>
    </row>
    <row r="1169" ht="15.75" customHeight="1">
      <c r="A1169" s="4">
        <v>46112.0</v>
      </c>
      <c r="B1169" s="5">
        <v>169.66</v>
      </c>
      <c r="C1169" s="5">
        <v>96.52</v>
      </c>
      <c r="D1169" s="5">
        <v>150.33</v>
      </c>
      <c r="E1169" s="5">
        <v>357.67</v>
      </c>
      <c r="F1169" s="5">
        <v>46.22</v>
      </c>
      <c r="G1169" s="5">
        <v>72.78</v>
      </c>
      <c r="H1169" s="5">
        <v>61.26</v>
      </c>
      <c r="I1169" s="5">
        <v>45.89</v>
      </c>
    </row>
    <row r="1170" ht="15.75" customHeight="1">
      <c r="A1170" s="4">
        <v>46113.0</v>
      </c>
      <c r="B1170" s="5">
        <v>160.78</v>
      </c>
      <c r="C1170" s="5">
        <v>96.94</v>
      </c>
      <c r="D1170" s="5">
        <v>153.96</v>
      </c>
      <c r="E1170" s="5">
        <v>365.56</v>
      </c>
      <c r="F1170" s="5">
        <v>44.31</v>
      </c>
      <c r="G1170" s="5">
        <v>71.83</v>
      </c>
      <c r="H1170" s="5">
        <v>58.97</v>
      </c>
      <c r="I1170" s="5">
        <v>46.11</v>
      </c>
    </row>
    <row r="1171" ht="15.75" customHeight="1">
      <c r="A1171" s="4">
        <v>46114.0</v>
      </c>
      <c r="B1171" s="5">
        <v>160.69</v>
      </c>
      <c r="C1171" s="5">
        <v>97.45</v>
      </c>
      <c r="D1171" s="5">
        <v>151.18</v>
      </c>
      <c r="E1171" s="5">
        <v>361.1</v>
      </c>
      <c r="F1171" s="5">
        <v>45.22</v>
      </c>
      <c r="G1171" s="5">
        <v>72.0</v>
      </c>
      <c r="H1171" s="5">
        <v>59.25</v>
      </c>
      <c r="I1171" s="5">
        <v>46.34</v>
      </c>
    </row>
    <row r="1172" ht="15.75" customHeight="1">
      <c r="A1172" s="4">
        <v>46118.0</v>
      </c>
      <c r="B1172" s="5">
        <v>163.37</v>
      </c>
      <c r="C1172" s="5">
        <v>96.94</v>
      </c>
      <c r="D1172" s="5">
        <v>151.59</v>
      </c>
      <c r="E1172" s="5">
        <v>363.89</v>
      </c>
      <c r="F1172" s="5">
        <v>43.88</v>
      </c>
      <c r="G1172" s="5">
        <v>72.59</v>
      </c>
      <c r="H1172" s="5">
        <v>59.68</v>
      </c>
      <c r="I1172" s="5">
        <v>46.17</v>
      </c>
    </row>
    <row r="1173" ht="15.75" customHeight="1">
      <c r="A1173" s="4">
        <v>46119.0</v>
      </c>
      <c r="B1173" s="5">
        <v>163.91</v>
      </c>
      <c r="C1173" s="5">
        <v>96.82</v>
      </c>
      <c r="D1173" s="5">
        <v>153.68</v>
      </c>
      <c r="E1173" s="5">
        <v>368.85</v>
      </c>
      <c r="F1173" s="5">
        <v>44.17</v>
      </c>
      <c r="G1173" s="5">
        <v>74.04</v>
      </c>
      <c r="H1173" s="5">
        <v>60.16</v>
      </c>
      <c r="I1173" s="5">
        <v>46.27</v>
      </c>
    </row>
    <row r="1174" ht="15.75" customHeight="1">
      <c r="A1174" s="4">
        <v>46120.0</v>
      </c>
      <c r="B1174" s="5">
        <v>156.22</v>
      </c>
      <c r="C1174" s="5">
        <v>97.17</v>
      </c>
      <c r="D1174" s="5">
        <v>155.89</v>
      </c>
      <c r="E1174" s="5">
        <v>385.58</v>
      </c>
      <c r="F1174" s="5">
        <v>43.48</v>
      </c>
      <c r="G1174" s="5">
        <v>73.01</v>
      </c>
      <c r="H1174" s="5">
        <v>58.05</v>
      </c>
      <c r="I1174" s="5">
        <v>46.78</v>
      </c>
    </row>
    <row r="1175" ht="15.75" customHeight="1">
      <c r="A1175" s="4">
        <v>46121.0</v>
      </c>
      <c r="B1175" s="5">
        <v>155.04</v>
      </c>
      <c r="C1175" s="5">
        <v>97.59</v>
      </c>
      <c r="D1175" s="5">
        <v>152.75</v>
      </c>
      <c r="E1175" s="5">
        <v>400.44</v>
      </c>
      <c r="F1175" s="5">
        <v>42.69</v>
      </c>
      <c r="G1175" s="5">
        <v>72.82</v>
      </c>
      <c r="H1175" s="5">
        <v>57.33</v>
      </c>
      <c r="I1175" s="5">
        <v>47.15</v>
      </c>
    </row>
    <row r="1176" ht="15.75" customHeight="1">
      <c r="A1176" s="4">
        <v>46122.0</v>
      </c>
      <c r="B1176" s="5">
        <v>152.51</v>
      </c>
      <c r="C1176" s="5">
        <v>97.15</v>
      </c>
      <c r="D1176" s="5">
        <v>154.73</v>
      </c>
      <c r="E1176" s="5">
        <v>403.0</v>
      </c>
      <c r="F1176" s="5">
        <v>42.95</v>
      </c>
      <c r="G1176" s="5">
        <v>72.74</v>
      </c>
      <c r="H1176" s="5">
        <v>56.94</v>
      </c>
      <c r="I1176" s="5">
        <v>46.96</v>
      </c>
    </row>
    <row r="1177" ht="15.75" customHeight="1">
      <c r="A1177" s="4">
        <v>46125.0</v>
      </c>
      <c r="B1177" s="5">
        <v>152.64</v>
      </c>
      <c r="C1177" s="5">
        <v>95.93</v>
      </c>
      <c r="D1177" s="5">
        <v>158.2</v>
      </c>
      <c r="E1177" s="5">
        <v>403.36</v>
      </c>
      <c r="F1177" s="5">
        <v>43.51</v>
      </c>
      <c r="G1177" s="5">
        <v>71.54</v>
      </c>
      <c r="H1177" s="5">
        <v>57.11</v>
      </c>
      <c r="I1177" s="5">
        <v>46.39</v>
      </c>
    </row>
    <row r="1178" ht="15.75" customHeight="1">
      <c r="A1178" s="4">
        <v>46126.0</v>
      </c>
      <c r="B1178" s="5">
        <v>149.24</v>
      </c>
      <c r="C1178" s="5">
        <v>95.96</v>
      </c>
      <c r="D1178" s="5">
        <v>163.97</v>
      </c>
      <c r="E1178" s="5">
        <v>401.9</v>
      </c>
      <c r="F1178" s="5">
        <v>42.11</v>
      </c>
      <c r="G1178" s="5">
        <v>71.44</v>
      </c>
      <c r="H1178" s="5">
        <v>55.95</v>
      </c>
      <c r="I1178" s="5">
        <v>46.47</v>
      </c>
    </row>
    <row r="1179" ht="15.75" customHeight="1">
      <c r="A1179" s="4">
        <v>46127.0</v>
      </c>
      <c r="B1179" s="5">
        <v>149.01</v>
      </c>
      <c r="C1179" s="5">
        <v>94.64</v>
      </c>
      <c r="D1179" s="5">
        <v>162.94</v>
      </c>
      <c r="E1179" s="5">
        <v>395.06</v>
      </c>
      <c r="F1179" s="5">
        <v>41.54</v>
      </c>
      <c r="G1179" s="5">
        <v>70.76</v>
      </c>
      <c r="H1179" s="5">
        <v>55.76</v>
      </c>
      <c r="I1179" s="5">
        <v>46.02</v>
      </c>
    </row>
    <row r="1180" ht="15.75" customHeight="1">
      <c r="A1180" s="4">
        <v>46128.0</v>
      </c>
      <c r="B1180" s="5">
        <v>151.98</v>
      </c>
      <c r="C1180" s="5">
        <v>94.9</v>
      </c>
      <c r="D1180" s="5">
        <v>165.53</v>
      </c>
      <c r="E1180" s="5">
        <v>392.73</v>
      </c>
      <c r="F1180" s="5">
        <v>41.87</v>
      </c>
      <c r="G1180" s="5">
        <v>70.86</v>
      </c>
      <c r="H1180" s="5">
        <v>56.58</v>
      </c>
      <c r="I1180" s="5">
        <v>46.35</v>
      </c>
    </row>
    <row r="1181" ht="15.75" customHeight="1">
      <c r="A1181" s="4">
        <v>46129.0</v>
      </c>
      <c r="B1181" s="5">
        <v>146.44</v>
      </c>
      <c r="C1181" s="5">
        <v>94.51</v>
      </c>
      <c r="D1181" s="5">
        <v>163.46</v>
      </c>
      <c r="E1181" s="5">
        <v>406.21</v>
      </c>
      <c r="F1181" s="5">
        <v>40.59</v>
      </c>
      <c r="G1181" s="5">
        <v>71.15</v>
      </c>
      <c r="H1181" s="5">
        <v>55.02</v>
      </c>
      <c r="I1181" s="5">
        <v>46.16</v>
      </c>
    </row>
    <row r="1182" ht="15.75" customHeight="1">
      <c r="A1182" s="4">
        <v>46132.0</v>
      </c>
      <c r="B1182" s="5">
        <v>147.68</v>
      </c>
      <c r="C1182" s="5">
        <v>93.51</v>
      </c>
      <c r="D1182" s="5">
        <v>159.6</v>
      </c>
      <c r="E1182" s="5">
        <v>407.57</v>
      </c>
      <c r="F1182" s="5">
        <v>40.98</v>
      </c>
      <c r="G1182" s="5">
        <v>70.91</v>
      </c>
      <c r="H1182" s="5">
        <v>55.07</v>
      </c>
      <c r="I1182" s="5">
        <v>45.75</v>
      </c>
    </row>
    <row r="1183" ht="15.75" customHeight="1">
      <c r="A1183" s="4">
        <v>46133.0</v>
      </c>
      <c r="B1183" s="5">
        <v>148.36</v>
      </c>
      <c r="C1183" s="5">
        <v>91.92</v>
      </c>
      <c r="D1183" s="5">
        <v>154.91</v>
      </c>
      <c r="E1183" s="5">
        <v>409.7</v>
      </c>
      <c r="F1183" s="5">
        <v>43.12</v>
      </c>
      <c r="G1183" s="5">
        <v>70.43</v>
      </c>
      <c r="H1183" s="5">
        <v>55.87</v>
      </c>
      <c r="I1183" s="5">
        <v>44.95</v>
      </c>
    </row>
    <row r="1184" ht="15.75" customHeight="1">
      <c r="A1184" s="4">
        <v>46134.0</v>
      </c>
      <c r="B1184" s="5">
        <v>149.5</v>
      </c>
      <c r="C1184" s="5">
        <v>91.87</v>
      </c>
      <c r="D1184" s="5">
        <v>155.79</v>
      </c>
      <c r="E1184" s="5">
        <v>413.87</v>
      </c>
      <c r="F1184" s="5">
        <v>43.15</v>
      </c>
      <c r="G1184" s="5">
        <v>71.1</v>
      </c>
      <c r="H1184" s="5">
        <v>56.54</v>
      </c>
      <c r="I1184" s="5">
        <v>44.87</v>
      </c>
    </row>
    <row r="1185" ht="15.75" customHeight="1">
      <c r="A1185" s="4">
        <v>46135.0</v>
      </c>
      <c r="B1185" s="5">
        <v>150.53</v>
      </c>
      <c r="C1185" s="5">
        <v>93.91</v>
      </c>
      <c r="D1185" s="5">
        <v>156.85</v>
      </c>
      <c r="E1185" s="5">
        <v>424.5</v>
      </c>
      <c r="F1185" s="5">
        <v>43.31</v>
      </c>
      <c r="G1185" s="5">
        <v>71.65</v>
      </c>
      <c r="H1185" s="5">
        <v>56.98</v>
      </c>
      <c r="I1185" s="5">
        <v>46.09</v>
      </c>
    </row>
    <row r="1186" ht="15.75" customHeight="1">
      <c r="A1186" s="4">
        <v>46136.0</v>
      </c>
      <c r="B1186" s="5">
        <v>148.91</v>
      </c>
      <c r="C1186" s="5">
        <v>93.49</v>
      </c>
      <c r="D1186" s="5">
        <v>164.35</v>
      </c>
      <c r="E1186" s="5">
        <v>423.92</v>
      </c>
      <c r="F1186" s="5">
        <v>42.94</v>
      </c>
      <c r="G1186" s="5">
        <v>72.18</v>
      </c>
      <c r="H1186" s="5">
        <v>56.87</v>
      </c>
      <c r="I1186" s="5">
        <v>46.18</v>
      </c>
    </row>
    <row r="1187" ht="15.75" customHeight="1">
      <c r="A1187" s="4">
        <v>46139.0</v>
      </c>
      <c r="B1187" s="5">
        <v>148.19</v>
      </c>
      <c r="C1187" s="5">
        <v>93.77</v>
      </c>
      <c r="D1187" s="5">
        <v>166.58</v>
      </c>
      <c r="E1187" s="5">
        <v>416.77</v>
      </c>
      <c r="F1187" s="5">
        <v>43.0</v>
      </c>
      <c r="G1187" s="5">
        <v>71.61</v>
      </c>
      <c r="H1187" s="5">
        <v>56.77</v>
      </c>
      <c r="I1187" s="5">
        <v>46.19</v>
      </c>
    </row>
    <row r="1188" ht="15.75" customHeight="1">
      <c r="A1188" s="4">
        <v>46140.0</v>
      </c>
      <c r="B1188" s="5">
        <v>150.56</v>
      </c>
      <c r="C1188" s="5">
        <v>94.41</v>
      </c>
      <c r="D1188" s="5">
        <v>161.12</v>
      </c>
      <c r="E1188" s="5">
        <v>413.07</v>
      </c>
      <c r="F1188" s="5">
        <v>43.39</v>
      </c>
      <c r="G1188" s="5">
        <v>73.04</v>
      </c>
      <c r="H1188" s="5">
        <v>57.71</v>
      </c>
      <c r="I1188" s="5">
        <v>46.25</v>
      </c>
    </row>
    <row r="1189" ht="15.75" customHeight="1">
      <c r="A1189" s="4">
        <v>46141.0</v>
      </c>
      <c r="B1189" s="5">
        <v>154.67</v>
      </c>
      <c r="C1189" s="5">
        <v>93.51</v>
      </c>
      <c r="D1189" s="5">
        <v>153.79</v>
      </c>
      <c r="E1189" s="5">
        <v>410.77</v>
      </c>
      <c r="F1189" s="5">
        <v>44.81</v>
      </c>
      <c r="G1189" s="5">
        <v>73.32</v>
      </c>
      <c r="H1189" s="5">
        <v>59.03</v>
      </c>
      <c r="I1189" s="5">
        <v>45.68</v>
      </c>
    </row>
    <row r="1190" ht="15.75" customHeight="1">
      <c r="A1190" s="4">
        <v>46142.0</v>
      </c>
      <c r="B1190" s="5">
        <v>154.33</v>
      </c>
      <c r="C1190" s="5">
        <v>96.7</v>
      </c>
      <c r="D1190" s="5">
        <v>157.84</v>
      </c>
      <c r="E1190" s="5">
        <v>433.01</v>
      </c>
      <c r="F1190" s="5">
        <v>45.16</v>
      </c>
      <c r="G1190" s="5">
        <v>76.31</v>
      </c>
      <c r="H1190" s="5">
        <v>59.65</v>
      </c>
      <c r="I1190" s="5">
        <v>46.85</v>
      </c>
    </row>
    <row r="1191" ht="15.75" customHeight="1">
      <c r="A1191" s="4">
        <v>46143.0</v>
      </c>
      <c r="B1191" s="5">
        <v>152.75</v>
      </c>
      <c r="C1191" s="5">
        <v>96.71</v>
      </c>
      <c r="D1191" s="5">
        <v>155.28</v>
      </c>
      <c r="E1191" s="5">
        <v>425.55</v>
      </c>
      <c r="F1191" s="5">
        <v>43.38</v>
      </c>
      <c r="G1191" s="5">
        <v>75.54</v>
      </c>
      <c r="H1191" s="5">
        <v>58.85</v>
      </c>
      <c r="I1191" s="5">
        <v>46.55</v>
      </c>
    </row>
    <row r="1192" ht="15.75" customHeight="1">
      <c r="A1192" s="4">
        <v>46146.0</v>
      </c>
      <c r="B1192" s="5">
        <v>153.69</v>
      </c>
      <c r="C1192" s="5">
        <v>95.99</v>
      </c>
      <c r="D1192" s="5">
        <v>160.85</v>
      </c>
      <c r="E1192" s="5">
        <v>422.44</v>
      </c>
      <c r="F1192" s="5">
        <v>44.43</v>
      </c>
      <c r="G1192" s="5">
        <v>75.41</v>
      </c>
      <c r="H1192" s="5">
        <v>59.39</v>
      </c>
      <c r="I1192" s="5">
        <v>46.37</v>
      </c>
    </row>
    <row r="1193" ht="15.75" customHeight="1">
      <c r="A1193" s="4">
        <v>46147.0</v>
      </c>
      <c r="B1193" s="5">
        <v>154.88</v>
      </c>
      <c r="C1193" s="5">
        <v>95.9</v>
      </c>
      <c r="D1193" s="5">
        <v>160.38</v>
      </c>
      <c r="E1193" s="5">
        <v>410.86</v>
      </c>
      <c r="F1193" s="5">
        <v>43.97</v>
      </c>
      <c r="G1193" s="5">
        <v>76.12</v>
      </c>
      <c r="H1193" s="5">
        <v>59.45</v>
      </c>
      <c r="I1193" s="5">
        <v>46.37</v>
      </c>
    </row>
    <row r="1194" ht="15.75" customHeight="1">
      <c r="A1194" s="4">
        <v>46148.0</v>
      </c>
      <c r="B1194" s="5">
        <v>148.69</v>
      </c>
      <c r="C1194" s="5">
        <v>93.51</v>
      </c>
      <c r="D1194" s="5">
        <v>158.29</v>
      </c>
      <c r="E1194" s="5">
        <v>421.39</v>
      </c>
      <c r="F1194" s="5">
        <v>43.26</v>
      </c>
      <c r="G1194" s="5">
        <v>73.76</v>
      </c>
      <c r="H1194" s="5">
        <v>57.0</v>
      </c>
      <c r="I1194" s="5">
        <v>45.71</v>
      </c>
    </row>
    <row r="1195" ht="15.75" customHeight="1">
      <c r="A1195" s="4">
        <v>46149.0</v>
      </c>
      <c r="B1195" s="5">
        <v>146.58</v>
      </c>
      <c r="C1195" s="5">
        <v>92.43</v>
      </c>
      <c r="D1195" s="5">
        <v>153.95</v>
      </c>
      <c r="E1195" s="5">
        <v>399.15</v>
      </c>
      <c r="F1195" s="5">
        <v>42.8</v>
      </c>
      <c r="G1195" s="5">
        <v>72.95</v>
      </c>
      <c r="H1195" s="5">
        <v>55.95</v>
      </c>
      <c r="I1195" s="5">
        <v>45.12</v>
      </c>
    </row>
    <row r="1196" ht="15.75" customHeight="1">
      <c r="A1196" s="4">
        <v>46150.0</v>
      </c>
      <c r="B1196" s="5">
        <v>144.57</v>
      </c>
      <c r="C1196" s="5">
        <v>91.8</v>
      </c>
      <c r="D1196" s="5">
        <v>147.72</v>
      </c>
      <c r="E1196" s="5">
        <v>401.51</v>
      </c>
      <c r="F1196" s="5">
        <v>42.37</v>
      </c>
      <c r="G1196" s="5">
        <v>71.96</v>
      </c>
      <c r="H1196" s="5">
        <v>55.7</v>
      </c>
      <c r="I1196" s="5">
        <v>44.72</v>
      </c>
    </row>
    <row r="1197" ht="15.75" customHeight="1">
      <c r="A1197" s="4">
        <v>46153.0</v>
      </c>
      <c r="B1197" s="5">
        <v>149.68</v>
      </c>
      <c r="C1197" s="5">
        <v>93.1</v>
      </c>
      <c r="D1197" s="5">
        <v>152.05</v>
      </c>
      <c r="E1197" s="5">
        <v>419.0</v>
      </c>
      <c r="F1197" s="5">
        <v>44.93</v>
      </c>
      <c r="G1197" s="5">
        <v>74.18</v>
      </c>
      <c r="H1197" s="5">
        <v>57.17</v>
      </c>
      <c r="I1197" s="5">
        <v>45.14</v>
      </c>
    </row>
    <row r="1198" ht="15.75" customHeight="1">
      <c r="A1198" s="4">
        <v>46154.0</v>
      </c>
      <c r="B1198" s="5">
        <v>150.63</v>
      </c>
      <c r="C1198" s="5">
        <v>93.47</v>
      </c>
      <c r="D1198" s="5">
        <v>146.87</v>
      </c>
      <c r="E1198" s="5">
        <v>401.53</v>
      </c>
      <c r="F1198" s="5">
        <v>44.95</v>
      </c>
      <c r="G1198" s="5">
        <v>74.73</v>
      </c>
      <c r="H1198" s="5">
        <v>57.57</v>
      </c>
      <c r="I1198" s="5">
        <v>45.19</v>
      </c>
    </row>
    <row r="1199" ht="15.75" customHeight="1">
      <c r="A1199" s="4">
        <v>46155.0</v>
      </c>
      <c r="B1199" s="5">
        <v>151.57</v>
      </c>
      <c r="C1199" s="5">
        <v>93.14</v>
      </c>
      <c r="D1199" s="5">
        <v>142.61</v>
      </c>
      <c r="E1199" s="5">
        <v>406.94</v>
      </c>
      <c r="F1199" s="5">
        <v>43.53</v>
      </c>
      <c r="G1199" s="5">
        <v>75.71</v>
      </c>
      <c r="H1199" s="5">
        <v>57.63</v>
      </c>
      <c r="I1199" s="5">
        <v>44.67</v>
      </c>
    </row>
    <row r="1200" ht="15.75" customHeight="1">
      <c r="A1200" s="4">
        <v>46156.0</v>
      </c>
      <c r="B1200" s="5">
        <v>152.78</v>
      </c>
      <c r="C1200" s="5">
        <v>93.68</v>
      </c>
      <c r="D1200" s="5">
        <v>141.9</v>
      </c>
      <c r="E1200" s="5">
        <v>408.1</v>
      </c>
      <c r="F1200" s="5">
        <v>44.17</v>
      </c>
      <c r="G1200" s="5">
        <v>77.69</v>
      </c>
      <c r="H1200" s="5">
        <v>58.07</v>
      </c>
      <c r="I1200" s="5">
        <v>44.9</v>
      </c>
    </row>
    <row r="1201" ht="15.75" customHeight="1">
      <c r="A1201" s="4">
        <v>46157.0</v>
      </c>
      <c r="B1201" s="5">
        <v>157.92</v>
      </c>
      <c r="C1201" s="5">
        <v>92.55</v>
      </c>
      <c r="D1201" s="5">
        <v>139.68</v>
      </c>
      <c r="E1201" s="5">
        <v>399.44</v>
      </c>
      <c r="F1201" s="5">
        <v>43.66</v>
      </c>
      <c r="G1201" s="5">
        <v>77.72</v>
      </c>
      <c r="H1201" s="5">
        <v>59.44</v>
      </c>
      <c r="I1201" s="5">
        <v>43.87</v>
      </c>
    </row>
    <row r="1202" ht="15.75" customHeight="1">
      <c r="A1202" s="4">
        <v>46160.0</v>
      </c>
      <c r="B1202" s="5">
        <v>160.49</v>
      </c>
      <c r="C1202" s="5">
        <v>93.71</v>
      </c>
      <c r="D1202" s="5">
        <v>136.75</v>
      </c>
      <c r="E1202" s="5">
        <v>381.87</v>
      </c>
      <c r="F1202" s="5">
        <v>47.48</v>
      </c>
      <c r="G1202" s="5">
        <v>77.69</v>
      </c>
      <c r="H1202" s="5">
        <v>60.58</v>
      </c>
      <c r="I1202" s="5">
        <v>43.94</v>
      </c>
    </row>
    <row r="1203" ht="15.75" customHeight="1">
      <c r="A1203" s="4">
        <v>46161.0</v>
      </c>
      <c r="B1203" s="5">
        <v>162.55</v>
      </c>
      <c r="C1203" s="5">
        <v>94.14</v>
      </c>
      <c r="D1203" s="5">
        <v>134.71</v>
      </c>
      <c r="E1203" s="5">
        <v>371.88</v>
      </c>
      <c r="F1203" s="5">
        <v>47.96</v>
      </c>
      <c r="G1203" s="5">
        <v>79.4</v>
      </c>
      <c r="H1203" s="5">
        <v>61.29</v>
      </c>
      <c r="I1203" s="5">
        <v>44.34</v>
      </c>
    </row>
    <row r="1204" ht="15.75" customHeight="1">
      <c r="A1204" s="4">
        <v>46162.0</v>
      </c>
      <c r="B1204" s="5">
        <v>156.28</v>
      </c>
      <c r="C1204" s="5">
        <v>93.62</v>
      </c>
      <c r="D1204" s="5">
        <v>144.0</v>
      </c>
      <c r="E1204" s="5">
        <v>379.69</v>
      </c>
      <c r="F1204" s="5">
        <v>47.07</v>
      </c>
      <c r="G1204" s="5">
        <v>77.88</v>
      </c>
      <c r="H1204" s="5">
        <v>59.8</v>
      </c>
      <c r="I1204" s="5">
        <v>44.51</v>
      </c>
    </row>
    <row r="1205" ht="15.75" customHeight="1">
      <c r="A1205" s="4">
        <v>46163.0</v>
      </c>
      <c r="B1205" s="5">
        <v>155.29</v>
      </c>
      <c r="C1205" s="5">
        <v>94.24</v>
      </c>
      <c r="D1205" s="5">
        <v>149.08</v>
      </c>
      <c r="E1205" s="5">
        <v>381.51</v>
      </c>
      <c r="F1205" s="5">
        <v>47.94</v>
      </c>
      <c r="G1205" s="5">
        <v>77.52</v>
      </c>
      <c r="H1205" s="5">
        <v>59.13</v>
      </c>
      <c r="I1205" s="5">
        <v>45.0</v>
      </c>
    </row>
    <row r="1206" ht="15.75" customHeight="1">
      <c r="A1206" s="4">
        <v>46164.0</v>
      </c>
      <c r="B1206" s="5">
        <v>154.92</v>
      </c>
      <c r="C1206" s="5">
        <v>94.55</v>
      </c>
      <c r="D1206" s="5">
        <v>156.27</v>
      </c>
      <c r="E1206" s="5">
        <v>391.35</v>
      </c>
      <c r="F1206" s="5">
        <v>47.99</v>
      </c>
      <c r="G1206" s="5">
        <v>78.47</v>
      </c>
      <c r="H1206" s="5">
        <v>59.49</v>
      </c>
      <c r="I1206" s="5">
        <v>45.35</v>
      </c>
    </row>
    <row r="1207" ht="15.75" customHeight="1">
      <c r="A1207" s="4">
        <v>46168.0</v>
      </c>
      <c r="B1207" s="5">
        <v>149.81</v>
      </c>
      <c r="C1207" s="5">
        <v>94.09</v>
      </c>
      <c r="D1207" s="5">
        <v>164.56</v>
      </c>
      <c r="E1207" s="5">
        <v>403.13</v>
      </c>
      <c r="F1207" s="5">
        <v>48.6</v>
      </c>
      <c r="G1207" s="5">
        <v>76.34</v>
      </c>
      <c r="H1207" s="5">
        <v>57.85</v>
      </c>
      <c r="I1207" s="5">
        <v>45.33</v>
      </c>
    </row>
    <row r="1208" ht="15.75" customHeight="1">
      <c r="A1208" s="4">
        <v>46169.0</v>
      </c>
      <c r="B1208" s="5">
        <v>147.9</v>
      </c>
      <c r="C1208" s="5">
        <v>93.74</v>
      </c>
      <c r="D1208" s="5">
        <v>160.15</v>
      </c>
      <c r="E1208" s="5">
        <v>406.37</v>
      </c>
      <c r="F1208" s="5">
        <v>51.59</v>
      </c>
      <c r="G1208" s="5">
        <v>74.37</v>
      </c>
      <c r="H1208" s="5">
        <v>56.99</v>
      </c>
      <c r="I1208" s="5">
        <v>45.14</v>
      </c>
    </row>
    <row r="1209" ht="15.75" customHeight="1">
      <c r="A1209" s="4">
        <v>46170.0</v>
      </c>
      <c r="B1209" s="5">
        <v>146.96</v>
      </c>
      <c r="C1209" s="5">
        <v>92.52</v>
      </c>
      <c r="D1209" s="5">
        <v>160.28</v>
      </c>
      <c r="E1209" s="5">
        <v>401.94</v>
      </c>
      <c r="F1209" s="5">
        <v>52.0</v>
      </c>
      <c r="G1209" s="5">
        <v>73.13</v>
      </c>
      <c r="H1209" s="5">
        <v>56.95</v>
      </c>
      <c r="I1209" s="5">
        <v>44.63</v>
      </c>
    </row>
    <row r="1210" ht="15.75" customHeight="1">
      <c r="A1210" s="4">
        <v>46171.0</v>
      </c>
      <c r="B1210" s="5">
        <v>145.26</v>
      </c>
      <c r="C1210" s="5">
        <v>92.05</v>
      </c>
      <c r="D1210" s="5">
        <v>160.23</v>
      </c>
      <c r="E1210" s="5">
        <v>400.6</v>
      </c>
      <c r="F1210" s="5">
        <v>53.01</v>
      </c>
      <c r="G1210" s="5">
        <v>71.39</v>
      </c>
      <c r="H1210" s="5">
        <v>56.29</v>
      </c>
      <c r="I1210" s="5">
        <v>44.42</v>
      </c>
    </row>
    <row r="1211" ht="15.75" customHeight="1">
      <c r="A1211" s="4">
        <v>46174.0</v>
      </c>
      <c r="B1211" s="5">
        <v>149.38</v>
      </c>
      <c r="C1211" s="5">
        <v>89.03</v>
      </c>
      <c r="D1211" s="5">
        <v>154.76</v>
      </c>
      <c r="E1211" s="5">
        <v>400.08</v>
      </c>
      <c r="F1211" s="5">
        <v>54.74</v>
      </c>
      <c r="G1211" s="5">
        <v>70.04</v>
      </c>
      <c r="H1211" s="5">
        <v>57.3</v>
      </c>
      <c r="I1211" s="5">
        <v>43.1</v>
      </c>
    </row>
    <row r="1212" ht="15.75" customHeight="1">
      <c r="A1212" s="4">
        <v>46175.0</v>
      </c>
      <c r="B1212" s="5">
        <v>149.56</v>
      </c>
      <c r="C1212" s="5">
        <v>90.51</v>
      </c>
      <c r="D1212" s="5">
        <v>157.97</v>
      </c>
      <c r="E1212" s="5">
        <v>417.62</v>
      </c>
      <c r="F1212" s="5">
        <v>55.31</v>
      </c>
      <c r="G1212" s="5">
        <v>71.31</v>
      </c>
      <c r="H1212" s="5">
        <v>57.96</v>
      </c>
      <c r="I1212" s="5">
        <v>43.9</v>
      </c>
    </row>
    <row r="1213" ht="15.75" customHeight="1">
      <c r="A1213" s="4">
        <v>46176.0</v>
      </c>
      <c r="B1213" s="5">
        <v>152.53</v>
      </c>
      <c r="C1213" s="5">
        <v>90.49</v>
      </c>
      <c r="D1213" s="5">
        <v>153.8</v>
      </c>
      <c r="E1213" s="5">
        <v>421.21</v>
      </c>
      <c r="F1213" s="5">
        <v>54.9</v>
      </c>
      <c r="G1213" s="5">
        <v>71.66</v>
      </c>
      <c r="H1213" s="5">
        <v>58.71</v>
      </c>
      <c r="I1213" s="5">
        <v>43.71</v>
      </c>
    </row>
    <row r="1214" ht="15.75" customHeight="1">
      <c r="A1214" s="4">
        <v>46177.0</v>
      </c>
      <c r="B1214" s="5">
        <v>152.04</v>
      </c>
      <c r="C1214" s="5">
        <v>91.62</v>
      </c>
      <c r="D1214" s="5">
        <v>153.7</v>
      </c>
      <c r="E1214" s="5">
        <v>418.61</v>
      </c>
      <c r="F1214" s="5">
        <v>55.12</v>
      </c>
      <c r="G1214" s="5">
        <v>72.43</v>
      </c>
      <c r="H1214" s="5">
        <v>58.75</v>
      </c>
      <c r="I1214" s="5">
        <v>43.94</v>
      </c>
    </row>
    <row r="1215" ht="15.75" customHeight="1">
      <c r="A1215" s="4">
        <v>46178.0</v>
      </c>
      <c r="B1215" s="5">
        <v>149.92</v>
      </c>
      <c r="C1215" s="5">
        <v>92.6</v>
      </c>
      <c r="D1215" s="5">
        <v>148.76</v>
      </c>
      <c r="E1215" s="5">
        <v>395.94</v>
      </c>
      <c r="F1215" s="5">
        <v>53.5</v>
      </c>
      <c r="G1215" s="5">
        <v>71.96</v>
      </c>
      <c r="H1215" s="5">
        <v>57.67</v>
      </c>
      <c r="I1215" s="5">
        <v>44.35</v>
      </c>
    </row>
    <row r="1216" ht="15.75" customHeight="1">
      <c r="A1216" s="4">
        <v>46181.0</v>
      </c>
      <c r="B1216" s="5">
        <v>151.75</v>
      </c>
      <c r="C1216" s="5">
        <v>91.28</v>
      </c>
      <c r="D1216" s="5">
        <v>146.9</v>
      </c>
      <c r="E1216" s="5">
        <v>403.14</v>
      </c>
      <c r="F1216" s="5">
        <v>53.54</v>
      </c>
      <c r="G1216" s="5">
        <v>71.59</v>
      </c>
      <c r="H1216" s="5">
        <v>58.33</v>
      </c>
      <c r="I1216" s="5">
        <v>43.52</v>
      </c>
    </row>
    <row r="1217" ht="15.75" customHeight="1">
      <c r="A1217" s="4">
        <v>46182.0</v>
      </c>
      <c r="B1217" s="5">
        <v>148.91</v>
      </c>
      <c r="C1217" s="5">
        <v>92.95</v>
      </c>
      <c r="D1217" s="5">
        <v>146.22</v>
      </c>
      <c r="E1217" s="5">
        <v>401.72</v>
      </c>
      <c r="F1217" s="5">
        <v>53.61</v>
      </c>
      <c r="G1217" s="5">
        <v>71.59</v>
      </c>
      <c r="H1217" s="5">
        <v>57.39</v>
      </c>
      <c r="I1217" s="5">
        <v>43.98</v>
      </c>
    </row>
    <row r="1218" ht="15.75" customHeight="1">
      <c r="A1218" s="4">
        <v>46183.0</v>
      </c>
      <c r="B1218" s="5">
        <v>150.62</v>
      </c>
      <c r="C1218" s="5">
        <v>94.02</v>
      </c>
      <c r="D1218" s="5">
        <v>138.54</v>
      </c>
      <c r="E1218" s="5">
        <v>375.46</v>
      </c>
      <c r="F1218" s="5">
        <v>54.27</v>
      </c>
      <c r="G1218" s="5">
        <v>72.26</v>
      </c>
      <c r="H1218" s="5">
        <v>58.25</v>
      </c>
      <c r="I1218" s="5">
        <v>44.0</v>
      </c>
    </row>
    <row r="1219" ht="15.75" customHeight="1">
      <c r="A1219" s="4">
        <v>46184.0</v>
      </c>
      <c r="B1219" s="5">
        <v>146.6</v>
      </c>
      <c r="C1219" s="5">
        <v>93.27</v>
      </c>
      <c r="D1219" s="5">
        <v>146.38</v>
      </c>
      <c r="E1219" s="5">
        <v>393.64</v>
      </c>
      <c r="F1219" s="5">
        <v>56.35</v>
      </c>
      <c r="G1219" s="5">
        <v>71.62</v>
      </c>
      <c r="H1219" s="5">
        <v>57.12</v>
      </c>
      <c r="I1219" s="5">
        <v>44.05</v>
      </c>
    </row>
    <row r="1220" ht="15.75" customHeight="1">
      <c r="A1220" s="4">
        <v>46185.0</v>
      </c>
      <c r="B1220" s="5">
        <v>147.01</v>
      </c>
      <c r="C1220" s="5">
        <v>94.0</v>
      </c>
      <c r="D1220" s="5">
        <v>148.02</v>
      </c>
      <c r="E1220" s="5">
        <v>391.39</v>
      </c>
      <c r="F1220" s="5">
        <v>55.89</v>
      </c>
      <c r="G1220" s="5">
        <v>72.08</v>
      </c>
      <c r="H1220" s="5">
        <v>57.55</v>
      </c>
      <c r="I1220" s="5">
        <v>44.53</v>
      </c>
    </row>
    <row r="1221" ht="15.75" customHeight="1">
      <c r="A1221" s="4">
        <v>46188.0</v>
      </c>
      <c r="B1221" s="5">
        <v>140.92</v>
      </c>
      <c r="C1221" s="5">
        <v>93.82</v>
      </c>
      <c r="D1221" s="5">
        <v>153.52</v>
      </c>
      <c r="E1221" s="5">
        <v>407.06</v>
      </c>
      <c r="F1221" s="5">
        <v>52.59</v>
      </c>
      <c r="G1221" s="5">
        <v>71.49</v>
      </c>
      <c r="H1221" s="5">
        <v>55.55</v>
      </c>
      <c r="I1221" s="5">
        <v>44.74</v>
      </c>
    </row>
    <row r="1222" ht="15.75" customHeight="1">
      <c r="A1222" s="4">
        <v>46189.0</v>
      </c>
      <c r="B1222" s="5">
        <v>141.86</v>
      </c>
      <c r="C1222" s="5">
        <v>94.31</v>
      </c>
      <c r="D1222" s="5">
        <v>158.61</v>
      </c>
      <c r="E1222" s="5">
        <v>407.71</v>
      </c>
      <c r="F1222" s="5">
        <v>51.24</v>
      </c>
      <c r="G1222" s="5">
        <v>71.48</v>
      </c>
      <c r="H1222" s="5">
        <v>55.36</v>
      </c>
      <c r="I1222" s="5">
        <v>45.06</v>
      </c>
    </row>
    <row r="1223" ht="15.75" customHeight="1">
      <c r="A1223" s="4">
        <v>46190.0</v>
      </c>
      <c r="B1223" s="5">
        <v>140.74</v>
      </c>
      <c r="C1223" s="5">
        <v>92.53</v>
      </c>
      <c r="D1223" s="5">
        <v>158.83</v>
      </c>
      <c r="E1223" s="5">
        <v>409.64</v>
      </c>
      <c r="F1223" s="5">
        <v>50.85</v>
      </c>
      <c r="G1223" s="5">
        <v>71.25</v>
      </c>
      <c r="H1223" s="5">
        <v>54.67</v>
      </c>
      <c r="I1223" s="5">
        <v>44.46</v>
      </c>
    </row>
    <row r="1224" ht="15.75" customHeight="1">
      <c r="A1224" s="4">
        <v>46191.0</v>
      </c>
      <c r="B1224" s="5">
        <v>137.81</v>
      </c>
      <c r="C1224" s="5">
        <v>93.09</v>
      </c>
      <c r="D1224" s="5">
        <v>163.75</v>
      </c>
      <c r="E1224" s="5">
        <v>421.77</v>
      </c>
      <c r="F1224" s="5">
        <v>50.45</v>
      </c>
      <c r="G1224" s="5">
        <v>73.12</v>
      </c>
      <c r="H1224" s="5">
        <v>53.77</v>
      </c>
      <c r="I1224" s="5">
        <v>44.76</v>
      </c>
    </row>
    <row r="1225" ht="15.75" customHeight="1">
      <c r="A1225" s="4">
        <v>46195.0</v>
      </c>
      <c r="B1225" s="5">
        <v>138.47</v>
      </c>
      <c r="C1225" s="5">
        <v>93.43</v>
      </c>
      <c r="D1225" s="5">
        <v>167.26</v>
      </c>
      <c r="E1225" s="5">
        <v>435.78</v>
      </c>
      <c r="F1225" s="5">
        <v>49.47</v>
      </c>
      <c r="G1225" s="5">
        <v>74.95</v>
      </c>
      <c r="H1225" s="5">
        <v>54.06</v>
      </c>
      <c r="I1225" s="5">
        <v>44.72</v>
      </c>
    </row>
    <row r="1226" ht="15.75" customHeight="1">
      <c r="A1226" s="4">
        <v>46196.0</v>
      </c>
      <c r="B1226" s="5">
        <v>139.73</v>
      </c>
      <c r="C1226" s="5">
        <v>94.93</v>
      </c>
      <c r="D1226" s="5">
        <v>162.39</v>
      </c>
      <c r="E1226" s="5">
        <v>405.28</v>
      </c>
      <c r="F1226" s="5">
        <v>48.04</v>
      </c>
      <c r="G1226" s="5">
        <v>75.79</v>
      </c>
      <c r="H1226" s="5">
        <v>54.46</v>
      </c>
      <c r="I1226" s="5">
        <v>45.07</v>
      </c>
    </row>
    <row r="1227" ht="15.75" customHeight="1">
      <c r="A1227" s="4">
        <v>46197.0</v>
      </c>
      <c r="B1227" s="5">
        <v>136.9</v>
      </c>
      <c r="C1227" s="5">
        <v>95.78</v>
      </c>
      <c r="D1227" s="5">
        <v>162.87</v>
      </c>
      <c r="E1227" s="5">
        <v>404.59</v>
      </c>
      <c r="F1227" s="5">
        <v>45.62</v>
      </c>
      <c r="G1227" s="5">
        <v>75.87</v>
      </c>
      <c r="H1227" s="5">
        <v>53.57</v>
      </c>
      <c r="I1227" s="5">
        <v>45.54</v>
      </c>
    </row>
    <row r="1228" ht="15.75" customHeight="1">
      <c r="A1228" s="4">
        <v>46198.0</v>
      </c>
      <c r="B1228" s="5">
        <v>137.55</v>
      </c>
      <c r="C1228" s="5">
        <v>95.91</v>
      </c>
      <c r="D1228" s="5">
        <v>167.77</v>
      </c>
      <c r="E1228" s="5">
        <v>419.87</v>
      </c>
      <c r="F1228" s="5">
        <v>45.76</v>
      </c>
      <c r="G1228" s="5">
        <v>77.53</v>
      </c>
      <c r="H1228" s="5">
        <v>54.09</v>
      </c>
      <c r="I1228" s="5">
        <v>45.85</v>
      </c>
    </row>
    <row r="1229" ht="15.75" customHeight="1">
      <c r="A1229" s="4">
        <v>46199.0</v>
      </c>
      <c r="B1229" s="5">
        <v>136.54</v>
      </c>
      <c r="C1229" s="5">
        <v>97.16</v>
      </c>
      <c r="D1229" s="5">
        <v>163.49</v>
      </c>
      <c r="E1229" s="5">
        <v>402.68</v>
      </c>
      <c r="F1229" s="5">
        <v>45.33</v>
      </c>
      <c r="G1229" s="5">
        <v>77.92</v>
      </c>
      <c r="H1229" s="5">
        <v>53.84</v>
      </c>
      <c r="I1229" s="5">
        <v>46.2</v>
      </c>
    </row>
    <row r="1230" ht="15.75" customHeight="1">
      <c r="A1230" s="4">
        <v>46202.0</v>
      </c>
      <c r="B1230" s="5">
        <v>136.06</v>
      </c>
      <c r="C1230" s="5">
        <v>96.75</v>
      </c>
      <c r="D1230" s="5">
        <v>162.38</v>
      </c>
      <c r="E1230" s="5">
        <v>408.26</v>
      </c>
      <c r="F1230" s="5">
        <v>45.25</v>
      </c>
      <c r="G1230" s="5">
        <v>75.06</v>
      </c>
      <c r="H1230" s="5">
        <v>53.58</v>
      </c>
      <c r="I1230" s="5">
        <v>46.02</v>
      </c>
    </row>
    <row r="1231" ht="15.75" customHeight="1">
      <c r="A1231" s="4">
        <v>46203.0</v>
      </c>
      <c r="B1231" s="5">
        <v>136.72</v>
      </c>
      <c r="C1231" s="5">
        <v>95.71</v>
      </c>
      <c r="D1231" s="5">
        <v>158.63</v>
      </c>
      <c r="E1231" s="5">
        <v>426.12</v>
      </c>
      <c r="F1231" s="5">
        <v>45.47</v>
      </c>
      <c r="G1231" s="5">
        <v>74.34</v>
      </c>
      <c r="H1231" s="5">
        <v>53.11</v>
      </c>
      <c r="I1231" s="5">
        <v>45.34</v>
      </c>
    </row>
    <row r="1232" ht="15.75" customHeight="1">
      <c r="A1232" s="4">
        <v>46204.0</v>
      </c>
      <c r="B1232" s="5">
        <v>136.28</v>
      </c>
      <c r="C1232" s="5">
        <v>95.12</v>
      </c>
      <c r="D1232" s="5">
        <v>153.16</v>
      </c>
      <c r="E1232" s="5">
        <v>412.31</v>
      </c>
      <c r="F1232" s="5">
        <v>44.96</v>
      </c>
      <c r="G1232" s="5">
        <v>72.77</v>
      </c>
      <c r="H1232" s="5">
        <v>52.81</v>
      </c>
      <c r="I1232" s="5">
        <v>44.77</v>
      </c>
    </row>
    <row r="1233" ht="15.75" customHeight="1">
      <c r="A1233" s="4">
        <v>46205.0</v>
      </c>
      <c r="B1233" s="5">
        <v>137.09</v>
      </c>
      <c r="C1233" s="5">
        <v>97.98</v>
      </c>
      <c r="D1233" s="5">
        <v>151.05</v>
      </c>
      <c r="E1233" s="5">
        <v>398.52</v>
      </c>
      <c r="F1233" s="5">
        <v>44.4</v>
      </c>
      <c r="G1233" s="5">
        <v>73.14</v>
      </c>
      <c r="H1233" s="5">
        <v>53.22</v>
      </c>
      <c r="I1233" s="5">
        <v>45.76</v>
      </c>
    </row>
    <row r="1234" ht="15.75" customHeight="1">
      <c r="A1234" s="4">
        <v>46209.0</v>
      </c>
      <c r="B1234" s="5">
        <v>136.44</v>
      </c>
      <c r="C1234" s="5">
        <v>95.99</v>
      </c>
      <c r="D1234" s="5">
        <v>157.22</v>
      </c>
      <c r="E1234" s="5">
        <v>413.42</v>
      </c>
      <c r="F1234" s="5">
        <v>46.12</v>
      </c>
      <c r="G1234" s="5">
        <v>72.82</v>
      </c>
      <c r="H1234" s="5">
        <v>53.13</v>
      </c>
      <c r="I1234" s="5">
        <v>45.3</v>
      </c>
    </row>
    <row r="1235" ht="15.75" customHeight="1">
      <c r="A1235" s="4">
        <v>46210.0</v>
      </c>
      <c r="B1235" s="5">
        <v>141.69</v>
      </c>
      <c r="C1235" s="5">
        <v>97.29</v>
      </c>
      <c r="D1235" s="5">
        <v>155.73</v>
      </c>
      <c r="E1235" s="5">
        <v>395.68</v>
      </c>
      <c r="F1235" s="5">
        <v>47.13</v>
      </c>
      <c r="G1235" s="5">
        <v>75.08</v>
      </c>
      <c r="H1235" s="5">
        <v>54.64</v>
      </c>
      <c r="I1235" s="5">
        <v>45.7</v>
      </c>
    </row>
    <row r="1236" ht="15.75" customHeight="1">
      <c r="A1236" s="4">
        <v>46211.0</v>
      </c>
      <c r="B1236" s="5">
        <v>141.13</v>
      </c>
      <c r="C1236" s="5">
        <v>96.38</v>
      </c>
      <c r="D1236" s="5">
        <v>154.82</v>
      </c>
      <c r="E1236" s="5">
        <v>399.56</v>
      </c>
      <c r="F1236" s="5">
        <v>47.9</v>
      </c>
      <c r="G1236" s="5">
        <v>75.27</v>
      </c>
      <c r="H1236" s="5">
        <v>55.6</v>
      </c>
      <c r="I1236" s="5">
        <v>45.36</v>
      </c>
    </row>
    <row r="1237" ht="15.75" customHeight="1">
      <c r="A1237" s="4">
        <v>46212.0</v>
      </c>
      <c r="B1237" s="5">
        <v>137.46</v>
      </c>
      <c r="C1237" s="5">
        <v>95.17</v>
      </c>
      <c r="D1237" s="5">
        <v>157.98</v>
      </c>
      <c r="E1237" s="5">
        <v>405.83</v>
      </c>
      <c r="F1237" s="5">
        <v>47.04</v>
      </c>
      <c r="G1237" s="5">
        <v>75.45</v>
      </c>
      <c r="H1237" s="5">
        <v>54.82</v>
      </c>
      <c r="I1237" s="5">
        <v>45.13</v>
      </c>
    </row>
    <row r="1238" ht="15.75" customHeight="1">
      <c r="A1238" s="4">
        <v>46213.0</v>
      </c>
      <c r="B1238" s="5">
        <v>138.88</v>
      </c>
      <c r="C1238" s="5">
        <v>95.61</v>
      </c>
      <c r="D1238" s="5">
        <v>158.86</v>
      </c>
      <c r="E1238" s="5">
        <v>407.28</v>
      </c>
      <c r="F1238" s="5">
        <v>47.58</v>
      </c>
      <c r="G1238" s="5">
        <v>75.02</v>
      </c>
      <c r="H1238" s="5">
        <v>55.08</v>
      </c>
      <c r="I1238" s="5">
        <v>45.41</v>
      </c>
    </row>
    <row r="1239" ht="15.75" customHeight="1">
      <c r="A1239" s="4">
        <v>46216.0</v>
      </c>
      <c r="B1239" s="5">
        <v>144.51</v>
      </c>
      <c r="C1239" s="5">
        <v>96.47</v>
      </c>
      <c r="D1239" s="5">
        <v>158.12</v>
      </c>
      <c r="E1239" s="5">
        <v>402.85</v>
      </c>
      <c r="F1239" s="5">
        <v>49.5</v>
      </c>
      <c r="G1239" s="5">
        <v>74.46</v>
      </c>
      <c r="H1239" s="5">
        <v>56.74</v>
      </c>
      <c r="I1239" s="5">
        <v>45.72</v>
      </c>
    </row>
    <row r="1240" ht="15.75" customHeight="1">
      <c r="A1240" s="4">
        <v>46217.0</v>
      </c>
      <c r="B1240" s="5">
        <v>145.09</v>
      </c>
      <c r="C1240" s="5">
        <v>95.96</v>
      </c>
      <c r="D1240" s="5">
        <v>158.43</v>
      </c>
      <c r="E1240" s="5">
        <v>415.52</v>
      </c>
      <c r="F1240" s="5">
        <v>49.8</v>
      </c>
      <c r="G1240" s="5">
        <v>75.98</v>
      </c>
      <c r="H1240" s="5">
        <v>56.95</v>
      </c>
      <c r="I1240" s="5">
        <v>45.69</v>
      </c>
    </row>
    <row r="1241" ht="15.75" customHeight="1">
      <c r="A1241" s="4">
        <v>46218.0</v>
      </c>
      <c r="B1241" s="5">
        <v>144.51</v>
      </c>
      <c r="C1241" s="5">
        <v>94.6</v>
      </c>
      <c r="D1241" s="5">
        <v>160.23</v>
      </c>
      <c r="E1241" s="5">
        <v>412.86</v>
      </c>
      <c r="F1241" s="5">
        <v>50.26</v>
      </c>
      <c r="G1241" s="5">
        <v>74.38</v>
      </c>
      <c r="H1241" s="5">
        <v>56.5</v>
      </c>
      <c r="I1241" s="5">
        <v>45.22</v>
      </c>
    </row>
    <row r="1242" ht="15.75" customHeight="1">
      <c r="A1242" s="4">
        <v>46219.0</v>
      </c>
      <c r="B1242" s="5">
        <v>145.95</v>
      </c>
      <c r="C1242" s="5">
        <v>96.07</v>
      </c>
      <c r="D1242" s="5">
        <v>152.56</v>
      </c>
      <c r="E1242" s="5">
        <v>396.27</v>
      </c>
      <c r="F1242" s="5">
        <v>48.45</v>
      </c>
      <c r="G1242" s="5">
        <v>74.73</v>
      </c>
      <c r="H1242" s="5">
        <v>57.02</v>
      </c>
      <c r="I1242" s="5">
        <v>45.47</v>
      </c>
    </row>
    <row r="1243" ht="15.75" customHeight="1">
      <c r="A1243" s="4">
        <v>46220.0</v>
      </c>
      <c r="B1243" s="5">
        <v>147.36</v>
      </c>
      <c r="C1243" s="5">
        <v>95.3</v>
      </c>
      <c r="D1243" s="5">
        <v>155.44</v>
      </c>
      <c r="E1243" s="5">
        <v>399.99</v>
      </c>
      <c r="F1243" s="5">
        <v>49.68</v>
      </c>
      <c r="G1243" s="5">
        <v>73.38</v>
      </c>
      <c r="H1243" s="5">
        <v>57.68</v>
      </c>
      <c r="I1243" s="5">
        <v>45.17</v>
      </c>
    </row>
    <row r="1244" ht="15.75" customHeight="1">
      <c r="A1244" s="4">
        <v>46223.0</v>
      </c>
      <c r="B1244" s="5">
        <v>148.36</v>
      </c>
      <c r="C1244" s="5">
        <v>94.46</v>
      </c>
      <c r="D1244" s="5">
        <v>157.99</v>
      </c>
      <c r="E1244" s="5">
        <v>401.41</v>
      </c>
      <c r="F1244" s="5">
        <v>50.44</v>
      </c>
      <c r="G1244" s="5">
        <v>74.16</v>
      </c>
      <c r="H1244" s="5">
        <v>57.94</v>
      </c>
      <c r="I1244" s="5">
        <v>44.94</v>
      </c>
    </row>
    <row r="1245" ht="15.75" customHeight="1">
      <c r="A1245" s="4">
        <v>46224.0</v>
      </c>
      <c r="B1245" s="5">
        <v>151.71</v>
      </c>
      <c r="C1245" s="5">
        <v>93.85</v>
      </c>
      <c r="D1245" s="5">
        <v>162.33</v>
      </c>
      <c r="E1245" s="5">
        <v>402.95</v>
      </c>
      <c r="F1245" s="5">
        <v>51.33</v>
      </c>
      <c r="G1245" s="5">
        <v>73.36</v>
      </c>
      <c r="H1245" s="5">
        <v>58.5</v>
      </c>
      <c r="I1245" s="5">
        <v>44.92</v>
      </c>
    </row>
    <row r="1246" ht="15.75" customHeight="1">
      <c r="A1246" s="4">
        <v>46225.0</v>
      </c>
      <c r="B1246" s="5">
        <v>154.45</v>
      </c>
      <c r="C1246" s="5">
        <v>95.8</v>
      </c>
      <c r="D1246" s="5">
        <v>166.74</v>
      </c>
      <c r="E1246" s="5">
        <v>406.91</v>
      </c>
      <c r="F1246" s="5">
        <v>52.51</v>
      </c>
      <c r="G1246" s="5">
        <v>74.49</v>
      </c>
      <c r="H1246" s="5">
        <v>59.2</v>
      </c>
      <c r="I1246" s="5">
        <v>45.93</v>
      </c>
    </row>
    <row r="1247" ht="15.75" customHeight="1">
      <c r="A1247" s="4">
        <v>46226.0</v>
      </c>
      <c r="B1247" s="5">
        <v>156.89</v>
      </c>
      <c r="C1247" s="5">
        <v>96.6</v>
      </c>
      <c r="D1247" s="5">
        <v>168.98</v>
      </c>
      <c r="E1247" s="5">
        <v>415.13</v>
      </c>
      <c r="F1247" s="5">
        <v>51.92</v>
      </c>
      <c r="G1247" s="5">
        <v>75.25</v>
      </c>
      <c r="H1247" s="5">
        <v>59.38</v>
      </c>
      <c r="I1247" s="5">
        <v>46.19</v>
      </c>
    </row>
    <row r="1248" ht="15.75" customHeight="1">
      <c r="A1248" s="4">
        <v>46227.0</v>
      </c>
      <c r="B1248" s="5">
        <v>156.94</v>
      </c>
      <c r="C1248" s="5">
        <v>97.25</v>
      </c>
      <c r="D1248" s="5">
        <v>163.38</v>
      </c>
      <c r="E1248" s="5">
        <v>404.07</v>
      </c>
      <c r="F1248" s="5">
        <v>51.4</v>
      </c>
      <c r="G1248" s="5">
        <v>74.0</v>
      </c>
      <c r="H1248" s="5">
        <v>59.62</v>
      </c>
      <c r="I1248" s="5">
        <v>46.29</v>
      </c>
    </row>
    <row r="1249" ht="15.75" customHeight="1">
      <c r="A1249" s="4">
        <v>46230.0</v>
      </c>
      <c r="B1249" s="5">
        <v>154.77</v>
      </c>
      <c r="C1249" s="5">
        <v>96.48</v>
      </c>
      <c r="D1249" s="5">
        <v>157.08</v>
      </c>
      <c r="E1249" s="5">
        <v>398.64</v>
      </c>
      <c r="F1249" s="5">
        <v>50.9</v>
      </c>
      <c r="G1249" s="5">
        <v>70.79</v>
      </c>
      <c r="H1249" s="5">
        <v>58.36</v>
      </c>
      <c r="I1249" s="5">
        <v>45.68</v>
      </c>
    </row>
    <row r="1250" ht="15.75" customHeight="1">
      <c r="A1250" s="4">
        <v>46231.0</v>
      </c>
      <c r="B1250" s="5">
        <v>153.04</v>
      </c>
      <c r="C1250" s="5">
        <v>96.78</v>
      </c>
      <c r="D1250" s="5">
        <v>148.64</v>
      </c>
      <c r="E1250" s="5">
        <v>386.26</v>
      </c>
      <c r="F1250" s="5">
        <v>49.84</v>
      </c>
      <c r="G1250" s="5">
        <v>70.16</v>
      </c>
      <c r="H1250" s="5">
        <v>57.57</v>
      </c>
      <c r="I1250" s="5">
        <v>45.52</v>
      </c>
    </row>
    <row r="1251" ht="15.75" customHeight="1">
      <c r="A1251" s="4">
        <v>46232.0</v>
      </c>
      <c r="B1251" s="5">
        <v>156.75</v>
      </c>
      <c r="C1251" s="5">
        <v>96.05</v>
      </c>
      <c r="D1251" s="5">
        <v>142.81</v>
      </c>
      <c r="E1251" s="5">
        <v>361.88</v>
      </c>
      <c r="F1251" s="5">
        <v>50.32</v>
      </c>
      <c r="G1251" s="5">
        <v>70.13</v>
      </c>
      <c r="H1251" s="5">
        <v>58.65</v>
      </c>
      <c r="I1251" s="5">
        <v>44.91</v>
      </c>
    </row>
    <row r="1252" ht="15.75" customHeight="1">
      <c r="A1252" s="4">
        <v>46233.0</v>
      </c>
      <c r="B1252" s="5">
        <v>156.97</v>
      </c>
      <c r="C1252" s="5">
        <v>94.34</v>
      </c>
      <c r="D1252" s="5">
        <v>148.62</v>
      </c>
      <c r="E1252" s="5">
        <v>386.89</v>
      </c>
      <c r="F1252" s="5">
        <v>52.15</v>
      </c>
      <c r="G1252" s="5">
        <v>70.91</v>
      </c>
      <c r="H1252" s="5">
        <v>58.96</v>
      </c>
      <c r="I1252" s="5">
        <v>44.66</v>
      </c>
    </row>
    <row r="1253" ht="15.75" customHeight="1">
      <c r="A1253" s="4">
        <v>46234.0</v>
      </c>
      <c r="B1253" s="5">
        <v>155.44</v>
      </c>
      <c r="C1253" s="5">
        <v>94.54</v>
      </c>
      <c r="D1253" s="5">
        <v>148.19</v>
      </c>
      <c r="E1253" s="5">
        <v>415.2</v>
      </c>
      <c r="F1253" s="5">
        <v>52.54</v>
      </c>
      <c r="G1253" s="5">
        <v>71.54</v>
      </c>
      <c r="H1253" s="5">
        <v>59.55</v>
      </c>
      <c r="I1253" s="5">
        <v>44.35</v>
      </c>
    </row>
    <row r="1254" ht="15.75" customHeight="1">
      <c r="A1254" s="4">
        <v>46237.0</v>
      </c>
      <c r="B1254" s="5">
        <v>155.06</v>
      </c>
      <c r="C1254" s="5">
        <v>92.94</v>
      </c>
      <c r="D1254" s="5">
        <v>155.94</v>
      </c>
      <c r="E1254" s="5">
        <v>438.23</v>
      </c>
      <c r="F1254" s="5">
        <v>51.06</v>
      </c>
      <c r="G1254" s="5">
        <v>70.43</v>
      </c>
      <c r="H1254" s="5">
        <v>58.79</v>
      </c>
      <c r="I1254" s="5">
        <v>44.36</v>
      </c>
    </row>
    <row r="1255" ht="15.75" customHeight="1">
      <c r="A1255" s="4">
        <v>46238.0</v>
      </c>
      <c r="B1255" s="5">
        <v>153.96</v>
      </c>
      <c r="C1255" s="5">
        <v>93.25</v>
      </c>
      <c r="D1255" s="5">
        <v>143.23</v>
      </c>
      <c r="E1255" s="5">
        <v>444.77</v>
      </c>
      <c r="F1255" s="5">
        <v>49.64</v>
      </c>
      <c r="G1255" s="5">
        <v>71.51</v>
      </c>
      <c r="H1255" s="5">
        <v>58.52</v>
      </c>
      <c r="I1255" s="5">
        <v>44.11</v>
      </c>
    </row>
    <row r="1256" ht="15.75" customHeight="1">
      <c r="A1256" s="4">
        <v>46239.0</v>
      </c>
      <c r="B1256" s="5">
        <v>151.63</v>
      </c>
      <c r="C1256" s="5">
        <v>93.1</v>
      </c>
      <c r="D1256" s="5">
        <v>140.58</v>
      </c>
      <c r="E1256" s="5">
        <v>447.28</v>
      </c>
      <c r="F1256" s="5">
        <v>48.67</v>
      </c>
      <c r="G1256" s="5">
        <v>71.81</v>
      </c>
      <c r="H1256" s="5">
        <v>57.31</v>
      </c>
      <c r="I1256" s="5">
        <v>43.66</v>
      </c>
    </row>
    <row r="1257" ht="15.75" customHeight="1">
      <c r="A1257" s="4">
        <v>46240.0</v>
      </c>
      <c r="B1257" s="5">
        <v>154.84</v>
      </c>
      <c r="C1257" s="5">
        <v>92.9</v>
      </c>
      <c r="D1257" s="5">
        <v>141.38</v>
      </c>
      <c r="E1257" s="5">
        <v>448.19</v>
      </c>
      <c r="F1257" s="5">
        <v>49.61</v>
      </c>
      <c r="G1257" s="5">
        <v>71.76</v>
      </c>
      <c r="H1257" s="5">
        <v>58.16</v>
      </c>
      <c r="I1257" s="5">
        <v>43.38</v>
      </c>
    </row>
    <row r="1258" ht="15.75" customHeight="1">
      <c r="A1258" s="4">
        <v>46241.0</v>
      </c>
      <c r="B1258" s="5">
        <v>153.04</v>
      </c>
      <c r="C1258" s="5">
        <v>92.69</v>
      </c>
      <c r="D1258" s="5">
        <v>140.59</v>
      </c>
      <c r="E1258" s="5">
        <v>448.68</v>
      </c>
      <c r="F1258" s="5">
        <v>49.16</v>
      </c>
      <c r="G1258" s="5">
        <v>70.4</v>
      </c>
      <c r="H1258" s="5">
        <v>57.5</v>
      </c>
      <c r="I1258" s="5">
        <v>43.61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71"/>
    <col customWidth="1" min="2" max="9" width="11.71"/>
    <col customWidth="1" min="10" max="26" width="8.71"/>
  </cols>
  <sheetData>
    <row r="1">
      <c r="A1" s="1" t="s">
        <v>2</v>
      </c>
    </row>
    <row r="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</row>
    <row r="5">
      <c r="A5" s="4">
        <f>IF(PRECIOS!A5="","",PRECIOS!A5)</f>
        <v>44418</v>
      </c>
      <c r="B5" s="7">
        <f>IFERROR(IF(OR(PRECIOS!B5="",PRECIOS!B4=""),"",PRECIOS!B5/PRECIOS!B4-1),"")</f>
        <v>0.01714907598</v>
      </c>
      <c r="C5" s="7">
        <f>IFERROR(IF(OR(PRECIOS!C5="",PRECIOS!C4=""),"",PRECIOS!C5/PRECIOS!C4-1),"")</f>
        <v>0.005532455929</v>
      </c>
      <c r="D5" s="7">
        <f>IFERROR(IF(OR(PRECIOS!D5="",PRECIOS!D4=""),"",PRECIOS!D5/PRECIOS!D4-1),"")</f>
        <v>-0.02118221138</v>
      </c>
      <c r="E5" s="7">
        <f>IFERROR(IF(OR(PRECIOS!E5="",PRECIOS!E4=""),"",PRECIOS!E5/PRECIOS!E4-1),"")</f>
        <v>0.02491300971</v>
      </c>
      <c r="F5" s="7">
        <f>IFERROR(IF(OR(PRECIOS!F5="",PRECIOS!F4=""),"",PRECIOS!F5/PRECIOS!F4-1),"")</f>
        <v>0.05803571429</v>
      </c>
      <c r="G5" s="7">
        <f>IFERROR(IF(OR(PRECIOS!G5="",PRECIOS!G4=""),"",PRECIOS!G5/PRECIOS!G4-1),"")</f>
        <v>0.008909945129</v>
      </c>
      <c r="H5" s="7">
        <f>IFERROR(IF(OR(PRECIOS!H5="",PRECIOS!H4=""),"",PRECIOS!H5/PRECIOS!H4-1),"")</f>
        <v>0.01762067544</v>
      </c>
      <c r="I5" s="7">
        <f>IFERROR(IF(OR(PRECIOS!I5="",PRECIOS!I4=""),"",PRECIOS!I5/PRECIOS!I4-1),"")</f>
        <v>0.001061491668</v>
      </c>
    </row>
    <row r="6">
      <c r="A6" s="4">
        <f>IF(PRECIOS!A6="","",PRECIOS!A6)</f>
        <v>44419</v>
      </c>
      <c r="B6" s="7">
        <f>IFERROR(IF(OR(PRECIOS!B6="",PRECIOS!B5=""),"",PRECIOS!B6/PRECIOS!B5-1),"")</f>
        <v>0.002913860046</v>
      </c>
      <c r="C6" s="7">
        <f>IFERROR(IF(OR(PRECIOS!C6="",PRECIOS!C5=""),"",PRECIOS!C6/PRECIOS!C5-1),"")</f>
        <v>0.006454006659</v>
      </c>
      <c r="D6" s="7">
        <f>IFERROR(IF(OR(PRECIOS!D6="",PRECIOS!D5=""),"",PRECIOS!D6/PRECIOS!D5-1),"")</f>
        <v>-0.007579877634</v>
      </c>
      <c r="E6" s="7">
        <f>IFERROR(IF(OR(PRECIOS!E6="",PRECIOS!E5=""),"",PRECIOS!E6/PRECIOS!E5-1),"")</f>
        <v>-0.002661803125</v>
      </c>
      <c r="F6" s="7">
        <f>IFERROR(IF(OR(PRECIOS!F6="",PRECIOS!F5=""),"",PRECIOS!F6/PRECIOS!F5-1),"")</f>
        <v>0.07594936709</v>
      </c>
      <c r="G6" s="7">
        <f>IFERROR(IF(OR(PRECIOS!G6="",PRECIOS!G5=""),"",PRECIOS!G6/PRECIOS!G5-1),"")</f>
        <v>0</v>
      </c>
      <c r="H6" s="7">
        <f>IFERROR(IF(OR(PRECIOS!H6="",PRECIOS!H5=""),"",PRECIOS!H6/PRECIOS!H5-1),"")</f>
        <v>0.007842987769</v>
      </c>
      <c r="I6" s="7">
        <f>IFERROR(IF(OR(PRECIOS!I6="",PRECIOS!I5=""),"",PRECIOS!I6/PRECIOS!I5-1),"")</f>
        <v>0.009329182499</v>
      </c>
    </row>
    <row r="7">
      <c r="A7" s="4">
        <f>IF(PRECIOS!A7="","",PRECIOS!A7)</f>
        <v>44420</v>
      </c>
      <c r="B7" s="7">
        <f>IFERROR(IF(OR(PRECIOS!B7="",PRECIOS!B6=""),"",PRECIOS!B7/PRECIOS!B6-1),"")</f>
        <v>-0.002263824452</v>
      </c>
      <c r="C7" s="7">
        <f>IFERROR(IF(OR(PRECIOS!C7="",PRECIOS!C6=""),"",PRECIOS!C7/PRECIOS!C6-1),"")</f>
        <v>0.001367896156</v>
      </c>
      <c r="D7" s="7">
        <f>IFERROR(IF(OR(PRECIOS!D7="",PRECIOS!D6=""),"",PRECIOS!D7/PRECIOS!D6-1),"")</f>
        <v>0.002169172632</v>
      </c>
      <c r="E7" s="7">
        <f>IFERROR(IF(OR(PRECIOS!E7="",PRECIOS!E6=""),"",PRECIOS!E7/PRECIOS!E6-1),"")</f>
        <v>0.006134779815</v>
      </c>
      <c r="F7" s="7">
        <f>IFERROR(IF(OR(PRECIOS!F7="",PRECIOS!F6=""),"",PRECIOS!F7/PRECIOS!F6-1),"")</f>
        <v>-0.01176470588</v>
      </c>
      <c r="G7" s="7">
        <f>IFERROR(IF(OR(PRECIOS!G7="",PRECIOS!G6=""),"",PRECIOS!G7/PRECIOS!G6-1),"")</f>
        <v>0.0007515040942</v>
      </c>
      <c r="H7" s="7">
        <f>IFERROR(IF(OR(PRECIOS!H7="",PRECIOS!H6=""),"",PRECIOS!H7/PRECIOS!H6-1),"")</f>
        <v>-0.0009786539962</v>
      </c>
      <c r="I7" s="7">
        <f>IFERROR(IF(OR(PRECIOS!I7="",PRECIOS!I6=""),"",PRECIOS!I7/PRECIOS!I6-1),"")</f>
        <v>0.001003424438</v>
      </c>
    </row>
    <row r="8">
      <c r="A8" s="4">
        <f>IF(PRECIOS!A8="","",PRECIOS!A8)</f>
        <v>44421</v>
      </c>
      <c r="B8" s="7">
        <f>IFERROR(IF(OR(PRECIOS!B8="",PRECIOS!B7=""),"",PRECIOS!B8/PRECIOS!B7-1),"")</f>
        <v>-0.01011203339</v>
      </c>
      <c r="C8" s="7">
        <f>IFERROR(IF(OR(PRECIOS!C8="",PRECIOS!C7=""),"",PRECIOS!C8/PRECIOS!C7-1),"")</f>
        <v>0.007217663415</v>
      </c>
      <c r="D8" s="7">
        <f>IFERROR(IF(OR(PRECIOS!D8="",PRECIOS!D7=""),"",PRECIOS!D8/PRECIOS!D7-1),"")</f>
        <v>0.0005582073569</v>
      </c>
      <c r="E8" s="7">
        <f>IFERROR(IF(OR(PRECIOS!E8="",PRECIOS!E7=""),"",PRECIOS!E8/PRECIOS!E7-1),"")</f>
        <v>0.002658774262</v>
      </c>
      <c r="F8" s="7">
        <f>IFERROR(IF(OR(PRECIOS!F8="",PRECIOS!F7=""),"",PRECIOS!F8/PRECIOS!F7-1),"")</f>
        <v>-0.03373015873</v>
      </c>
      <c r="G8" s="7">
        <f>IFERROR(IF(OR(PRECIOS!G8="",PRECIOS!G7=""),"",PRECIOS!G8/PRECIOS!G7-1),"")</f>
        <v>-0.006775820608</v>
      </c>
      <c r="H8" s="7">
        <f>IFERROR(IF(OR(PRECIOS!H8="",PRECIOS!H7=""),"",PRECIOS!H8/PRECIOS!H7-1),"")</f>
        <v>-0.01181687395</v>
      </c>
      <c r="I8" s="7">
        <f>IFERROR(IF(OR(PRECIOS!I8="",PRECIOS!I7=""),"",PRECIOS!I8/PRECIOS!I7-1),"")</f>
        <v>0.007064023601</v>
      </c>
    </row>
    <row r="9">
      <c r="A9" s="4">
        <f>IF(PRECIOS!A9="","",PRECIOS!A9)</f>
        <v>44424</v>
      </c>
      <c r="B9" s="7">
        <f>IFERROR(IF(OR(PRECIOS!B9="",PRECIOS!B8=""),"",PRECIOS!B9/PRECIOS!B8-1),"")</f>
        <v>-0.01461957914</v>
      </c>
      <c r="C9" s="7">
        <f>IFERROR(IF(OR(PRECIOS!C9="",PRECIOS!C8=""),"",PRECIOS!C9/PRECIOS!C8-1),"")</f>
        <v>0.01297885165</v>
      </c>
      <c r="D9" s="7">
        <f>IFERROR(IF(OR(PRECIOS!D9="",PRECIOS!D8=""),"",PRECIOS!D9/PRECIOS!D8-1),"")</f>
        <v>-0.02286234772</v>
      </c>
      <c r="E9" s="7">
        <f>IFERROR(IF(OR(PRECIOS!E9="",PRECIOS!E8=""),"",PRECIOS!E9/PRECIOS!E8-1),"")</f>
        <v>0.005358564517</v>
      </c>
      <c r="F9" s="7">
        <f>IFERROR(IF(OR(PRECIOS!F9="",PRECIOS!F8=""),"",PRECIOS!F9/PRECIOS!F8-1),"")</f>
        <v>-0.01437371663</v>
      </c>
      <c r="G9" s="7">
        <f>IFERROR(IF(OR(PRECIOS!G9="",PRECIOS!G8=""),"",PRECIOS!G9/PRECIOS!G8-1),"")</f>
        <v>-0.008889199666</v>
      </c>
      <c r="H9" s="7">
        <f>IFERROR(IF(OR(PRECIOS!H9="",PRECIOS!H8=""),"",PRECIOS!H9/PRECIOS!H8-1),"")</f>
        <v>-0.01838983578</v>
      </c>
      <c r="I9" s="7">
        <f>IFERROR(IF(OR(PRECIOS!I9="",PRECIOS!I8=""),"",PRECIOS!I9/PRECIOS!I8-1),"")</f>
        <v>0.006102591681</v>
      </c>
    </row>
    <row r="10">
      <c r="A10" s="4">
        <f>IF(PRECIOS!A10="","",PRECIOS!A10)</f>
        <v>44425</v>
      </c>
      <c r="B10" s="7">
        <f>IFERROR(IF(OR(PRECIOS!B10="",PRECIOS!B9=""),"",PRECIOS!B10/PRECIOS!B9-1),"")</f>
        <v>-0.006797621492</v>
      </c>
      <c r="C10" s="7">
        <f>IFERROR(IF(OR(PRECIOS!C10="",PRECIOS!C9=""),"",PRECIOS!C10/PRECIOS!C9-1),"")</f>
        <v>0.0010460847</v>
      </c>
      <c r="D10" s="7">
        <f>IFERROR(IF(OR(PRECIOS!D10="",PRECIOS!D9=""),"",PRECIOS!D10/PRECIOS!D9-1),"")</f>
        <v>0.009443965417</v>
      </c>
      <c r="E10" s="7">
        <f>IFERROR(IF(OR(PRECIOS!E10="",PRECIOS!E9=""),"",PRECIOS!E10/PRECIOS!E9-1),"")</f>
        <v>-0.009587914598</v>
      </c>
      <c r="F10" s="7">
        <f>IFERROR(IF(OR(PRECIOS!F10="",PRECIOS!F9=""),"",PRECIOS!F10/PRECIOS!F9-1),"")</f>
        <v>-0.00625</v>
      </c>
      <c r="G10" s="7">
        <f>IFERROR(IF(OR(PRECIOS!G10="",PRECIOS!G9=""),"",PRECIOS!G10/PRECIOS!G9-1),"")</f>
        <v>-0.005269354405</v>
      </c>
      <c r="H10" s="7">
        <f>IFERROR(IF(OR(PRECIOS!H10="",PRECIOS!H9=""),"",PRECIOS!H10/PRECIOS!H9-1),"")</f>
        <v>-0.0103234116</v>
      </c>
      <c r="I10" s="7">
        <f>IFERROR(IF(OR(PRECIOS!I10="",PRECIOS!I9=""),"",PRECIOS!I10/PRECIOS!I9-1),"")</f>
        <v>0.0005776738998</v>
      </c>
    </row>
    <row r="11">
      <c r="A11" s="4">
        <f>IF(PRECIOS!A11="","",PRECIOS!A11)</f>
        <v>44426</v>
      </c>
      <c r="B11" s="7">
        <f>IFERROR(IF(OR(PRECIOS!B11="",PRECIOS!B10=""),"",PRECIOS!B11/PRECIOS!B10-1),"")</f>
        <v>-0.02104257062</v>
      </c>
      <c r="C11" s="7">
        <f>IFERROR(IF(OR(PRECIOS!C11="",PRECIOS!C10=""),"",PRECIOS!C11/PRECIOS!C10-1),"")</f>
        <v>-0.006606686365</v>
      </c>
      <c r="D11" s="7">
        <f>IFERROR(IF(OR(PRECIOS!D11="",PRECIOS!D10=""),"",PRECIOS!D11/PRECIOS!D10-1),"")</f>
        <v>-0.007722275128</v>
      </c>
      <c r="E11" s="7">
        <f>IFERROR(IF(OR(PRECIOS!E11="",PRECIOS!E10=""),"",PRECIOS!E11/PRECIOS!E10-1),"")</f>
        <v>-0.002724628054</v>
      </c>
      <c r="F11" s="7">
        <f>IFERROR(IF(OR(PRECIOS!F11="",PRECIOS!F10=""),"",PRECIOS!F11/PRECIOS!F10-1),"")</f>
        <v>-0.035639413</v>
      </c>
      <c r="G11" s="7">
        <f>IFERROR(IF(OR(PRECIOS!G11="",PRECIOS!G10=""),"",PRECIOS!G11/PRECIOS!G10-1),"")</f>
        <v>-0.01798411263</v>
      </c>
      <c r="H11" s="7">
        <f>IFERROR(IF(OR(PRECIOS!H11="",PRECIOS!H10=""),"",PRECIOS!H11/PRECIOS!H10-1),"")</f>
        <v>-0.02081289591</v>
      </c>
      <c r="I11" s="7">
        <f>IFERROR(IF(OR(PRECIOS!I11="",PRECIOS!I10=""),"",PRECIOS!I11/PRECIOS!I10-1),"")</f>
        <v>-0.005056705444</v>
      </c>
    </row>
    <row r="12">
      <c r="A12" s="4">
        <f>IF(PRECIOS!A12="","",PRECIOS!A12)</f>
        <v>44427</v>
      </c>
      <c r="B12" s="7">
        <f>IFERROR(IF(OR(PRECIOS!B12="",PRECIOS!B11=""),"",PRECIOS!B12/PRECIOS!B11-1),"")</f>
        <v>-0.03052016985</v>
      </c>
      <c r="C12" s="7">
        <f>IFERROR(IF(OR(PRECIOS!C12="",PRECIOS!C11=""),"",PRECIOS!C12/PRECIOS!C11-1),"")</f>
        <v>0.005598683561</v>
      </c>
      <c r="D12" s="7">
        <f>IFERROR(IF(OR(PRECIOS!D12="",PRECIOS!D11=""),"",PRECIOS!D12/PRECIOS!D11-1),"")</f>
        <v>-0.01159212922</v>
      </c>
      <c r="E12" s="7">
        <f>IFERROR(IF(OR(PRECIOS!E12="",PRECIOS!E11=""),"",PRECIOS!E12/PRECIOS!E11-1),"")</f>
        <v>0.002978760145</v>
      </c>
      <c r="F12" s="7">
        <f>IFERROR(IF(OR(PRECIOS!F12="",PRECIOS!F11=""),"",PRECIOS!F12/PRECIOS!F11-1),"")</f>
        <v>-0.04347826087</v>
      </c>
      <c r="G12" s="7">
        <f>IFERROR(IF(OR(PRECIOS!G12="",PRECIOS!G11=""),"",PRECIOS!G12/PRECIOS!G11-1),"")</f>
        <v>-0.006220348394</v>
      </c>
      <c r="H12" s="7">
        <f>IFERROR(IF(OR(PRECIOS!H12="",PRECIOS!H11=""),"",PRECIOS!H12/PRECIOS!H11-1),"")</f>
        <v>-0.02595741896</v>
      </c>
      <c r="I12" s="7">
        <f>IFERROR(IF(OR(PRECIOS!I12="",PRECIOS!I11=""),"",PRECIOS!I12/PRECIOS!I11-1),"")</f>
        <v>0.004071927379</v>
      </c>
    </row>
    <row r="13">
      <c r="A13" s="4">
        <f>IF(PRECIOS!A13="","",PRECIOS!A13)</f>
        <v>44428</v>
      </c>
      <c r="B13" s="7">
        <f>IFERROR(IF(OR(PRECIOS!B13="",PRECIOS!B12=""),"",PRECIOS!B13/PRECIOS!B12-1),"")</f>
        <v>0.0001738397198</v>
      </c>
      <c r="C13" s="7">
        <f>IFERROR(IF(OR(PRECIOS!C13="",PRECIOS!C12=""),"",PRECIOS!C13/PRECIOS!C12-1),"")</f>
        <v>0.01415142116</v>
      </c>
      <c r="D13" s="7">
        <f>IFERROR(IF(OR(PRECIOS!D13="",PRECIOS!D12=""),"",PRECIOS!D13/PRECIOS!D12-1),"")</f>
        <v>0.01851895442</v>
      </c>
      <c r="E13" s="7">
        <f>IFERROR(IF(OR(PRECIOS!E13="",PRECIOS!E12=""),"",PRECIOS!E13/PRECIOS!E12-1),"")</f>
        <v>0.003080593491</v>
      </c>
      <c r="F13" s="7">
        <f>IFERROR(IF(OR(PRECIOS!F13="",PRECIOS!F12=""),"",PRECIOS!F13/PRECIOS!F12-1),"")</f>
        <v>0.002272727273</v>
      </c>
      <c r="G13" s="7">
        <f>IFERROR(IF(OR(PRECIOS!G13="",PRECIOS!G12=""),"",PRECIOS!G13/PRECIOS!G12-1),"")</f>
        <v>0.006259283317</v>
      </c>
      <c r="H13" s="7">
        <f>IFERROR(IF(OR(PRECIOS!H13="",PRECIOS!H12=""),"",PRECIOS!H13/PRECIOS!H12-1),"")</f>
        <v>0.002165632091</v>
      </c>
      <c r="I13" s="7">
        <f>IFERROR(IF(OR(PRECIOS!I13="",PRECIOS!I12=""),"",PRECIOS!I13/PRECIOS!I12-1),"")</f>
        <v>0.01244856001</v>
      </c>
    </row>
    <row r="14">
      <c r="A14" s="4">
        <f>IF(PRECIOS!A14="","",PRECIOS!A14)</f>
        <v>44431</v>
      </c>
      <c r="B14" s="7">
        <f>IFERROR(IF(OR(PRECIOS!B14="",PRECIOS!B13=""),"",PRECIOS!B14/PRECIOS!B13-1),"")</f>
        <v>0.04115289643</v>
      </c>
      <c r="C14" s="7">
        <f>IFERROR(IF(OR(PRECIOS!C14="",PRECIOS!C13=""),"",PRECIOS!C14/PRECIOS!C13-1),"")</f>
        <v>-0.009646984654</v>
      </c>
      <c r="D14" s="7">
        <f>IFERROR(IF(OR(PRECIOS!D14="",PRECIOS!D13=""),"",PRECIOS!D14/PRECIOS!D13-1),"")</f>
        <v>-0.005534980732</v>
      </c>
      <c r="E14" s="7">
        <f>IFERROR(IF(OR(PRECIOS!E14="",PRECIOS!E13=""),"",PRECIOS!E14/PRECIOS!E13-1),"")</f>
        <v>0.008318416987</v>
      </c>
      <c r="F14" s="7">
        <f>IFERROR(IF(OR(PRECIOS!F14="",PRECIOS!F13=""),"",PRECIOS!F14/PRECIOS!F13-1),"")</f>
        <v>0.03628117914</v>
      </c>
      <c r="G14" s="7">
        <f>IFERROR(IF(OR(PRECIOS!G14="",PRECIOS!G13=""),"",PRECIOS!G14/PRECIOS!G13-1),"")</f>
        <v>0.01918467393</v>
      </c>
      <c r="H14" s="7">
        <f>IFERROR(IF(OR(PRECIOS!H14="",PRECIOS!H13=""),"",PRECIOS!H14/PRECIOS!H13-1),"")</f>
        <v>0.03746853984</v>
      </c>
      <c r="I14" s="7">
        <f>IFERROR(IF(OR(PRECIOS!I14="",PRECIOS!I13=""),"",PRECIOS!I14/PRECIOS!I13-1),"")</f>
        <v>-0.01286303379</v>
      </c>
    </row>
    <row r="15">
      <c r="A15" s="4">
        <f>IF(PRECIOS!A15="","",PRECIOS!A15)</f>
        <v>44432</v>
      </c>
      <c r="B15" s="7">
        <f>IFERROR(IF(OR(PRECIOS!B15="",PRECIOS!B14=""),"",PRECIOS!B15/PRECIOS!B14-1),"")</f>
        <v>0.008191546723</v>
      </c>
      <c r="C15" s="7">
        <f>IFERROR(IF(OR(PRECIOS!C15="",PRECIOS!C14=""),"",PRECIOS!C15/PRECIOS!C14-1),"")</f>
        <v>-0.01410405899</v>
      </c>
      <c r="D15" s="7">
        <f>IFERROR(IF(OR(PRECIOS!D15="",PRECIOS!D14=""),"",PRECIOS!D15/PRECIOS!D14-1),"")</f>
        <v>0.02327405402</v>
      </c>
      <c r="E15" s="7">
        <f>IFERROR(IF(OR(PRECIOS!E15="",PRECIOS!E14=""),"",PRECIOS!E15/PRECIOS!E14-1),"")</f>
        <v>0.003173464487</v>
      </c>
      <c r="F15" s="7">
        <f>IFERROR(IF(OR(PRECIOS!F15="",PRECIOS!F14=""),"",PRECIOS!F15/PRECIOS!F14-1),"")</f>
        <v>0.0590809628</v>
      </c>
      <c r="G15" s="7">
        <f>IFERROR(IF(OR(PRECIOS!G15="",PRECIOS!G14=""),"",PRECIOS!G15/PRECIOS!G14-1),"")</f>
        <v>0.005722359277</v>
      </c>
      <c r="H15" s="7">
        <f>IFERROR(IF(OR(PRECIOS!H15="",PRECIOS!H14=""),"",PRECIOS!H15/PRECIOS!H14-1),"")</f>
        <v>0.01661355829</v>
      </c>
      <c r="I15" s="7">
        <f>IFERROR(IF(OR(PRECIOS!I15="",PRECIOS!I14=""),"",PRECIOS!I15/PRECIOS!I14-1),"")</f>
        <v>-0.006520308668</v>
      </c>
    </row>
    <row r="16">
      <c r="A16" s="4">
        <f>IF(PRECIOS!A16="","",PRECIOS!A16)</f>
        <v>44433</v>
      </c>
      <c r="B16" s="7">
        <f>IFERROR(IF(OR(PRECIOS!B16="",PRECIOS!B15=""),"",PRECIOS!B16/PRECIOS!B15-1),"")</f>
        <v>0.001813800874</v>
      </c>
      <c r="C16" s="7">
        <f>IFERROR(IF(OR(PRECIOS!C16="",PRECIOS!C15=""),"",PRECIOS!C16/PRECIOS!C15-1),"")</f>
        <v>0.002128853152</v>
      </c>
      <c r="D16" s="7">
        <f>IFERROR(IF(OR(PRECIOS!D16="",PRECIOS!D15=""),"",PRECIOS!D16/PRECIOS!D15-1),"")</f>
        <v>0.02984176371</v>
      </c>
      <c r="E16" s="7">
        <f>IFERROR(IF(OR(PRECIOS!E16="",PRECIOS!E15=""),"",PRECIOS!E16/PRECIOS!E15-1),"")</f>
        <v>0.004890583052</v>
      </c>
      <c r="F16" s="7">
        <f>IFERROR(IF(OR(PRECIOS!F16="",PRECIOS!F15=""),"",PRECIOS!F16/PRECIOS!F15-1),"")</f>
        <v>0.03305785124</v>
      </c>
      <c r="G16" s="7">
        <f>IFERROR(IF(OR(PRECIOS!G16="",PRECIOS!G15=""),"",PRECIOS!G16/PRECIOS!G15-1),"")</f>
        <v>-0.002078626697</v>
      </c>
      <c r="H16" s="7">
        <f>IFERROR(IF(OR(PRECIOS!H16="",PRECIOS!H15=""),"",PRECIOS!H16/PRECIOS!H15-1),"")</f>
        <v>0.007657589375</v>
      </c>
      <c r="I16" s="7">
        <f>IFERROR(IF(OR(PRECIOS!I16="",PRECIOS!I15=""),"",PRECIOS!I16/PRECIOS!I15-1),"")</f>
        <v>0.001889986084</v>
      </c>
    </row>
    <row r="17">
      <c r="A17" s="4">
        <f>IF(PRECIOS!A17="","",PRECIOS!A17)</f>
        <v>44434</v>
      </c>
      <c r="B17" s="7">
        <f>IFERROR(IF(OR(PRECIOS!B17="",PRECIOS!B16=""),"",PRECIOS!B17/PRECIOS!B16-1),"")</f>
        <v>-0.01354373073</v>
      </c>
      <c r="C17" s="7">
        <f>IFERROR(IF(OR(PRECIOS!C17="",PRECIOS!C16=""),"",PRECIOS!C17/PRECIOS!C16-1),"")</f>
        <v>0.004108315351</v>
      </c>
      <c r="D17" s="7">
        <f>IFERROR(IF(OR(PRECIOS!D17="",PRECIOS!D16=""),"",PRECIOS!D17/PRECIOS!D16-1),"")</f>
        <v>-0.02682140199</v>
      </c>
      <c r="E17" s="7">
        <f>IFERROR(IF(OR(PRECIOS!E17="",PRECIOS!E16=""),"",PRECIOS!E17/PRECIOS!E16-1),"")</f>
        <v>-0.005041672195</v>
      </c>
      <c r="F17" s="7">
        <f>IFERROR(IF(OR(PRECIOS!F17="",PRECIOS!F16=""),"",PRECIOS!F17/PRECIOS!F16-1),"")</f>
        <v>-0.018</v>
      </c>
      <c r="G17" s="7">
        <f>IFERROR(IF(OR(PRECIOS!G17="",PRECIOS!G16=""),"",PRECIOS!G17/PRECIOS!G16-1),"")</f>
        <v>-0.01786841188</v>
      </c>
      <c r="H17" s="7">
        <f>IFERROR(IF(OR(PRECIOS!H17="",PRECIOS!H16=""),"",PRECIOS!H17/PRECIOS!H16-1),"")</f>
        <v>-0.01520364538</v>
      </c>
      <c r="I17" s="7">
        <f>IFERROR(IF(OR(PRECIOS!I17="",PRECIOS!I16=""),"",PRECIOS!I17/PRECIOS!I16-1),"")</f>
        <v>-0.002467371598</v>
      </c>
    </row>
    <row r="18">
      <c r="A18" s="4">
        <f>IF(PRECIOS!A18="","",PRECIOS!A18)</f>
        <v>44435</v>
      </c>
      <c r="B18" s="7">
        <f>IFERROR(IF(OR(PRECIOS!B18="",PRECIOS!B17=""),"",PRECIOS!B18/PRECIOS!B17-1),"")</f>
        <v>0.01938602573</v>
      </c>
      <c r="C18" s="7">
        <f>IFERROR(IF(OR(PRECIOS!C18="",PRECIOS!C17=""),"",PRECIOS!C18/PRECIOS!C17-1),"")</f>
        <v>-0.002269705859</v>
      </c>
      <c r="D18" s="7">
        <f>IFERROR(IF(OR(PRECIOS!D18="",PRECIOS!D17=""),"",PRECIOS!D18/PRECIOS!D17-1),"")</f>
        <v>0.01018581464</v>
      </c>
      <c r="E18" s="7">
        <f>IFERROR(IF(OR(PRECIOS!E18="",PRECIOS!E17=""),"",PRECIOS!E18/PRECIOS!E17-1),"")</f>
        <v>0.003988313877</v>
      </c>
      <c r="F18" s="7">
        <f>IFERROR(IF(OR(PRECIOS!F18="",PRECIOS!F17=""),"",PRECIOS!F18/PRECIOS!F17-1),"")</f>
        <v>0.03258655804</v>
      </c>
      <c r="G18" s="7">
        <f>IFERROR(IF(OR(PRECIOS!G18="",PRECIOS!G17=""),"",PRECIOS!G18/PRECIOS!G17-1),"")</f>
        <v>0.01901128725</v>
      </c>
      <c r="H18" s="7">
        <f>IFERROR(IF(OR(PRECIOS!H18="",PRECIOS!H17=""),"",PRECIOS!H18/PRECIOS!H17-1),"")</f>
        <v>0.02666850633</v>
      </c>
      <c r="I18" s="7">
        <f>IFERROR(IF(OR(PRECIOS!I18="",PRECIOS!I17=""),"",PRECIOS!I18/PRECIOS!I17-1),"")</f>
        <v>-0.0002978880075</v>
      </c>
    </row>
    <row r="19">
      <c r="A19" s="4">
        <f>IF(PRECIOS!A19="","",PRECIOS!A19)</f>
        <v>44438</v>
      </c>
      <c r="B19" s="7">
        <f>IFERROR(IF(OR(PRECIOS!B19="",PRECIOS!B18=""),"",PRECIOS!B19/PRECIOS!B18-1),"")</f>
        <v>-0.01093129494</v>
      </c>
      <c r="C19" s="7">
        <f>IFERROR(IF(OR(PRECIOS!C19="",PRECIOS!C18=""),"",PRECIOS!C19/PRECIOS!C18-1),"")</f>
        <v>-0.003635969995</v>
      </c>
      <c r="D19" s="7">
        <f>IFERROR(IF(OR(PRECIOS!D19="",PRECIOS!D18=""),"",PRECIOS!D19/PRECIOS!D18-1),"")</f>
        <v>0.009146580828</v>
      </c>
      <c r="E19" s="7">
        <f>IFERROR(IF(OR(PRECIOS!E19="",PRECIOS!E18=""),"",PRECIOS!E19/PRECIOS!E18-1),"")</f>
        <v>0.001074619657</v>
      </c>
      <c r="F19" s="7">
        <f>IFERROR(IF(OR(PRECIOS!F19="",PRECIOS!F18=""),"",PRECIOS!F19/PRECIOS!F18-1),"")</f>
        <v>0.02564102564</v>
      </c>
      <c r="G19" s="7">
        <f>IFERROR(IF(OR(PRECIOS!G19="",PRECIOS!G18=""),"",PRECIOS!G19/PRECIOS!G18-1),"")</f>
        <v>-0.001993094721</v>
      </c>
      <c r="H19" s="7">
        <f>IFERROR(IF(OR(PRECIOS!H19="",PRECIOS!H18=""),"",PRECIOS!H19/PRECIOS!H18-1),"")</f>
        <v>-0.01176397182</v>
      </c>
      <c r="I19" s="7">
        <f>IFERROR(IF(OR(PRECIOS!I19="",PRECIOS!I18=""),"",PRECIOS!I19/PRECIOS!I18-1),"")</f>
        <v>0.001463099427</v>
      </c>
    </row>
    <row r="20">
      <c r="A20" s="4">
        <f>IF(PRECIOS!A20="","",PRECIOS!A20)</f>
        <v>44439</v>
      </c>
      <c r="B20" s="7">
        <f>IFERROR(IF(OR(PRECIOS!B20="",PRECIOS!B19=""),"",PRECIOS!B20/PRECIOS!B19-1),"")</f>
        <v>-0.01161178178</v>
      </c>
      <c r="C20" s="7">
        <f>IFERROR(IF(OR(PRECIOS!C20="",PRECIOS!C19=""),"",PRECIOS!C20/PRECIOS!C19-1),"")</f>
        <v>-0.0003115593305</v>
      </c>
      <c r="D20" s="7">
        <f>IFERROR(IF(OR(PRECIOS!D20="",PRECIOS!D19=""),"",PRECIOS!D20/PRECIOS!D19-1),"")</f>
        <v>0.01270915648</v>
      </c>
      <c r="E20" s="7">
        <f>IFERROR(IF(OR(PRECIOS!E20="",PRECIOS!E19=""),"",PRECIOS!E20/PRECIOS!E19-1),"")</f>
        <v>-0.01085527506</v>
      </c>
      <c r="F20" s="7">
        <f>IFERROR(IF(OR(PRECIOS!F20="",PRECIOS!F19=""),"",PRECIOS!F20/PRECIOS!F19-1),"")</f>
        <v>0.001923076923</v>
      </c>
      <c r="G20" s="7">
        <f>IFERROR(IF(OR(PRECIOS!G20="",PRECIOS!G19=""),"",PRECIOS!G20/PRECIOS!G19-1),"")</f>
        <v>0.005279877701</v>
      </c>
      <c r="H20" s="7">
        <f>IFERROR(IF(OR(PRECIOS!H20="",PRECIOS!H19=""),"",PRECIOS!H20/PRECIOS!H19-1),"")</f>
        <v>-0.006770375479</v>
      </c>
      <c r="I20" s="7">
        <f>IFERROR(IF(OR(PRECIOS!I20="",PRECIOS!I19=""),"",PRECIOS!I20/PRECIOS!I19-1),"")</f>
        <v>-0.001163420456</v>
      </c>
    </row>
    <row r="21" ht="15.75" customHeight="1">
      <c r="A21" s="4">
        <f>IF(PRECIOS!A21="","",PRECIOS!A21)</f>
        <v>44440</v>
      </c>
      <c r="B21" s="7">
        <f>IFERROR(IF(OR(PRECIOS!B21="",PRECIOS!B20=""),"",PRECIOS!B21/PRECIOS!B20-1),"")</f>
        <v>-0.01375615771</v>
      </c>
      <c r="C21" s="7">
        <f>IFERROR(IF(OR(PRECIOS!C21="",PRECIOS!C20=""),"",PRECIOS!C21/PRECIOS!C20-1),"")</f>
        <v>0.01141621476</v>
      </c>
      <c r="D21" s="7">
        <f>IFERROR(IF(OR(PRECIOS!D21="",PRECIOS!D20=""),"",PRECIOS!D21/PRECIOS!D20-1),"")</f>
        <v>0.003160736627</v>
      </c>
      <c r="E21" s="7">
        <f>IFERROR(IF(OR(PRECIOS!E21="",PRECIOS!E20=""),"",PRECIOS!E21/PRECIOS!E20-1),"")</f>
        <v>-0.0095965077</v>
      </c>
      <c r="F21" s="7">
        <f>IFERROR(IF(OR(PRECIOS!F21="",PRECIOS!F20=""),"",PRECIOS!F21/PRECIOS!F20-1),"")</f>
        <v>-0.03262955854</v>
      </c>
      <c r="G21" s="7">
        <f>IFERROR(IF(OR(PRECIOS!G21="",PRECIOS!G20=""),"",PRECIOS!G21/PRECIOS!G20-1),"")</f>
        <v>-0.00161300247</v>
      </c>
      <c r="H21" s="7">
        <f>IFERROR(IF(OR(PRECIOS!H21="",PRECIOS!H20=""),"",PRECIOS!H21/PRECIOS!H20-1),"")</f>
        <v>-0.01469416097</v>
      </c>
      <c r="I21" s="7">
        <f>IFERROR(IF(OR(PRECIOS!I21="",PRECIOS!I20=""),"",PRECIOS!I21/PRECIOS!I20-1),"")</f>
        <v>0.01313050172</v>
      </c>
    </row>
    <row r="22" ht="15.75" customHeight="1">
      <c r="A22" s="4">
        <f>IF(PRECIOS!A22="","",PRECIOS!A22)</f>
        <v>44441</v>
      </c>
      <c r="B22" s="7">
        <f>IFERROR(IF(OR(PRECIOS!B22="",PRECIOS!B21=""),"",PRECIOS!B22/PRECIOS!B21-1),"")</f>
        <v>0.02437475873</v>
      </c>
      <c r="C22" s="7">
        <f>IFERROR(IF(OR(PRECIOS!C22="",PRECIOS!C21=""),"",PRECIOS!C22/PRECIOS!C21-1),"")</f>
        <v>0.005560717536</v>
      </c>
      <c r="D22" s="7">
        <f>IFERROR(IF(OR(PRECIOS!D22="",PRECIOS!D21=""),"",PRECIOS!D22/PRECIOS!D21-1),"")</f>
        <v>0.006788394635</v>
      </c>
      <c r="E22" s="7">
        <f>IFERROR(IF(OR(PRECIOS!E22="",PRECIOS!E21=""),"",PRECIOS!E22/PRECIOS!E21-1),"")</f>
        <v>0.00829208835</v>
      </c>
      <c r="F22" s="7">
        <f>IFERROR(IF(OR(PRECIOS!F22="",PRECIOS!F21=""),"",PRECIOS!F22/PRECIOS!F21-1),"")</f>
        <v>0.001984126984</v>
      </c>
      <c r="G22" s="7">
        <f>IFERROR(IF(OR(PRECIOS!G22="",PRECIOS!G21=""),"",PRECIOS!G22/PRECIOS!G21-1),"")</f>
        <v>0.01866534014</v>
      </c>
      <c r="H22" s="7">
        <f>IFERROR(IF(OR(PRECIOS!H22="",PRECIOS!H21=""),"",PRECIOS!H22/PRECIOS!H21-1),"")</f>
        <v>0.02540471866</v>
      </c>
      <c r="I22" s="7">
        <f>IFERROR(IF(OR(PRECIOS!I22="",PRECIOS!I21=""),"",PRECIOS!I22/PRECIOS!I21-1),"")</f>
        <v>0.009068594252</v>
      </c>
    </row>
    <row r="23" ht="15.75" customHeight="1">
      <c r="A23" s="4">
        <f>IF(PRECIOS!A23="","",PRECIOS!A23)</f>
        <v>44442</v>
      </c>
      <c r="B23" s="7">
        <f>IFERROR(IF(OR(PRECIOS!B23="",PRECIOS!B22=""),"",PRECIOS!B23/PRECIOS!B22-1),"")</f>
        <v>-0.003833484454</v>
      </c>
      <c r="C23" s="7">
        <f>IFERROR(IF(OR(PRECIOS!C23="",PRECIOS!C22=""),"",PRECIOS!C23/PRECIOS!C22-1),"")</f>
        <v>-0.008676029424</v>
      </c>
      <c r="D23" s="7">
        <f>IFERROR(IF(OR(PRECIOS!D23="",PRECIOS!D22=""),"",PRECIOS!D23/PRECIOS!D22-1),"")</f>
        <v>-0.008812678957</v>
      </c>
      <c r="E23" s="7">
        <f>IFERROR(IF(OR(PRECIOS!E23="",PRECIOS!E22=""),"",PRECIOS!E23/PRECIOS!E22-1),"")</f>
        <v>-0.010385186</v>
      </c>
      <c r="F23" s="7">
        <f>IFERROR(IF(OR(PRECIOS!F23="",PRECIOS!F22=""),"",PRECIOS!F23/PRECIOS!F22-1),"")</f>
        <v>-0.02178217822</v>
      </c>
      <c r="G23" s="7">
        <f>IFERROR(IF(OR(PRECIOS!G23="",PRECIOS!G22=""),"",PRECIOS!G23/PRECIOS!G22-1),"")</f>
        <v>-0.005579107948</v>
      </c>
      <c r="H23" s="7">
        <f>IFERROR(IF(OR(PRECIOS!H23="",PRECIOS!H22=""),"",PRECIOS!H23/PRECIOS!H22-1),"")</f>
        <v>-0.005720729659</v>
      </c>
      <c r="I23" s="7">
        <f>IFERROR(IF(OR(PRECIOS!I23="",PRECIOS!I22=""),"",PRECIOS!I23/PRECIOS!I22-1),"")</f>
        <v>-0.008273364807</v>
      </c>
    </row>
    <row r="24" ht="15.75" customHeight="1">
      <c r="A24" s="4">
        <f>IF(PRECIOS!A24="","",PRECIOS!A24)</f>
        <v>44446</v>
      </c>
      <c r="B24" s="7">
        <f>IFERROR(IF(OR(PRECIOS!B24="",PRECIOS!B23=""),"",PRECIOS!B24/PRECIOS!B23-1),"")</f>
        <v>-0.005808840191</v>
      </c>
      <c r="C24" s="7">
        <f>IFERROR(IF(OR(PRECIOS!C24="",PRECIOS!C23=""),"",PRECIOS!C24/PRECIOS!C23-1),"")</f>
        <v>-0.001201591554</v>
      </c>
      <c r="D24" s="7">
        <f>IFERROR(IF(OR(PRECIOS!D24="",PRECIOS!D23=""),"",PRECIOS!D24/PRECIOS!D23-1),"")</f>
        <v>-0.01414233327</v>
      </c>
      <c r="E24" s="7">
        <f>IFERROR(IF(OR(PRECIOS!E24="",PRECIOS!E23=""),"",PRECIOS!E24/PRECIOS!E23-1),"")</f>
        <v>-0.01614535135</v>
      </c>
      <c r="F24" s="7">
        <f>IFERROR(IF(OR(PRECIOS!F24="",PRECIOS!F23=""),"",PRECIOS!F24/PRECIOS!F23-1),"")</f>
        <v>0.07692307692</v>
      </c>
      <c r="G24" s="7">
        <f>IFERROR(IF(OR(PRECIOS!G24="",PRECIOS!G23=""),"",PRECIOS!G24/PRECIOS!G23-1),"")</f>
        <v>-0.01402819546</v>
      </c>
      <c r="H24" s="7">
        <f>IFERROR(IF(OR(PRECIOS!H24="",PRECIOS!H23=""),"",PRECIOS!H24/PRECIOS!H23-1),"")</f>
        <v>-0.005987295252</v>
      </c>
      <c r="I24" s="7">
        <f>IFERROR(IF(OR(PRECIOS!I24="",PRECIOS!I23=""),"",PRECIOS!I24/PRECIOS!I23-1),"")</f>
        <v>-0.01324481448</v>
      </c>
    </row>
    <row r="25" ht="15.75" customHeight="1">
      <c r="A25" s="4">
        <f>IF(PRECIOS!A25="","",PRECIOS!A25)</f>
        <v>44447</v>
      </c>
      <c r="B25" s="7">
        <f>IFERROR(IF(OR(PRECIOS!B25="",PRECIOS!B24=""),"",PRECIOS!B25/PRECIOS!B24-1),"")</f>
        <v>-0.009184270657</v>
      </c>
      <c r="C25" s="7">
        <f>IFERROR(IF(OR(PRECIOS!C25="",PRECIOS!C24=""),"",PRECIOS!C25/PRECIOS!C24-1),"")</f>
        <v>0.0169218756</v>
      </c>
      <c r="D25" s="7">
        <f>IFERROR(IF(OR(PRECIOS!D25="",PRECIOS!D24=""),"",PRECIOS!D25/PRECIOS!D24-1),"")</f>
        <v>0.01912138381</v>
      </c>
      <c r="E25" s="7">
        <f>IFERROR(IF(OR(PRECIOS!E25="",PRECIOS!E24=""),"",PRECIOS!E25/PRECIOS!E24-1),"")</f>
        <v>-0.002037962539</v>
      </c>
      <c r="F25" s="7">
        <f>IFERROR(IF(OR(PRECIOS!F25="",PRECIOS!F24=""),"",PRECIOS!F25/PRECIOS!F24-1),"")</f>
        <v>-0.02255639098</v>
      </c>
      <c r="G25" s="7">
        <f>IFERROR(IF(OR(PRECIOS!G25="",PRECIOS!G24=""),"",PRECIOS!G25/PRECIOS!G24-1),"")</f>
        <v>0.005267101551</v>
      </c>
      <c r="H25" s="7">
        <f>IFERROR(IF(OR(PRECIOS!H25="",PRECIOS!H24=""),"",PRECIOS!H25/PRECIOS!H24-1),"")</f>
        <v>-0.01282534708</v>
      </c>
      <c r="I25" s="7">
        <f>IFERROR(IF(OR(PRECIOS!I25="",PRECIOS!I24=""),"",PRECIOS!I25/PRECIOS!I24-1),"")</f>
        <v>0.01793917009</v>
      </c>
    </row>
    <row r="26" ht="15.75" customHeight="1">
      <c r="A26" s="4">
        <f>IF(PRECIOS!A26="","",PRECIOS!A26)</f>
        <v>44448</v>
      </c>
      <c r="B26" s="7">
        <f>IFERROR(IF(OR(PRECIOS!B26="",PRECIOS!B25=""),"",PRECIOS!B26/PRECIOS!B25-1),"")</f>
        <v>0.0007583171208</v>
      </c>
      <c r="C26" s="7">
        <f>IFERROR(IF(OR(PRECIOS!C26="",PRECIOS!C25=""),"",PRECIOS!C26/PRECIOS!C25-1),"")</f>
        <v>-0.001925916215</v>
      </c>
      <c r="D26" s="7">
        <f>IFERROR(IF(OR(PRECIOS!D26="",PRECIOS!D25=""),"",PRECIOS!D26/PRECIOS!D25-1),"")</f>
        <v>-0.01556004146</v>
      </c>
      <c r="E26" s="7">
        <f>IFERROR(IF(OR(PRECIOS!E26="",PRECIOS!E25=""),"",PRECIOS!E26/PRECIOS!E25-1),"")</f>
        <v>-0.01119084123</v>
      </c>
      <c r="F26" s="7">
        <f>IFERROR(IF(OR(PRECIOS!F26="",PRECIOS!F25=""),"",PRECIOS!F26/PRECIOS!F25-1),"")</f>
        <v>0.01153846154</v>
      </c>
      <c r="G26" s="7">
        <f>IFERROR(IF(OR(PRECIOS!G26="",PRECIOS!G25=""),"",PRECIOS!G26/PRECIOS!G25-1),"")</f>
        <v>-0.008194672805</v>
      </c>
      <c r="H26" s="7">
        <f>IFERROR(IF(OR(PRECIOS!H26="",PRECIOS!H25=""),"",PRECIOS!H26/PRECIOS!H25-1),"")</f>
        <v>0.002103320667</v>
      </c>
      <c r="I26" s="7">
        <f>IFERROR(IF(OR(PRECIOS!I26="",PRECIOS!I25=""),"",PRECIOS!I26/PRECIOS!I25-1),"")</f>
        <v>-0.005449268884</v>
      </c>
    </row>
    <row r="27" ht="15.75" customHeight="1">
      <c r="A27" s="4">
        <f>IF(PRECIOS!A27="","",PRECIOS!A27)</f>
        <v>44449</v>
      </c>
      <c r="B27" s="7">
        <f>IFERROR(IF(OR(PRECIOS!B27="",PRECIOS!B26=""),"",PRECIOS!B27/PRECIOS!B26-1),"")</f>
        <v>-0.002045320404</v>
      </c>
      <c r="C27" s="7">
        <f>IFERROR(IF(OR(PRECIOS!C27="",PRECIOS!C26=""),"",PRECIOS!C27/PRECIOS!C26-1),"")</f>
        <v>-0.01443940579</v>
      </c>
      <c r="D27" s="7">
        <f>IFERROR(IF(OR(PRECIOS!D27="",PRECIOS!D26=""),"",PRECIOS!D27/PRECIOS!D26-1),"")</f>
        <v>-0.02442390184</v>
      </c>
      <c r="E27" s="7">
        <f>IFERROR(IF(OR(PRECIOS!E27="",PRECIOS!E26=""),"",PRECIOS!E27/PRECIOS!E26-1),"")</f>
        <v>-0.007123475697</v>
      </c>
      <c r="F27" s="7">
        <f>IFERROR(IF(OR(PRECIOS!F27="",PRECIOS!F26=""),"",PRECIOS!F27/PRECIOS!F26-1),"")</f>
        <v>-0.02091254753</v>
      </c>
      <c r="G27" s="7">
        <f>IFERROR(IF(OR(PRECIOS!G27="",PRECIOS!G26=""),"",PRECIOS!G27/PRECIOS!G26-1),"")</f>
        <v>0.005791181489</v>
      </c>
      <c r="H27" s="7">
        <f>IFERROR(IF(OR(PRECIOS!H27="",PRECIOS!H26=""),"",PRECIOS!H27/PRECIOS!H26-1),"")</f>
        <v>-0.0004306717489</v>
      </c>
      <c r="I27" s="7">
        <f>IFERROR(IF(OR(PRECIOS!I27="",PRECIOS!I26=""),"",PRECIOS!I27/PRECIOS!I26-1),"")</f>
        <v>-0.01396549274</v>
      </c>
    </row>
    <row r="28" ht="15.75" customHeight="1">
      <c r="A28" s="4">
        <f>IF(PRECIOS!A28="","",PRECIOS!A28)</f>
        <v>44452</v>
      </c>
      <c r="B28" s="7">
        <f>IFERROR(IF(OR(PRECIOS!B28="",PRECIOS!B27=""),"",PRECIOS!B28/PRECIOS!B27-1),"")</f>
        <v>0.02575748999</v>
      </c>
      <c r="C28" s="7">
        <f>IFERROR(IF(OR(PRECIOS!C28="",PRECIOS!C27=""),"",PRECIOS!C28/PRECIOS!C27-1),"")</f>
        <v>0.001805586847</v>
      </c>
      <c r="D28" s="7">
        <f>IFERROR(IF(OR(PRECIOS!D28="",PRECIOS!D27=""),"",PRECIOS!D28/PRECIOS!D27-1),"")</f>
        <v>0.008714374173</v>
      </c>
      <c r="E28" s="7">
        <f>IFERROR(IF(OR(PRECIOS!E28="",PRECIOS!E27=""),"",PRECIOS!E28/PRECIOS!E27-1),"")</f>
        <v>-0.01322913867</v>
      </c>
      <c r="F28" s="7">
        <f>IFERROR(IF(OR(PRECIOS!F28="",PRECIOS!F27=""),"",PRECIOS!F28/PRECIOS!F27-1),"")</f>
        <v>0.05242718447</v>
      </c>
      <c r="G28" s="7">
        <f>IFERROR(IF(OR(PRECIOS!G28="",PRECIOS!G27=""),"",PRECIOS!G28/PRECIOS!G27-1),"")</f>
        <v>0.02181385045</v>
      </c>
      <c r="H28" s="7">
        <f>IFERROR(IF(OR(PRECIOS!H28="",PRECIOS!H27=""),"",PRECIOS!H28/PRECIOS!H27-1),"")</f>
        <v>0.02869410617</v>
      </c>
      <c r="I28" s="7">
        <f>IFERROR(IF(OR(PRECIOS!I28="",PRECIOS!I27=""),"",PRECIOS!I28/PRECIOS!I27-1),"")</f>
        <v>-0.001776276322</v>
      </c>
    </row>
    <row r="29" ht="15.75" customHeight="1">
      <c r="A29" s="4">
        <f>IF(PRECIOS!A29="","",PRECIOS!A29)</f>
        <v>44453</v>
      </c>
      <c r="B29" s="7">
        <f>IFERROR(IF(OR(PRECIOS!B29="",PRECIOS!B28=""),"",PRECIOS!B29/PRECIOS!B28-1),"")</f>
        <v>-0.01426796292</v>
      </c>
      <c r="C29" s="7">
        <f>IFERROR(IF(OR(PRECIOS!C29="",PRECIOS!C28=""),"",PRECIOS!C29/PRECIOS!C28-1),"")</f>
        <v>-0.005432338091</v>
      </c>
      <c r="D29" s="7">
        <f>IFERROR(IF(OR(PRECIOS!D29="",PRECIOS!D28=""),"",PRECIOS!D29/PRECIOS!D28-1),"")</f>
        <v>-0.0322417143</v>
      </c>
      <c r="E29" s="7">
        <f>IFERROR(IF(OR(PRECIOS!E29="",PRECIOS!E28=""),"",PRECIOS!E29/PRECIOS!E28-1),"")</f>
        <v>-0.01244008587</v>
      </c>
      <c r="F29" s="7">
        <f>IFERROR(IF(OR(PRECIOS!F29="",PRECIOS!F28=""),"",PRECIOS!F29/PRECIOS!F28-1),"")</f>
        <v>-0.01291512915</v>
      </c>
      <c r="G29" s="7">
        <f>IFERROR(IF(OR(PRECIOS!G29="",PRECIOS!G28=""),"",PRECIOS!G29/PRECIOS!G28-1),"")</f>
        <v>-0.002400216794</v>
      </c>
      <c r="H29" s="7">
        <f>IFERROR(IF(OR(PRECIOS!H29="",PRECIOS!H28=""),"",PRECIOS!H29/PRECIOS!H28-1),"")</f>
        <v>-0.01446198433</v>
      </c>
      <c r="I29" s="7">
        <f>IFERROR(IF(OR(PRECIOS!I29="",PRECIOS!I28=""),"",PRECIOS!I29/PRECIOS!I28-1),"")</f>
        <v>-0.003347356193</v>
      </c>
    </row>
    <row r="30" ht="15.75" customHeight="1">
      <c r="A30" s="4">
        <f>IF(PRECIOS!A30="","",PRECIOS!A30)</f>
        <v>44454</v>
      </c>
      <c r="B30" s="7">
        <f>IFERROR(IF(OR(PRECIOS!B30="",PRECIOS!B29=""),"",PRECIOS!B30/PRECIOS!B29-1),"")</f>
        <v>0.03371717035</v>
      </c>
      <c r="C30" s="7">
        <f>IFERROR(IF(OR(PRECIOS!C30="",PRECIOS!C29=""),"",PRECIOS!C30/PRECIOS!C29-1),"")</f>
        <v>0.0006178599751</v>
      </c>
      <c r="D30" s="7">
        <f>IFERROR(IF(OR(PRECIOS!D30="",PRECIOS!D29=""),"",PRECIOS!D30/PRECIOS!D29-1),"")</f>
        <v>0.03303072626</v>
      </c>
      <c r="E30" s="7">
        <f>IFERROR(IF(OR(PRECIOS!E30="",PRECIOS!E29=""),"",PRECIOS!E30/PRECIOS!E29-1),"")</f>
        <v>0.02720328909</v>
      </c>
      <c r="F30" s="7">
        <f>IFERROR(IF(OR(PRECIOS!F30="",PRECIOS!F29=""),"",PRECIOS!F30/PRECIOS!F29-1),"")</f>
        <v>0</v>
      </c>
      <c r="G30" s="7">
        <f>IFERROR(IF(OR(PRECIOS!G30="",PRECIOS!G29=""),"",PRECIOS!G30/PRECIOS!G29-1),"")</f>
        <v>0.04242392884</v>
      </c>
      <c r="H30" s="7">
        <f>IFERROR(IF(OR(PRECIOS!H30="",PRECIOS!H29=""),"",PRECIOS!H30/PRECIOS!H29-1),"")</f>
        <v>0.03738892987</v>
      </c>
      <c r="I30" s="7">
        <f>IFERROR(IF(OR(PRECIOS!I30="",PRECIOS!I29=""),"",PRECIOS!I30/PRECIOS!I29-1),"")</f>
        <v>-0.001310426141</v>
      </c>
    </row>
    <row r="31" ht="15.75" customHeight="1">
      <c r="A31" s="4">
        <f>IF(PRECIOS!A31="","",PRECIOS!A31)</f>
        <v>44455</v>
      </c>
      <c r="B31" s="7">
        <f>IFERROR(IF(OR(PRECIOS!B31="",PRECIOS!B30=""),"",PRECIOS!B31/PRECIOS!B30-1),"")</f>
        <v>-0.0106427679</v>
      </c>
      <c r="C31" s="7">
        <f>IFERROR(IF(OR(PRECIOS!C31="",PRECIOS!C30=""),"",PRECIOS!C31/PRECIOS!C30-1),"")</f>
        <v>-0.009543861659</v>
      </c>
      <c r="D31" s="7">
        <f>IFERROR(IF(OR(PRECIOS!D31="",PRECIOS!D30=""),"",PRECIOS!D31/PRECIOS!D30-1),"")</f>
        <v>-0.02928186755</v>
      </c>
      <c r="E31" s="7">
        <f>IFERROR(IF(OR(PRECIOS!E31="",PRECIOS!E30=""),"",PRECIOS!E31/PRECIOS!E30-1),"")</f>
        <v>-0.007800361886</v>
      </c>
      <c r="F31" s="7">
        <f>IFERROR(IF(OR(PRECIOS!F31="",PRECIOS!F30=""),"",PRECIOS!F31/PRECIOS!F30-1),"")</f>
        <v>0</v>
      </c>
      <c r="G31" s="7">
        <f>IFERROR(IF(OR(PRECIOS!G31="",PRECIOS!G30=""),"",PRECIOS!G31/PRECIOS!G30-1),"")</f>
        <v>-0.01510589014</v>
      </c>
      <c r="H31" s="7">
        <f>IFERROR(IF(OR(PRECIOS!H31="",PRECIOS!H30=""),"",PRECIOS!H31/PRECIOS!H30-1),"")</f>
        <v>-0.01135298799</v>
      </c>
      <c r="I31" s="7">
        <f>IFERROR(IF(OR(PRECIOS!I31="",PRECIOS!I30=""),"",PRECIOS!I31/PRECIOS!I30-1),"")</f>
        <v>-0.008402454286</v>
      </c>
    </row>
    <row r="32" ht="15.75" customHeight="1">
      <c r="A32" s="4">
        <f>IF(PRECIOS!A32="","",PRECIOS!A32)</f>
        <v>44456</v>
      </c>
      <c r="B32" s="7">
        <f>IFERROR(IF(OR(PRECIOS!B32="",PRECIOS!B31=""),"",PRECIOS!B32/PRECIOS!B31-1),"")</f>
        <v>-0.01181995613</v>
      </c>
      <c r="C32" s="7">
        <f>IFERROR(IF(OR(PRECIOS!C32="",PRECIOS!C31=""),"",PRECIOS!C32/PRECIOS!C31-1),"")</f>
        <v>-0.01897278928</v>
      </c>
      <c r="D32" s="7">
        <f>IFERROR(IF(OR(PRECIOS!D32="",PRECIOS!D31=""),"",PRECIOS!D32/PRECIOS!D31-1),"")</f>
        <v>-0.006122401606</v>
      </c>
      <c r="E32" s="7">
        <f>IFERROR(IF(OR(PRECIOS!E32="",PRECIOS!E31=""),"",PRECIOS!E32/PRECIOS!E31-1),"")</f>
        <v>-0.0110901323</v>
      </c>
      <c r="F32" s="7">
        <f>IFERROR(IF(OR(PRECIOS!F32="",PRECIOS!F31=""),"",PRECIOS!F32/PRECIOS!F31-1),"")</f>
        <v>-0.03177570093</v>
      </c>
      <c r="G32" s="7">
        <f>IFERROR(IF(OR(PRECIOS!G32="",PRECIOS!G31=""),"",PRECIOS!G32/PRECIOS!G31-1),"")</f>
        <v>-0.005136324693</v>
      </c>
      <c r="H32" s="7">
        <f>IFERROR(IF(OR(PRECIOS!H32="",PRECIOS!H31=""),"",PRECIOS!H32/PRECIOS!H31-1),"")</f>
        <v>-0.007453942731</v>
      </c>
      <c r="I32" s="7">
        <f>IFERROR(IF(OR(PRECIOS!I32="",PRECIOS!I31=""),"",PRECIOS!I32/PRECIOS!I31-1),"")</f>
        <v>-0.0154165391</v>
      </c>
    </row>
    <row r="33" ht="15.75" customHeight="1">
      <c r="A33" s="4">
        <f>IF(PRECIOS!A33="","",PRECIOS!A33)</f>
        <v>44459</v>
      </c>
      <c r="B33" s="7">
        <f>IFERROR(IF(OR(PRECIOS!B33="",PRECIOS!B32=""),"",PRECIOS!B33/PRECIOS!B32-1),"")</f>
        <v>-0.02665800733</v>
      </c>
      <c r="C33" s="7">
        <f>IFERROR(IF(OR(PRECIOS!C33="",PRECIOS!C32=""),"",PRECIOS!C33/PRECIOS!C32-1),"")</f>
        <v>-0.002817099796</v>
      </c>
      <c r="D33" s="7">
        <f>IFERROR(IF(OR(PRECIOS!D33="",PRECIOS!D32=""),"",PRECIOS!D33/PRECIOS!D32-1),"")</f>
        <v>-0.02476308368</v>
      </c>
      <c r="E33" s="7">
        <f>IFERROR(IF(OR(PRECIOS!E33="",PRECIOS!E32=""),"",PRECIOS!E33/PRECIOS!E32-1),"")</f>
        <v>-0.006542336214</v>
      </c>
      <c r="F33" s="7">
        <f>IFERROR(IF(OR(PRECIOS!F33="",PRECIOS!F32=""),"",PRECIOS!F33/PRECIOS!F32-1),"")</f>
        <v>-0.06177606178</v>
      </c>
      <c r="G33" s="7">
        <f>IFERROR(IF(OR(PRECIOS!G33="",PRECIOS!G32=""),"",PRECIOS!G33/PRECIOS!G32-1),"")</f>
        <v>-0.0122464487</v>
      </c>
      <c r="H33" s="7">
        <f>IFERROR(IF(OR(PRECIOS!H33="",PRECIOS!H32=""),"",PRECIOS!H33/PRECIOS!H32-1),"")</f>
        <v>-0.03057713625</v>
      </c>
      <c r="I33" s="7">
        <f>IFERROR(IF(OR(PRECIOS!I33="",PRECIOS!I32=""),"",PRECIOS!I33/PRECIOS!I32-1),"")</f>
        <v>-0.001813859963</v>
      </c>
    </row>
    <row r="34" ht="15.75" customHeight="1">
      <c r="A34" s="4">
        <f>IF(PRECIOS!A34="","",PRECIOS!A34)</f>
        <v>44460</v>
      </c>
      <c r="B34" s="7">
        <f>IFERROR(IF(OR(PRECIOS!B34="",PRECIOS!B33=""),"",PRECIOS!B34/PRECIOS!B33-1),"")</f>
        <v>-0.0009145073043</v>
      </c>
      <c r="C34" s="7">
        <f>IFERROR(IF(OR(PRECIOS!C34="",PRECIOS!C33=""),"",PRECIOS!C34/PRECIOS!C33-1),"")</f>
        <v>-0.002332315546</v>
      </c>
      <c r="D34" s="7">
        <f>IFERROR(IF(OR(PRECIOS!D34="",PRECIOS!D33=""),"",PRECIOS!D34/PRECIOS!D33-1),"")</f>
        <v>0.002281136617</v>
      </c>
      <c r="E34" s="7">
        <f>IFERROR(IF(OR(PRECIOS!E34="",PRECIOS!E33=""),"",PRECIOS!E34/PRECIOS!E33-1),"")</f>
        <v>-0.01220008133</v>
      </c>
      <c r="F34" s="7">
        <f>IFERROR(IF(OR(PRECIOS!F34="",PRECIOS!F33=""),"",PRECIOS!F34/PRECIOS!F33-1),"")</f>
        <v>-0.0329218107</v>
      </c>
      <c r="G34" s="7">
        <f>IFERROR(IF(OR(PRECIOS!G34="",PRECIOS!G33=""),"",PRECIOS!G34/PRECIOS!G33-1),"")</f>
        <v>-0.01042378966</v>
      </c>
      <c r="H34" s="7">
        <f>IFERROR(IF(OR(PRECIOS!H34="",PRECIOS!H33=""),"",PRECIOS!H34/PRECIOS!H33-1),"")</f>
        <v>0.002311663754</v>
      </c>
      <c r="I34" s="7">
        <f>IFERROR(IF(OR(PRECIOS!I34="",PRECIOS!I33=""),"",PRECIOS!I34/PRECIOS!I33-1),"")</f>
        <v>-0.002730925919</v>
      </c>
    </row>
    <row r="35" ht="15.75" customHeight="1">
      <c r="A35" s="4">
        <f>IF(PRECIOS!A35="","",PRECIOS!A35)</f>
        <v>44461</v>
      </c>
      <c r="B35" s="7">
        <f>IFERROR(IF(OR(PRECIOS!B35="",PRECIOS!B34=""),"",PRECIOS!B35/PRECIOS!B34-1),"")</f>
        <v>0.02926548523</v>
      </c>
      <c r="C35" s="7">
        <f>IFERROR(IF(OR(PRECIOS!C35="",PRECIOS!C34=""),"",PRECIOS!C35/PRECIOS!C34-1),"")</f>
        <v>-0.003136230958</v>
      </c>
      <c r="D35" s="7">
        <f>IFERROR(IF(OR(PRECIOS!D35="",PRECIOS!D34=""),"",PRECIOS!D35/PRECIOS!D34-1),"")</f>
        <v>0.002335680962</v>
      </c>
      <c r="E35" s="7">
        <f>IFERROR(IF(OR(PRECIOS!E35="",PRECIOS!E34=""),"",PRECIOS!E35/PRECIOS!E34-1),"")</f>
        <v>0.01189922841</v>
      </c>
      <c r="F35" s="7">
        <f>IFERROR(IF(OR(PRECIOS!F35="",PRECIOS!F34=""),"",PRECIOS!F35/PRECIOS!F34-1),"")</f>
        <v>-0.008510638298</v>
      </c>
      <c r="G35" s="7">
        <f>IFERROR(IF(OR(PRECIOS!G35="",PRECIOS!G34=""),"",PRECIOS!G35/PRECIOS!G34-1),"")</f>
        <v>0.01298235764</v>
      </c>
      <c r="H35" s="7">
        <f>IFERROR(IF(OR(PRECIOS!H35="",PRECIOS!H34=""),"",PRECIOS!H35/PRECIOS!H34-1),"")</f>
        <v>0.03084657705</v>
      </c>
      <c r="I35" s="7">
        <f>IFERROR(IF(OR(PRECIOS!I35="",PRECIOS!I34=""),"",PRECIOS!I35/PRECIOS!I34-1),"")</f>
        <v>-0.0006212602907</v>
      </c>
    </row>
    <row r="36" ht="15.75" customHeight="1">
      <c r="A36" s="4">
        <f>IF(PRECIOS!A36="","",PRECIOS!A36)</f>
        <v>44462</v>
      </c>
      <c r="B36" s="7">
        <f>IFERROR(IF(OR(PRECIOS!B36="",PRECIOS!B35=""),"",PRECIOS!B36/PRECIOS!B35-1),"")</f>
        <v>0.03385133884</v>
      </c>
      <c r="C36" s="7">
        <f>IFERROR(IF(OR(PRECIOS!C36="",PRECIOS!C35=""),"",PRECIOS!C36/PRECIOS!C35-1),"")</f>
        <v>-0.003304641361</v>
      </c>
      <c r="D36" s="7">
        <f>IFERROR(IF(OR(PRECIOS!D36="",PRECIOS!D35=""),"",PRECIOS!D36/PRECIOS!D35-1),"")</f>
        <v>0.01031026139</v>
      </c>
      <c r="E36" s="7">
        <f>IFERROR(IF(OR(PRECIOS!E36="",PRECIOS!E35=""),"",PRECIOS!E36/PRECIOS!E35-1),"")</f>
        <v>0.01006627731</v>
      </c>
      <c r="F36" s="7">
        <f>IFERROR(IF(OR(PRECIOS!F36="",PRECIOS!F35=""),"",PRECIOS!F36/PRECIOS!F35-1),"")</f>
        <v>-0.00643776824</v>
      </c>
      <c r="G36" s="7">
        <f>IFERROR(IF(OR(PRECIOS!G36="",PRECIOS!G35=""),"",PRECIOS!G36/PRECIOS!G35-1),"")</f>
        <v>0.0175484223</v>
      </c>
      <c r="H36" s="7">
        <f>IFERROR(IF(OR(PRECIOS!H36="",PRECIOS!H35=""),"",PRECIOS!H36/PRECIOS!H35-1),"")</f>
        <v>0.03503056551</v>
      </c>
      <c r="I36" s="7">
        <f>IFERROR(IF(OR(PRECIOS!I36="",PRECIOS!I35=""),"",PRECIOS!I36/PRECIOS!I35-1),"")</f>
        <v>-0.005320460505</v>
      </c>
    </row>
    <row r="37" ht="15.75" customHeight="1">
      <c r="A37" s="4">
        <f>IF(PRECIOS!A37="","",PRECIOS!A37)</f>
        <v>44463</v>
      </c>
      <c r="B37" s="7">
        <f>IFERROR(IF(OR(PRECIOS!B37="",PRECIOS!B36=""),"",PRECIOS!B37/PRECIOS!B36-1),"")</f>
        <v>0.008939795287</v>
      </c>
      <c r="C37" s="7">
        <f>IFERROR(IF(OR(PRECIOS!C37="",PRECIOS!C36=""),"",PRECIOS!C37/PRECIOS!C36-1),"")</f>
        <v>-0.003782863941</v>
      </c>
      <c r="D37" s="7">
        <f>IFERROR(IF(OR(PRECIOS!D37="",PRECIOS!D36=""),"",PRECIOS!D37/PRECIOS!D36-1),"")</f>
        <v>-0.002825558623</v>
      </c>
      <c r="E37" s="7">
        <f>IFERROR(IF(OR(PRECIOS!E37="",PRECIOS!E36=""),"",PRECIOS!E37/PRECIOS!E36-1),"")</f>
        <v>-0.01259062914</v>
      </c>
      <c r="F37" s="7">
        <f>IFERROR(IF(OR(PRECIOS!F37="",PRECIOS!F36=""),"",PRECIOS!F37/PRECIOS!F36-1),"")</f>
        <v>-0.02159827214</v>
      </c>
      <c r="G37" s="7">
        <f>IFERROR(IF(OR(PRECIOS!G37="",PRECIOS!G36=""),"",PRECIOS!G37/PRECIOS!G36-1),"")</f>
        <v>-0.002748599513</v>
      </c>
      <c r="H37" s="7">
        <f>IFERROR(IF(OR(PRECIOS!H37="",PRECIOS!H36=""),"",PRECIOS!H37/PRECIOS!H36-1),"")</f>
        <v>0.007540130714</v>
      </c>
      <c r="I37" s="7">
        <f>IFERROR(IF(OR(PRECIOS!I37="",PRECIOS!I36=""),"",PRECIOS!I37/PRECIOS!I36-1),"")</f>
        <v>-0.001089336029</v>
      </c>
    </row>
    <row r="38" ht="15.75" customHeight="1">
      <c r="A38" s="4">
        <f>IF(PRECIOS!A38="","",PRECIOS!A38)</f>
        <v>44466</v>
      </c>
      <c r="B38" s="7">
        <f>IFERROR(IF(OR(PRECIOS!B38="",PRECIOS!B37=""),"",PRECIOS!B38/PRECIOS!B37-1),"")</f>
        <v>0.02969567015</v>
      </c>
      <c r="C38" s="7">
        <f>IFERROR(IF(OR(PRECIOS!C38="",PRECIOS!C37=""),"",PRECIOS!C38/PRECIOS!C37-1),"")</f>
        <v>-0.01139833807</v>
      </c>
      <c r="D38" s="7">
        <f>IFERROR(IF(OR(PRECIOS!D38="",PRECIOS!D37=""),"",PRECIOS!D38/PRECIOS!D37-1),"")</f>
        <v>-0.02566180603</v>
      </c>
      <c r="E38" s="7">
        <f>IFERROR(IF(OR(PRECIOS!E38="",PRECIOS!E37=""),"",PRECIOS!E38/PRECIOS!E37-1),"")</f>
        <v>-0.005566302159</v>
      </c>
      <c r="F38" s="7">
        <f>IFERROR(IF(OR(PRECIOS!F38="",PRECIOS!F37=""),"",PRECIOS!F38/PRECIOS!F37-1),"")</f>
        <v>0.004415011038</v>
      </c>
      <c r="G38" s="7">
        <f>IFERROR(IF(OR(PRECIOS!G38="",PRECIOS!G37=""),"",PRECIOS!G38/PRECIOS!G37-1),"")</f>
        <v>0.02522992635</v>
      </c>
      <c r="H38" s="7">
        <f>IFERROR(IF(OR(PRECIOS!H38="",PRECIOS!H37=""),"",PRECIOS!H38/PRECIOS!H37-1),"")</f>
        <v>0.03553495381</v>
      </c>
      <c r="I38" s="7">
        <f>IFERROR(IF(OR(PRECIOS!I38="",PRECIOS!I37=""),"",PRECIOS!I38/PRECIOS!I37-1),"")</f>
        <v>-0.01182100028</v>
      </c>
    </row>
    <row r="39" ht="15.75" customHeight="1">
      <c r="A39" s="4">
        <f>IF(PRECIOS!A39="","",PRECIOS!A39)</f>
        <v>44467</v>
      </c>
      <c r="B39" s="7">
        <f>IFERROR(IF(OR(PRECIOS!B39="",PRECIOS!B38=""),"",PRECIOS!B39/PRECIOS!B38-1),"")</f>
        <v>0.01045470133</v>
      </c>
      <c r="C39" s="7">
        <f>IFERROR(IF(OR(PRECIOS!C39="",PRECIOS!C38=""),"",PRECIOS!C39/PRECIOS!C38-1),"")</f>
        <v>-0.007994952681</v>
      </c>
      <c r="D39" s="7">
        <f>IFERROR(IF(OR(PRECIOS!D39="",PRECIOS!D38=""),"",PRECIOS!D39/PRECIOS!D38-1),"")</f>
        <v>-0.019810937</v>
      </c>
      <c r="E39" s="7">
        <f>IFERROR(IF(OR(PRECIOS!E39="",PRECIOS!E38=""),"",PRECIOS!E39/PRECIOS!E38-1),"")</f>
        <v>-0.007416964404</v>
      </c>
      <c r="F39" s="7">
        <f>IFERROR(IF(OR(PRECIOS!F39="",PRECIOS!F38=""),"",PRECIOS!F39/PRECIOS!F38-1),"")</f>
        <v>0.006593406593</v>
      </c>
      <c r="G39" s="7">
        <f>IFERROR(IF(OR(PRECIOS!G39="",PRECIOS!G38=""),"",PRECIOS!G39/PRECIOS!G38-1),"")</f>
        <v>0.001495803554</v>
      </c>
      <c r="H39" s="7">
        <f>IFERROR(IF(OR(PRECIOS!H39="",PRECIOS!H38=""),"",PRECIOS!H39/PRECIOS!H38-1),"")</f>
        <v>0.003416027825</v>
      </c>
      <c r="I39" s="7">
        <f>IFERROR(IF(OR(PRECIOS!I39="",PRECIOS!I38=""),"",PRECIOS!I39/PRECIOS!I38-1),"")</f>
        <v>-0.01258493416</v>
      </c>
    </row>
    <row r="40" ht="15.75" customHeight="1">
      <c r="A40" s="4">
        <f>IF(PRECIOS!A40="","",PRECIOS!A40)</f>
        <v>44468</v>
      </c>
      <c r="B40" s="7">
        <f>IFERROR(IF(OR(PRECIOS!B40="",PRECIOS!B39=""),"",PRECIOS!B40/PRECIOS!B39-1),"")</f>
        <v>-0.0006664404169</v>
      </c>
      <c r="C40" s="7">
        <f>IFERROR(IF(OR(PRECIOS!C40="",PRECIOS!C39=""),"",PRECIOS!C40/PRECIOS!C39-1),"")</f>
        <v>0.01129026514</v>
      </c>
      <c r="D40" s="7">
        <f>IFERROR(IF(OR(PRECIOS!D40="",PRECIOS!D39=""),"",PRECIOS!D40/PRECIOS!D39-1),"")</f>
        <v>0.0107095959</v>
      </c>
      <c r="E40" s="7">
        <f>IFERROR(IF(OR(PRECIOS!E40="",PRECIOS!E39=""),"",PRECIOS!E40/PRECIOS!E39-1),"")</f>
        <v>-0.003412901033</v>
      </c>
      <c r="F40" s="7">
        <f>IFERROR(IF(OR(PRECIOS!F40="",PRECIOS!F39=""),"",PRECIOS!F40/PRECIOS!F39-1),"")</f>
        <v>-0.01091703057</v>
      </c>
      <c r="G40" s="7">
        <f>IFERROR(IF(OR(PRECIOS!G40="",PRECIOS!G39=""),"",PRECIOS!G40/PRECIOS!G39-1),"")</f>
        <v>0.007295984549</v>
      </c>
      <c r="H40" s="7">
        <f>IFERROR(IF(OR(PRECIOS!H40="",PRECIOS!H39=""),"",PRECIOS!H40/PRECIOS!H39-1),"")</f>
        <v>0</v>
      </c>
      <c r="I40" s="7">
        <f>IFERROR(IF(OR(PRECIOS!I40="",PRECIOS!I39=""),"",PRECIOS!I40/PRECIOS!I39-1),"")</f>
        <v>0.01306414578</v>
      </c>
    </row>
    <row r="41" ht="15.75" customHeight="1">
      <c r="A41" s="4">
        <f>IF(PRECIOS!A41="","",PRECIOS!A41)</f>
        <v>44469</v>
      </c>
      <c r="B41" s="7">
        <f>IFERROR(IF(OR(PRECIOS!B41="",PRECIOS!B40=""),"",PRECIOS!B41/PRECIOS!B40-1),"")</f>
        <v>-0.01769444356</v>
      </c>
      <c r="C41" s="7">
        <f>IFERROR(IF(OR(PRECIOS!C41="",PRECIOS!C40=""),"",PRECIOS!C41/PRECIOS!C40-1),"")</f>
        <v>-0.01070805662</v>
      </c>
      <c r="D41" s="7">
        <f>IFERROR(IF(OR(PRECIOS!D41="",PRECIOS!D40=""),"",PRECIOS!D41/PRECIOS!D40-1),"")</f>
        <v>0.008861760218</v>
      </c>
      <c r="E41" s="7">
        <f>IFERROR(IF(OR(PRECIOS!E41="",PRECIOS!E40=""),"",PRECIOS!E41/PRECIOS!E40-1),"")</f>
        <v>-0.02710909857</v>
      </c>
      <c r="F41" s="7">
        <f>IFERROR(IF(OR(PRECIOS!F41="",PRECIOS!F40=""),"",PRECIOS!F41/PRECIOS!F40-1),"")</f>
        <v>0.02869757174</v>
      </c>
      <c r="G41" s="7">
        <f>IFERROR(IF(OR(PRECIOS!G41="",PRECIOS!G40=""),"",PRECIOS!G41/PRECIOS!G40-1),"")</f>
        <v>-0.01256073187</v>
      </c>
      <c r="H41" s="7">
        <f>IFERROR(IF(OR(PRECIOS!H41="",PRECIOS!H40=""),"",PRECIOS!H41/PRECIOS!H40-1),"")</f>
        <v>-0.01512525533</v>
      </c>
      <c r="I41" s="7">
        <f>IFERROR(IF(OR(PRECIOS!I41="",PRECIOS!I40=""),"",PRECIOS!I41/PRECIOS!I40-1),"")</f>
        <v>-0.007924103986</v>
      </c>
    </row>
    <row r="42" ht="15.75" customHeight="1">
      <c r="A42" s="4">
        <f>IF(PRECIOS!A42="","",PRECIOS!A42)</f>
        <v>44470</v>
      </c>
      <c r="B42" s="7">
        <f>IFERROR(IF(OR(PRECIOS!B42="",PRECIOS!B41=""),"",PRECIOS!B42/PRECIOS!B41-1),"")</f>
        <v>0.0358687202</v>
      </c>
      <c r="C42" s="7">
        <f>IFERROR(IF(OR(PRECIOS!C42="",PRECIOS!C41=""),"",PRECIOS!C42/PRECIOS!C41-1),"")</f>
        <v>-0.003526051246</v>
      </c>
      <c r="D42" s="7">
        <f>IFERROR(IF(OR(PRECIOS!D42="",PRECIOS!D41=""),"",PRECIOS!D42/PRECIOS!D41-1),"")</f>
        <v>-0.01466416392</v>
      </c>
      <c r="E42" s="7">
        <f>IFERROR(IF(OR(PRECIOS!E42="",PRECIOS!E41=""),"",PRECIOS!E42/PRECIOS!E41-1),"")</f>
        <v>0.008999408748</v>
      </c>
      <c r="F42" s="7">
        <f>IFERROR(IF(OR(PRECIOS!F42="",PRECIOS!F41=""),"",PRECIOS!F42/PRECIOS!F41-1),"")</f>
        <v>0.002145922747</v>
      </c>
      <c r="G42" s="7">
        <f>IFERROR(IF(OR(PRECIOS!G42="",PRECIOS!G41=""),"",PRECIOS!G42/PRECIOS!G41-1),"")</f>
        <v>0.01771902975</v>
      </c>
      <c r="H42" s="7">
        <f>IFERROR(IF(OR(PRECIOS!H42="",PRECIOS!H41=""),"",PRECIOS!H42/PRECIOS!H41-1),"")</f>
        <v>0.03359714846</v>
      </c>
      <c r="I42" s="7">
        <f>IFERROR(IF(OR(PRECIOS!I42="",PRECIOS!I41=""),"",PRECIOS!I42/PRECIOS!I41-1),"")</f>
        <v>0</v>
      </c>
    </row>
    <row r="43" ht="15.75" customHeight="1">
      <c r="A43" s="4">
        <f>IF(PRECIOS!A43="","",PRECIOS!A43)</f>
        <v>44473</v>
      </c>
      <c r="B43" s="7">
        <f>IFERROR(IF(OR(PRECIOS!B43="",PRECIOS!B42=""),"",PRECIOS!B43/PRECIOS!B42-1),"")</f>
        <v>0.01296599237</v>
      </c>
      <c r="C43" s="7">
        <f>IFERROR(IF(OR(PRECIOS!C43="",PRECIOS!C42=""),"",PRECIOS!C43/PRECIOS!C42-1),"")</f>
        <v>0.01099325468</v>
      </c>
      <c r="D43" s="7">
        <f>IFERROR(IF(OR(PRECIOS!D43="",PRECIOS!D42=""),"",PRECIOS!D43/PRECIOS!D42-1),"")</f>
        <v>0.01012299251</v>
      </c>
      <c r="E43" s="7">
        <f>IFERROR(IF(OR(PRECIOS!E43="",PRECIOS!E42=""),"",PRECIOS!E43/PRECIOS!E42-1),"")</f>
        <v>-0.01522182021</v>
      </c>
      <c r="F43" s="7">
        <f>IFERROR(IF(OR(PRECIOS!F43="",PRECIOS!F42=""),"",PRECIOS!F43/PRECIOS!F42-1),"")</f>
        <v>0.01070663812</v>
      </c>
      <c r="G43" s="7">
        <f>IFERROR(IF(OR(PRECIOS!G43="",PRECIOS!G42=""),"",PRECIOS!G43/PRECIOS!G42-1),"")</f>
        <v>0.03561337058</v>
      </c>
      <c r="H43" s="7">
        <f>IFERROR(IF(OR(PRECIOS!H43="",PRECIOS!H42=""),"",PRECIOS!H43/PRECIOS!H42-1),"")</f>
        <v>0.01633940089</v>
      </c>
      <c r="I43" s="7">
        <f>IFERROR(IF(OR(PRECIOS!I43="",PRECIOS!I42=""),"",PRECIOS!I43/PRECIOS!I42-1),"")</f>
        <v>0.01378280411</v>
      </c>
    </row>
    <row r="44" ht="15.75" customHeight="1">
      <c r="A44" s="4">
        <f>IF(PRECIOS!A44="","",PRECIOS!A44)</f>
        <v>44474</v>
      </c>
      <c r="B44" s="7">
        <f>IFERROR(IF(OR(PRECIOS!B44="",PRECIOS!B43=""),"",PRECIOS!B44/PRECIOS!B43-1),"")</f>
        <v>-0.001626890642</v>
      </c>
      <c r="C44" s="7">
        <f>IFERROR(IF(OR(PRECIOS!C44="",PRECIOS!C43=""),"",PRECIOS!C44/PRECIOS!C43-1),"")</f>
        <v>-0.005934942796</v>
      </c>
      <c r="D44" s="7">
        <f>IFERROR(IF(OR(PRECIOS!D44="",PRECIOS!D43=""),"",PRECIOS!D44/PRECIOS!D43-1),"")</f>
        <v>0.01997595318</v>
      </c>
      <c r="E44" s="7">
        <f>IFERROR(IF(OR(PRECIOS!E44="",PRECIOS!E43=""),"",PRECIOS!E44/PRECIOS!E43-1),"")</f>
        <v>0.01953241218</v>
      </c>
      <c r="F44" s="7">
        <f>IFERROR(IF(OR(PRECIOS!F44="",PRECIOS!F43=""),"",PRECIOS!F44/PRECIOS!F43-1),"")</f>
        <v>0.03813559322</v>
      </c>
      <c r="G44" s="7">
        <f>IFERROR(IF(OR(PRECIOS!G44="",PRECIOS!G43=""),"",PRECIOS!G44/PRECIOS!G43-1),"")</f>
        <v>-0.002185886201</v>
      </c>
      <c r="H44" s="7">
        <f>IFERROR(IF(OR(PRECIOS!H44="",PRECIOS!H43=""),"",PRECIOS!H44/PRECIOS!H43-1),"")</f>
        <v>0.005850352346</v>
      </c>
      <c r="I44" s="7">
        <f>IFERROR(IF(OR(PRECIOS!I44="",PRECIOS!I43=""),"",PRECIOS!I44/PRECIOS!I43-1),"")</f>
        <v>-0.002461027866</v>
      </c>
    </row>
    <row r="45" ht="15.75" customHeight="1">
      <c r="A45" s="4">
        <f>IF(PRECIOS!A45="","",PRECIOS!A45)</f>
        <v>44475</v>
      </c>
      <c r="B45" s="7">
        <f>IFERROR(IF(OR(PRECIOS!B45="",PRECIOS!B44=""),"",PRECIOS!B45/PRECIOS!B44-1),"")</f>
        <v>-0.01832678724</v>
      </c>
      <c r="C45" s="7">
        <f>IFERROR(IF(OR(PRECIOS!C45="",PRECIOS!C44=""),"",PRECIOS!C45/PRECIOS!C44-1),"")</f>
        <v>0.01080829454</v>
      </c>
      <c r="D45" s="7">
        <f>IFERROR(IF(OR(PRECIOS!D45="",PRECIOS!D44=""),"",PRECIOS!D45/PRECIOS!D44-1),"")</f>
        <v>0.01269147918</v>
      </c>
      <c r="E45" s="7">
        <f>IFERROR(IF(OR(PRECIOS!E45="",PRECIOS!E44=""),"",PRECIOS!E45/PRECIOS!E44-1),"")</f>
        <v>0.002938541723</v>
      </c>
      <c r="F45" s="7">
        <f>IFERROR(IF(OR(PRECIOS!F45="",PRECIOS!F44=""),"",PRECIOS!F45/PRECIOS!F44-1),"")</f>
        <v>-0.01836734694</v>
      </c>
      <c r="G45" s="7">
        <f>IFERROR(IF(OR(PRECIOS!G45="",PRECIOS!G44=""),"",PRECIOS!G45/PRECIOS!G44-1),"")</f>
        <v>-0.008070289365</v>
      </c>
      <c r="H45" s="7">
        <f>IFERROR(IF(OR(PRECIOS!H45="",PRECIOS!H44=""),"",PRECIOS!H45/PRECIOS!H44-1),"")</f>
        <v>-0.01051526945</v>
      </c>
      <c r="I45" s="7">
        <f>IFERROR(IF(OR(PRECIOS!I45="",PRECIOS!I44=""),"",PRECIOS!I45/PRECIOS!I44-1),"")</f>
        <v>0.01547223808</v>
      </c>
    </row>
    <row r="46" ht="15.75" customHeight="1">
      <c r="A46" s="4">
        <f>IF(PRECIOS!A46="","",PRECIOS!A46)</f>
        <v>44476</v>
      </c>
      <c r="B46" s="7">
        <f>IFERROR(IF(OR(PRECIOS!B46="",PRECIOS!B45=""),"",PRECIOS!B46/PRECIOS!B45-1),"")</f>
        <v>0.002811312834</v>
      </c>
      <c r="C46" s="7">
        <f>IFERROR(IF(OR(PRECIOS!C46="",PRECIOS!C45=""),"",PRECIOS!C46/PRECIOS!C45-1),"")</f>
        <v>-0.0009595820041</v>
      </c>
      <c r="D46" s="7">
        <f>IFERROR(IF(OR(PRECIOS!D46="",PRECIOS!D45=""),"",PRECIOS!D46/PRECIOS!D45-1),"")</f>
        <v>0.02101145703</v>
      </c>
      <c r="E46" s="7">
        <f>IFERROR(IF(OR(PRECIOS!E46="",PRECIOS!E45=""),"",PRECIOS!E46/PRECIOS!E45-1),"")</f>
        <v>0.01464289339</v>
      </c>
      <c r="F46" s="7">
        <f>IFERROR(IF(OR(PRECIOS!F46="",PRECIOS!F45=""),"",PRECIOS!F46/PRECIOS!F45-1),"")</f>
        <v>-0.002079002079</v>
      </c>
      <c r="G46" s="7">
        <f>IFERROR(IF(OR(PRECIOS!G46="",PRECIOS!G45=""),"",PRECIOS!G46/PRECIOS!G45-1),"")</f>
        <v>0.02143820544</v>
      </c>
      <c r="H46" s="7">
        <f>IFERROR(IF(OR(PRECIOS!H46="",PRECIOS!H45=""),"",PRECIOS!H46/PRECIOS!H45-1),"")</f>
        <v>0.007694388507</v>
      </c>
      <c r="I46" s="7">
        <f>IFERROR(IF(OR(PRECIOS!I46="",PRECIOS!I45=""),"",PRECIOS!I46/PRECIOS!I45-1),"")</f>
        <v>-0.005351862393</v>
      </c>
    </row>
    <row r="47" ht="15.75" customHeight="1">
      <c r="A47" s="4">
        <f>IF(PRECIOS!A47="","",PRECIOS!A47)</f>
        <v>44477</v>
      </c>
      <c r="B47" s="7">
        <f>IFERROR(IF(OR(PRECIOS!B47="",PRECIOS!B46=""),"",PRECIOS!B47/PRECIOS!B46-1),"")</f>
        <v>0.02503460866</v>
      </c>
      <c r="C47" s="7">
        <f>IFERROR(IF(OR(PRECIOS!C47="",PRECIOS!C46=""),"",PRECIOS!C47/PRECIOS!C46-1),"")</f>
        <v>-0.00176176156</v>
      </c>
      <c r="D47" s="7">
        <f>IFERROR(IF(OR(PRECIOS!D47="",PRECIOS!D46=""),"",PRECIOS!D47/PRECIOS!D46-1),"")</f>
        <v>-0.002772038866</v>
      </c>
      <c r="E47" s="7">
        <f>IFERROR(IF(OR(PRECIOS!E47="",PRECIOS!E46=""),"",PRECIOS!E47/PRECIOS!E46-1),"")</f>
        <v>-0.002360802673</v>
      </c>
      <c r="F47" s="7">
        <f>IFERROR(IF(OR(PRECIOS!F47="",PRECIOS!F46=""),"",PRECIOS!F47/PRECIOS!F46-1),"")</f>
        <v>0.004166666667</v>
      </c>
      <c r="G47" s="7">
        <f>IFERROR(IF(OR(PRECIOS!G47="",PRECIOS!G46=""),"",PRECIOS!G47/PRECIOS!G46-1),"")</f>
        <v>0.02460212662</v>
      </c>
      <c r="H47" s="7">
        <f>IFERROR(IF(OR(PRECIOS!H47="",PRECIOS!H46=""),"",PRECIOS!H47/PRECIOS!H46-1),"")</f>
        <v>0.03080246624</v>
      </c>
      <c r="I47" s="7">
        <f>IFERROR(IF(OR(PRECIOS!I47="",PRECIOS!I46=""),"",PRECIOS!I47/PRECIOS!I46-1),"")</f>
        <v>-0.007359150261</v>
      </c>
    </row>
    <row r="48" ht="15.75" customHeight="1">
      <c r="A48" s="4">
        <f>IF(PRECIOS!A48="","",PRECIOS!A48)</f>
        <v>44480</v>
      </c>
      <c r="B48" s="7">
        <f>IFERROR(IF(OR(PRECIOS!B48="",PRECIOS!B47=""),"",PRECIOS!B48/PRECIOS!B47-1),"")</f>
        <v>-0.009953637806</v>
      </c>
      <c r="C48" s="7">
        <f>IFERROR(IF(OR(PRECIOS!C48="",PRECIOS!C47=""),"",PRECIOS!C48/PRECIOS!C47-1),"")</f>
        <v>-0.01021307751</v>
      </c>
      <c r="D48" s="7">
        <f>IFERROR(IF(OR(PRECIOS!D48="",PRECIOS!D47=""),"",PRECIOS!D48/PRECIOS!D47-1),"")</f>
        <v>-0.01842523706</v>
      </c>
      <c r="E48" s="7">
        <f>IFERROR(IF(OR(PRECIOS!E48="",PRECIOS!E47=""),"",PRECIOS!E48/PRECIOS!E47-1),"")</f>
        <v>-0.006510912798</v>
      </c>
      <c r="F48" s="7">
        <f>IFERROR(IF(OR(PRECIOS!F48="",PRECIOS!F47=""),"",PRECIOS!F48/PRECIOS!F47-1),"")</f>
        <v>-0.01037344398</v>
      </c>
      <c r="G48" s="7">
        <f>IFERROR(IF(OR(PRECIOS!G48="",PRECIOS!G47=""),"",PRECIOS!G48/PRECIOS!G47-1),"")</f>
        <v>0.01092797335</v>
      </c>
      <c r="H48" s="7">
        <f>IFERROR(IF(OR(PRECIOS!H48="",PRECIOS!H47=""),"",PRECIOS!H48/PRECIOS!H47-1),"")</f>
        <v>-0.003716135219</v>
      </c>
      <c r="I48" s="7">
        <f>IFERROR(IF(OR(PRECIOS!I48="",PRECIOS!I47=""),"",PRECIOS!I48/PRECIOS!I47-1),"")</f>
        <v>-0.01357949612</v>
      </c>
    </row>
    <row r="49" ht="15.75" customHeight="1">
      <c r="A49" s="4">
        <f>IF(PRECIOS!A49="","",PRECIOS!A49)</f>
        <v>44481</v>
      </c>
      <c r="B49" s="7">
        <f>IFERROR(IF(OR(PRECIOS!B49="",PRECIOS!B48=""),"",PRECIOS!B49/PRECIOS!B48-1),"")</f>
        <v>-0.005209991408</v>
      </c>
      <c r="C49" s="7">
        <f>IFERROR(IF(OR(PRECIOS!C49="",PRECIOS!C48=""),"",PRECIOS!C49/PRECIOS!C48-1),"")</f>
        <v>0.002901112772</v>
      </c>
      <c r="D49" s="7">
        <f>IFERROR(IF(OR(PRECIOS!D49="",PRECIOS!D48=""),"",PRECIOS!D49/PRECIOS!D48-1),"")</f>
        <v>0.01536569648</v>
      </c>
      <c r="E49" s="7">
        <f>IFERROR(IF(OR(PRECIOS!E49="",PRECIOS!E48=""),"",PRECIOS!E49/PRECIOS!E48-1),"")</f>
        <v>-0.006156599673</v>
      </c>
      <c r="F49" s="7">
        <f>IFERROR(IF(OR(PRECIOS!F49="",PRECIOS!F48=""),"",PRECIOS!F49/PRECIOS!F48-1),"")</f>
        <v>-0.03773584906</v>
      </c>
      <c r="G49" s="7">
        <f>IFERROR(IF(OR(PRECIOS!G49="",PRECIOS!G48=""),"",PRECIOS!G49/PRECIOS!G48-1),"")</f>
        <v>0.01048927589</v>
      </c>
      <c r="H49" s="7">
        <f>IFERROR(IF(OR(PRECIOS!H49="",PRECIOS!H48=""),"",PRECIOS!H49/PRECIOS!H48-1),"")</f>
        <v>0.0008837477543</v>
      </c>
      <c r="I49" s="7">
        <f>IFERROR(IF(OR(PRECIOS!I49="",PRECIOS!I48=""),"",PRECIOS!I49/PRECIOS!I48-1),"")</f>
        <v>0.006731762945</v>
      </c>
    </row>
    <row r="50" ht="15.75" customHeight="1">
      <c r="A50" s="4">
        <f>IF(PRECIOS!A50="","",PRECIOS!A50)</f>
        <v>44482</v>
      </c>
      <c r="B50" s="7">
        <f>IFERROR(IF(OR(PRECIOS!B50="",PRECIOS!B49=""),"",PRECIOS!B50/PRECIOS!B49-1),"")</f>
        <v>-0.002776927074</v>
      </c>
      <c r="C50" s="7">
        <f>IFERROR(IF(OR(PRECIOS!C50="",PRECIOS!C49=""),"",PRECIOS!C50/PRECIOS!C49-1),"")</f>
        <v>0.006609274638</v>
      </c>
      <c r="D50" s="7">
        <f>IFERROR(IF(OR(PRECIOS!D50="",PRECIOS!D49=""),"",PRECIOS!D50/PRECIOS!D49-1),"")</f>
        <v>0.1104272688</v>
      </c>
      <c r="E50" s="7">
        <f>IFERROR(IF(OR(PRECIOS!E50="",PRECIOS!E49=""),"",PRECIOS!E50/PRECIOS!E49-1),"")</f>
        <v>0.01165829418</v>
      </c>
      <c r="F50" s="7">
        <f>IFERROR(IF(OR(PRECIOS!F50="",PRECIOS!F49=""),"",PRECIOS!F50/PRECIOS!F49-1),"")</f>
        <v>0.004357298475</v>
      </c>
      <c r="G50" s="7">
        <f>IFERROR(IF(OR(PRECIOS!G50="",PRECIOS!G49=""),"",PRECIOS!G50/PRECIOS!G49-1),"")</f>
        <v>0</v>
      </c>
      <c r="H50" s="7">
        <f>IFERROR(IF(OR(PRECIOS!H50="",PRECIOS!H49=""),"",PRECIOS!H50/PRECIOS!H49-1),"")</f>
        <v>-0.0008829674338</v>
      </c>
      <c r="I50" s="7">
        <f>IFERROR(IF(OR(PRECIOS!I50="",PRECIOS!I49=""),"",PRECIOS!I50/PRECIOS!I49-1),"")</f>
        <v>0.01165667843</v>
      </c>
    </row>
    <row r="51" ht="15.75" customHeight="1">
      <c r="A51" s="4">
        <f>IF(PRECIOS!A51="","",PRECIOS!A51)</f>
        <v>44483</v>
      </c>
      <c r="B51" s="7">
        <f>IFERROR(IF(OR(PRECIOS!B51="",PRECIOS!B50=""),"",PRECIOS!B51/PRECIOS!B50-1),"")</f>
        <v>0.01523626476</v>
      </c>
      <c r="C51" s="7">
        <f>IFERROR(IF(OR(PRECIOS!C51="",PRECIOS!C50=""),"",PRECIOS!C51/PRECIOS!C50-1),"")</f>
        <v>0.01198898909</v>
      </c>
      <c r="D51" s="7">
        <f>IFERROR(IF(OR(PRECIOS!D51="",PRECIOS!D50=""),"",PRECIOS!D51/PRECIOS!D50-1),"")</f>
        <v>-0.0120918477</v>
      </c>
      <c r="E51" s="7">
        <f>IFERROR(IF(OR(PRECIOS!E51="",PRECIOS!E50=""),"",PRECIOS!E51/PRECIOS!E50-1),"")</f>
        <v>0.04036057499</v>
      </c>
      <c r="F51" s="7">
        <f>IFERROR(IF(OR(PRECIOS!F51="",PRECIOS!F50=""),"",PRECIOS!F51/PRECIOS!F50-1),"")</f>
        <v>-0.01518438178</v>
      </c>
      <c r="G51" s="7">
        <f>IFERROR(IF(OR(PRECIOS!G51="",PRECIOS!G50=""),"",PRECIOS!G51/PRECIOS!G50-1),"")</f>
        <v>0.01521646108</v>
      </c>
      <c r="H51" s="7">
        <f>IFERROR(IF(OR(PRECIOS!H51="",PRECIOS!H50=""),"",PRECIOS!H51/PRECIOS!H50-1),"")</f>
        <v>0.01222310274</v>
      </c>
      <c r="I51" s="7">
        <f>IFERROR(IF(OR(PRECIOS!I51="",PRECIOS!I50=""),"",PRECIOS!I51/PRECIOS!I50-1),"")</f>
        <v>0.01230615273</v>
      </c>
    </row>
    <row r="52" ht="15.75" customHeight="1">
      <c r="A52" s="4">
        <f>IF(PRECIOS!A52="","",PRECIOS!A52)</f>
        <v>44484</v>
      </c>
      <c r="B52" s="7">
        <f>IFERROR(IF(OR(PRECIOS!B52="",PRECIOS!B51=""),"",PRECIOS!B52/PRECIOS!B51-1),"")</f>
        <v>0.009520167903</v>
      </c>
      <c r="C52" s="7">
        <f>IFERROR(IF(OR(PRECIOS!C52="",PRECIOS!C51=""),"",PRECIOS!C52/PRECIOS!C51-1),"")</f>
        <v>-0.002050881796</v>
      </c>
      <c r="D52" s="7">
        <f>IFERROR(IF(OR(PRECIOS!D52="",PRECIOS!D51=""),"",PRECIOS!D52/PRECIOS!D51-1),"")</f>
        <v>0.005599757963</v>
      </c>
      <c r="E52" s="7">
        <f>IFERROR(IF(OR(PRECIOS!E52="",PRECIOS!E51=""),"",PRECIOS!E52/PRECIOS!E51-1),"")</f>
        <v>0.01176515995</v>
      </c>
      <c r="F52" s="7">
        <f>IFERROR(IF(OR(PRECIOS!F52="",PRECIOS!F51=""),"",PRECIOS!F52/PRECIOS!F51-1),"")</f>
        <v>0.008810572687</v>
      </c>
      <c r="G52" s="7">
        <f>IFERROR(IF(OR(PRECIOS!G52="",PRECIOS!G51=""),"",PRECIOS!G52/PRECIOS!G51-1),"")</f>
        <v>0.006129797648</v>
      </c>
      <c r="H52" s="7">
        <f>IFERROR(IF(OR(PRECIOS!H52="",PRECIOS!H51=""),"",PRECIOS!H52/PRECIOS!H51-1),"")</f>
        <v>0.004931035189</v>
      </c>
      <c r="I52" s="7">
        <f>IFERROR(IF(OR(PRECIOS!I52="",PRECIOS!I51=""),"",PRECIOS!I52/PRECIOS!I51-1),"")</f>
        <v>-0.002896556969</v>
      </c>
    </row>
    <row r="53" ht="15.75" customHeight="1">
      <c r="A53" s="4">
        <f>IF(PRECIOS!A53="","",PRECIOS!A53)</f>
        <v>44487</v>
      </c>
      <c r="B53" s="7">
        <f>IFERROR(IF(OR(PRECIOS!B53="",PRECIOS!B52=""),"",PRECIOS!B53/PRECIOS!B52-1),"")</f>
        <v>-0.000491551873</v>
      </c>
      <c r="C53" s="7">
        <f>IFERROR(IF(OR(PRECIOS!C53="",PRECIOS!C52=""),"",PRECIOS!C53/PRECIOS!C52-1),"")</f>
        <v>-0.01078800889</v>
      </c>
      <c r="D53" s="7">
        <f>IFERROR(IF(OR(PRECIOS!D53="",PRECIOS!D52=""),"",PRECIOS!D53/PRECIOS!D52-1),"")</f>
        <v>-0.01784055401</v>
      </c>
      <c r="E53" s="7">
        <f>IFERROR(IF(OR(PRECIOS!E53="",PRECIOS!E52=""),"",PRECIOS!E53/PRECIOS!E52-1),"")</f>
        <v>-0.001125324246</v>
      </c>
      <c r="F53" s="7">
        <f>IFERROR(IF(OR(PRECIOS!F53="",PRECIOS!F52=""),"",PRECIOS!F53/PRECIOS!F52-1),"")</f>
        <v>-0.01091703057</v>
      </c>
      <c r="G53" s="7">
        <f>IFERROR(IF(OR(PRECIOS!G53="",PRECIOS!G52=""),"",PRECIOS!G53/PRECIOS!G52-1),"")</f>
        <v>-0.008772119899</v>
      </c>
      <c r="H53" s="7">
        <f>IFERROR(IF(OR(PRECIOS!H53="",PRECIOS!H52=""),"",PRECIOS!H53/PRECIOS!H52-1),"")</f>
        <v>0.0006811655681</v>
      </c>
      <c r="I53" s="7">
        <f>IFERROR(IF(OR(PRECIOS!I53="",PRECIOS!I52=""),"",PRECIOS!I53/PRECIOS!I52-1),"")</f>
        <v>-0.009574619286</v>
      </c>
    </row>
    <row r="54" ht="15.75" customHeight="1">
      <c r="A54" s="4">
        <f>IF(PRECIOS!A54="","",PRECIOS!A54)</f>
        <v>44488</v>
      </c>
      <c r="B54" s="7">
        <f>IFERROR(IF(OR(PRECIOS!B54="",PRECIOS!B53=""),"",PRECIOS!B54/PRECIOS!B53-1),"")</f>
        <v>0.01503507398</v>
      </c>
      <c r="C54" s="7">
        <f>IFERROR(IF(OR(PRECIOS!C54="",PRECIOS!C53=""),"",PRECIOS!C54/PRECIOS!C53-1),"")</f>
        <v>0.008340314436</v>
      </c>
      <c r="D54" s="7">
        <f>IFERROR(IF(OR(PRECIOS!D54="",PRECIOS!D53=""),"",PRECIOS!D54/PRECIOS!D53-1),"")</f>
        <v>-0.00620176702</v>
      </c>
      <c r="E54" s="7">
        <f>IFERROR(IF(OR(PRECIOS!E54="",PRECIOS!E53=""),"",PRECIOS!E54/PRECIOS!E53-1),"")</f>
        <v>0.001317539829</v>
      </c>
      <c r="F54" s="7">
        <f>IFERROR(IF(OR(PRECIOS!F54="",PRECIOS!F53=""),"",PRECIOS!F54/PRECIOS!F53-1),"")</f>
        <v>-0.002207505519</v>
      </c>
      <c r="G54" s="7">
        <f>IFERROR(IF(OR(PRECIOS!G54="",PRECIOS!G53=""),"",PRECIOS!G54/PRECIOS!G53-1),"")</f>
        <v>-0.009935475879</v>
      </c>
      <c r="H54" s="7">
        <f>IFERROR(IF(OR(PRECIOS!H54="",PRECIOS!H53=""),"",PRECIOS!H54/PRECIOS!H53-1),"")</f>
        <v>0.01133959688</v>
      </c>
      <c r="I54" s="7">
        <f>IFERROR(IF(OR(PRECIOS!I54="",PRECIOS!I53=""),"",PRECIOS!I54/PRECIOS!I53-1),"")</f>
        <v>0.0126002331</v>
      </c>
    </row>
    <row r="55" ht="15.75" customHeight="1">
      <c r="A55" s="4">
        <f>IF(PRECIOS!A55="","",PRECIOS!A55)</f>
        <v>44489</v>
      </c>
      <c r="B55" s="7">
        <f>IFERROR(IF(OR(PRECIOS!B55="",PRECIOS!B54=""),"",PRECIOS!B55/PRECIOS!B54-1),"")</f>
        <v>0.005503822975</v>
      </c>
      <c r="C55" s="7">
        <f>IFERROR(IF(OR(PRECIOS!C55="",PRECIOS!C54=""),"",PRECIOS!C55/PRECIOS!C54-1),"")</f>
        <v>0.01175302793</v>
      </c>
      <c r="D55" s="7">
        <f>IFERROR(IF(OR(PRECIOS!D55="",PRECIOS!D54=""),"",PRECIOS!D55/PRECIOS!D54-1),"")</f>
        <v>0.005283308638</v>
      </c>
      <c r="E55" s="7">
        <f>IFERROR(IF(OR(PRECIOS!E55="",PRECIOS!E54=""),"",PRECIOS!E55/PRECIOS!E54-1),"")</f>
        <v>0.01062815444</v>
      </c>
      <c r="F55" s="7">
        <f>IFERROR(IF(OR(PRECIOS!F55="",PRECIOS!F54=""),"",PRECIOS!F55/PRECIOS!F54-1),"")</f>
        <v>0.04867256637</v>
      </c>
      <c r="G55" s="7">
        <f>IFERROR(IF(OR(PRECIOS!G55="",PRECIOS!G54=""),"",PRECIOS!G55/PRECIOS!G54-1),"")</f>
        <v>0.005497821479</v>
      </c>
      <c r="H55" s="7">
        <f>IFERROR(IF(OR(PRECIOS!H55="",PRECIOS!H54=""),"",PRECIOS!H55/PRECIOS!H54-1),"")</f>
        <v>0.008105047216</v>
      </c>
      <c r="I55" s="7">
        <f>IFERROR(IF(OR(PRECIOS!I55="",PRECIOS!I54=""),"",PRECIOS!I55/PRECIOS!I54-1),"")</f>
        <v>0.01577552029</v>
      </c>
    </row>
    <row r="56" ht="15.75" customHeight="1">
      <c r="A56" s="4">
        <f>IF(PRECIOS!A56="","",PRECIOS!A56)</f>
        <v>44490</v>
      </c>
      <c r="B56" s="7">
        <f>IFERROR(IF(OR(PRECIOS!B56="",PRECIOS!B55=""),"",PRECIOS!B56/PRECIOS!B55-1),"")</f>
        <v>-0.01815214468</v>
      </c>
      <c r="C56" s="7">
        <f>IFERROR(IF(OR(PRECIOS!C56="",PRECIOS!C55=""),"",PRECIOS!C56/PRECIOS!C55-1),"")</f>
        <v>0.007052344323</v>
      </c>
      <c r="D56" s="7">
        <f>IFERROR(IF(OR(PRECIOS!D56="",PRECIOS!D55=""),"",PRECIOS!D56/PRECIOS!D55-1),"")</f>
        <v>-0.01093066665</v>
      </c>
      <c r="E56" s="7">
        <f>IFERROR(IF(OR(PRECIOS!E56="",PRECIOS!E55=""),"",PRECIOS!E56/PRECIOS!E55-1),"")</f>
        <v>-0.006679665388</v>
      </c>
      <c r="F56" s="7">
        <f>IFERROR(IF(OR(PRECIOS!F56="",PRECIOS!F55=""),"",PRECIOS!F56/PRECIOS!F55-1),"")</f>
        <v>-0.03164556962</v>
      </c>
      <c r="G56" s="7">
        <f>IFERROR(IF(OR(PRECIOS!G56="",PRECIOS!G55=""),"",PRECIOS!G56/PRECIOS!G55-1),"")</f>
        <v>-0.02190764096</v>
      </c>
      <c r="H56" s="7">
        <f>IFERROR(IF(OR(PRECIOS!H56="",PRECIOS!H55=""),"",PRECIOS!H56/PRECIOS!H55-1),"")</f>
        <v>-0.01845854922</v>
      </c>
      <c r="I56" s="7">
        <f>IFERROR(IF(OR(PRECIOS!I56="",PRECIOS!I55=""),"",PRECIOS!I56/PRECIOS!I55-1),"")</f>
        <v>0</v>
      </c>
    </row>
    <row r="57" ht="15.75" customHeight="1">
      <c r="A57" s="4">
        <f>IF(PRECIOS!A57="","",PRECIOS!A57)</f>
        <v>44491</v>
      </c>
      <c r="B57" s="7">
        <f>IFERROR(IF(OR(PRECIOS!B57="",PRECIOS!B56=""),"",PRECIOS!B57/PRECIOS!B56-1),"")</f>
        <v>0.00684718541</v>
      </c>
      <c r="C57" s="7">
        <f>IFERROR(IF(OR(PRECIOS!C57="",PRECIOS!C56=""),"",PRECIOS!C57/PRECIOS!C56-1),"")</f>
        <v>-0.01885902722</v>
      </c>
      <c r="D57" s="7">
        <f>IFERROR(IF(OR(PRECIOS!D57="",PRECIOS!D56=""),"",PRECIOS!D57/PRECIOS!D56-1),"")</f>
        <v>0.0005329939576</v>
      </c>
      <c r="E57" s="7">
        <f>IFERROR(IF(OR(PRECIOS!E57="",PRECIOS!E56=""),"",PRECIOS!E57/PRECIOS!E56-1),"")</f>
        <v>0.001620991844</v>
      </c>
      <c r="F57" s="7">
        <f>IFERROR(IF(OR(PRECIOS!F57="",PRECIOS!F56=""),"",PRECIOS!F57/PRECIOS!F56-1),"")</f>
        <v>-0.02614379085</v>
      </c>
      <c r="G57" s="7">
        <f>IFERROR(IF(OR(PRECIOS!G57="",PRECIOS!G56=""),"",PRECIOS!G57/PRECIOS!G56-1),"")</f>
        <v>0.004542529149</v>
      </c>
      <c r="H57" s="7">
        <f>IFERROR(IF(OR(PRECIOS!H57="",PRECIOS!H56=""),"",PRECIOS!H57/PRECIOS!H56-1),"")</f>
        <v>0.009400800779</v>
      </c>
      <c r="I57" s="7">
        <f>IFERROR(IF(OR(PRECIOS!I57="",PRECIOS!I56=""),"",PRECIOS!I57/PRECIOS!I56-1),"")</f>
        <v>0.00509403722</v>
      </c>
    </row>
    <row r="58" ht="15.75" customHeight="1">
      <c r="A58" s="4">
        <f>IF(PRECIOS!A58="","",PRECIOS!A58)</f>
        <v>44494</v>
      </c>
      <c r="B58" s="7">
        <f>IFERROR(IF(OR(PRECIOS!B58="",PRECIOS!B57=""),"",PRECIOS!B58/PRECIOS!B57-1),"")</f>
        <v>0.01949711466</v>
      </c>
      <c r="C58" s="7">
        <f>IFERROR(IF(OR(PRECIOS!C58="",PRECIOS!C57=""),"",PRECIOS!C58/PRECIOS!C57-1),"")</f>
        <v>-0.002204517843</v>
      </c>
      <c r="D58" s="7">
        <f>IFERROR(IF(OR(PRECIOS!D58="",PRECIOS!D57=""),"",PRECIOS!D58/PRECIOS!D57-1),"")</f>
        <v>0.02039518387</v>
      </c>
      <c r="E58" s="7">
        <f>IFERROR(IF(OR(PRECIOS!E58="",PRECIOS!E57=""),"",PRECIOS!E58/PRECIOS!E57-1),"")</f>
        <v>0.0008028624893</v>
      </c>
      <c r="F58" s="7">
        <f>IFERROR(IF(OR(PRECIOS!F58="",PRECIOS!F57=""),"",PRECIOS!F58/PRECIOS!F57-1),"")</f>
        <v>0.04250559284</v>
      </c>
      <c r="G58" s="7">
        <f>IFERROR(IF(OR(PRECIOS!G58="",PRECIOS!G57=""),"",PRECIOS!G58/PRECIOS!G57-1),"")</f>
        <v>0.005244611981</v>
      </c>
      <c r="H58" s="7">
        <f>IFERROR(IF(OR(PRECIOS!H58="",PRECIOS!H57=""),"",PRECIOS!H58/PRECIOS!H57-1),"")</f>
        <v>0.01466392811</v>
      </c>
      <c r="I58" s="7">
        <f>IFERROR(IF(OR(PRECIOS!I58="",PRECIOS!I57=""),"",PRECIOS!I58/PRECIOS!I57-1),"")</f>
        <v>-0.004316619833</v>
      </c>
    </row>
    <row r="59" ht="15.75" customHeight="1">
      <c r="A59" s="4">
        <f>IF(PRECIOS!A59="","",PRECIOS!A59)</f>
        <v>44495</v>
      </c>
      <c r="B59" s="7">
        <f>IFERROR(IF(OR(PRECIOS!B59="",PRECIOS!B58=""),"",PRECIOS!B59/PRECIOS!B58-1),"")</f>
        <v>0.02315540252</v>
      </c>
      <c r="C59" s="7">
        <f>IFERROR(IF(OR(PRECIOS!C59="",PRECIOS!C58=""),"",PRECIOS!C59/PRECIOS!C58-1),"")</f>
        <v>0.007477801583</v>
      </c>
      <c r="D59" s="7">
        <f>IFERROR(IF(OR(PRECIOS!D59="",PRECIOS!D58=""),"",PRECIOS!D59/PRECIOS!D58-1),"")</f>
        <v>0</v>
      </c>
      <c r="E59" s="7">
        <f>IFERROR(IF(OR(PRECIOS!E59="",PRECIOS!E58=""),"",PRECIOS!E59/PRECIOS!E58-1),"")</f>
        <v>-0.007144165598</v>
      </c>
      <c r="F59" s="7">
        <f>IFERROR(IF(OR(PRECIOS!F59="",PRECIOS!F58=""),"",PRECIOS!F59/PRECIOS!F58-1),"")</f>
        <v>-0.004291845494</v>
      </c>
      <c r="G59" s="7">
        <f>IFERROR(IF(OR(PRECIOS!G59="",PRECIOS!G58=""),"",PRECIOS!G59/PRECIOS!G58-1),"")</f>
        <v>-0.007288586526</v>
      </c>
      <c r="H59" s="7">
        <f>IFERROR(IF(OR(PRECIOS!H59="",PRECIOS!H58=""),"",PRECIOS!H59/PRECIOS!H58-1),"")</f>
        <v>0.005794323392</v>
      </c>
      <c r="I59" s="7">
        <f>IFERROR(IF(OR(PRECIOS!I59="",PRECIOS!I58=""),"",PRECIOS!I59/PRECIOS!I58-1),"")</f>
        <v>0.005379214199</v>
      </c>
    </row>
    <row r="60" ht="15.75" customHeight="1">
      <c r="A60" s="4">
        <f>IF(PRECIOS!A60="","",PRECIOS!A60)</f>
        <v>44496</v>
      </c>
      <c r="B60" s="7">
        <f>IFERROR(IF(OR(PRECIOS!B60="",PRECIOS!B59=""),"",PRECIOS!B60/PRECIOS!B59-1),"")</f>
        <v>-0.02597597958</v>
      </c>
      <c r="C60" s="7">
        <f>IFERROR(IF(OR(PRECIOS!C60="",PRECIOS!C59=""),"",PRECIOS!C60/PRECIOS!C59-1),"")</f>
        <v>-0.0101166385</v>
      </c>
      <c r="D60" s="7">
        <f>IFERROR(IF(OR(PRECIOS!D60="",PRECIOS!D59=""),"",PRECIOS!D60/PRECIOS!D59-1),"")</f>
        <v>0.008225147429</v>
      </c>
      <c r="E60" s="7">
        <f>IFERROR(IF(OR(PRECIOS!E60="",PRECIOS!E59=""),"",PRECIOS!E60/PRECIOS!E59-1),"")</f>
        <v>-0.007634559104</v>
      </c>
      <c r="F60" s="7">
        <f>IFERROR(IF(OR(PRECIOS!F60="",PRECIOS!F59=""),"",PRECIOS!F60/PRECIOS!F59-1),"")</f>
        <v>-0.03232758621</v>
      </c>
      <c r="G60" s="7">
        <f>IFERROR(IF(OR(PRECIOS!G60="",PRECIOS!G59=""),"",PRECIOS!G60/PRECIOS!G59-1),"")</f>
        <v>-0.01017890537</v>
      </c>
      <c r="H60" s="7">
        <f>IFERROR(IF(OR(PRECIOS!H60="",PRECIOS!H59=""),"",PRECIOS!H60/PRECIOS!H59-1),"")</f>
        <v>-0.02876121941</v>
      </c>
      <c r="I60" s="7">
        <f>IFERROR(IF(OR(PRECIOS!I60="",PRECIOS!I59=""),"",PRECIOS!I60/PRECIOS!I59-1),"")</f>
        <v>-0.006672822032</v>
      </c>
    </row>
    <row r="61" ht="15.75" customHeight="1">
      <c r="A61" s="4">
        <f>IF(PRECIOS!A61="","",PRECIOS!A61)</f>
        <v>44497</v>
      </c>
      <c r="B61" s="7">
        <f>IFERROR(IF(OR(PRECIOS!B61="",PRECIOS!B60=""),"",PRECIOS!B61/PRECIOS!B60-1),"")</f>
        <v>0.002794695828</v>
      </c>
      <c r="C61" s="7">
        <f>IFERROR(IF(OR(PRECIOS!C61="",PRECIOS!C60=""),"",PRECIOS!C61/PRECIOS!C60-1),"")</f>
        <v>0.001596565372</v>
      </c>
      <c r="D61" s="7">
        <f>IFERROR(IF(OR(PRECIOS!D61="",PRECIOS!D60=""),"",PRECIOS!D61/PRECIOS!D60-1),"")</f>
        <v>0.009700889248</v>
      </c>
      <c r="E61" s="7">
        <f>IFERROR(IF(OR(PRECIOS!E61="",PRECIOS!E60=""),"",PRECIOS!E61/PRECIOS!E60-1),"")</f>
        <v>0.03027311194</v>
      </c>
      <c r="F61" s="7">
        <f>IFERROR(IF(OR(PRECIOS!F61="",PRECIOS!F60=""),"",PRECIOS!F61/PRECIOS!F60-1),"")</f>
        <v>-0.02227171492</v>
      </c>
      <c r="G61" s="7">
        <f>IFERROR(IF(OR(PRECIOS!G61="",PRECIOS!G60=""),"",PRECIOS!G61/PRECIOS!G60-1),"")</f>
        <v>0.004253714458</v>
      </c>
      <c r="H61" s="7">
        <f>IFERROR(IF(OR(PRECIOS!H61="",PRECIOS!H60=""),"",PRECIOS!H61/PRECIOS!H60-1),"")</f>
        <v>0.007144718201</v>
      </c>
      <c r="I61" s="7">
        <f>IFERROR(IF(OR(PRECIOS!I61="",PRECIOS!I60=""),"",PRECIOS!I61/PRECIOS!I60-1),"")</f>
        <v>0.006567837006</v>
      </c>
    </row>
    <row r="62" ht="15.75" customHeight="1">
      <c r="A62" s="4">
        <f>IF(PRECIOS!A62="","",PRECIOS!A62)</f>
        <v>44498</v>
      </c>
      <c r="B62" s="7">
        <f>IFERROR(IF(OR(PRECIOS!B62="",PRECIOS!B61=""),"",PRECIOS!B62/PRECIOS!B61-1),"")</f>
        <v>0.002501826809</v>
      </c>
      <c r="C62" s="7">
        <f>IFERROR(IF(OR(PRECIOS!C62="",PRECIOS!C61=""),"",PRECIOS!C62/PRECIOS!C61-1),"")</f>
        <v>-0.006687518418</v>
      </c>
      <c r="D62" s="7">
        <f>IFERROR(IF(OR(PRECIOS!D62="",PRECIOS!D61=""),"",PRECIOS!D62/PRECIOS!D61-1),"")</f>
        <v>-0.01313469076</v>
      </c>
      <c r="E62" s="7">
        <f>IFERROR(IF(OR(PRECIOS!E62="",PRECIOS!E61=""),"",PRECIOS!E62/PRECIOS!E61-1),"")</f>
        <v>-0.001225871489</v>
      </c>
      <c r="F62" s="7">
        <f>IFERROR(IF(OR(PRECIOS!F62="",PRECIOS!F61=""),"",PRECIOS!F62/PRECIOS!F61-1),"")</f>
        <v>-0.04328018223</v>
      </c>
      <c r="G62" s="7">
        <f>IFERROR(IF(OR(PRECIOS!G62="",PRECIOS!G61=""),"",PRECIOS!G62/PRECIOS!G61-1),"")</f>
        <v>-0.01161812638</v>
      </c>
      <c r="H62" s="7">
        <f>IFERROR(IF(OR(PRECIOS!H62="",PRECIOS!H61=""),"",PRECIOS!H62/PRECIOS!H61-1),"")</f>
        <v>-0.006580675934</v>
      </c>
      <c r="I62" s="7">
        <f>IFERROR(IF(OR(PRECIOS!I62="",PRECIOS!I61=""),"",PRECIOS!I62/PRECIOS!I61-1),"")</f>
        <v>-0.005953327267</v>
      </c>
    </row>
    <row r="63" ht="15.75" customHeight="1">
      <c r="A63" s="4">
        <f>IF(PRECIOS!A63="","",PRECIOS!A63)</f>
        <v>44501</v>
      </c>
      <c r="B63" s="7">
        <f>IFERROR(IF(OR(PRECIOS!B63="",PRECIOS!B62=""),"",PRECIOS!B63/PRECIOS!B62-1),"")</f>
        <v>0.01799369485</v>
      </c>
      <c r="C63" s="7">
        <f>IFERROR(IF(OR(PRECIOS!C63="",PRECIOS!C62=""),"",PRECIOS!C63/PRECIOS!C62-1),"")</f>
        <v>0.002555466777</v>
      </c>
      <c r="D63" s="7">
        <f>IFERROR(IF(OR(PRECIOS!D63="",PRECIOS!D62=""),"",PRECIOS!D63/PRECIOS!D62-1),"")</f>
        <v>0.02139596049</v>
      </c>
      <c r="E63" s="7">
        <f>IFERROR(IF(OR(PRECIOS!E63="",PRECIOS!E62=""),"",PRECIOS!E63/PRECIOS!E62-1),"")</f>
        <v>-0.002573128563</v>
      </c>
      <c r="F63" s="7">
        <f>IFERROR(IF(OR(PRECIOS!F63="",PRECIOS!F62=""),"",PRECIOS!F63/PRECIOS!F62-1),"")</f>
        <v>0.03571428571</v>
      </c>
      <c r="G63" s="7">
        <f>IFERROR(IF(OR(PRECIOS!G63="",PRECIOS!G62=""),"",PRECIOS!G63/PRECIOS!G62-1),"")</f>
        <v>0.01603638104</v>
      </c>
      <c r="H63" s="7">
        <f>IFERROR(IF(OR(PRECIOS!H63="",PRECIOS!H62=""),"",PRECIOS!H63/PRECIOS!H62-1),"")</f>
        <v>0.0172279798</v>
      </c>
      <c r="I63" s="7">
        <f>IFERROR(IF(OR(PRECIOS!I63="",PRECIOS!I62=""),"",PRECIOS!I63/PRECIOS!I62-1),"")</f>
        <v>0.003593388981</v>
      </c>
    </row>
    <row r="64" ht="15.75" customHeight="1">
      <c r="A64" s="4">
        <f>IF(PRECIOS!A64="","",PRECIOS!A64)</f>
        <v>44502</v>
      </c>
      <c r="B64" s="7">
        <f>IFERROR(IF(OR(PRECIOS!B64="",PRECIOS!B63=""),"",PRECIOS!B64/PRECIOS!B63-1),"")</f>
        <v>-0.01235047544</v>
      </c>
      <c r="C64" s="7">
        <f>IFERROR(IF(OR(PRECIOS!C64="",PRECIOS!C63=""),"",PRECIOS!C64/PRECIOS!C63-1),"")</f>
        <v>0.00016309264</v>
      </c>
      <c r="D64" s="7">
        <f>IFERROR(IF(OR(PRECIOS!D64="",PRECIOS!D63=""),"",PRECIOS!D64/PRECIOS!D63-1),"")</f>
        <v>-0.006998162204</v>
      </c>
      <c r="E64" s="7">
        <f>IFERROR(IF(OR(PRECIOS!E64="",PRECIOS!E63=""),"",PRECIOS!E64/PRECIOS!E63-1),"")</f>
        <v>0.04436823826</v>
      </c>
      <c r="F64" s="7">
        <f>IFERROR(IF(OR(PRECIOS!F64="",PRECIOS!F63=""),"",PRECIOS!F64/PRECIOS!F63-1),"")</f>
        <v>-0.04137931034</v>
      </c>
      <c r="G64" s="7">
        <f>IFERROR(IF(OR(PRECIOS!G64="",PRECIOS!G63=""),"",PRECIOS!G64/PRECIOS!G63-1),"")</f>
        <v>-0.00526109148</v>
      </c>
      <c r="H64" s="7">
        <f>IFERROR(IF(OR(PRECIOS!H64="",PRECIOS!H63=""),"",PRECIOS!H64/PRECIOS!H63-1),"")</f>
        <v>-0.009412112945</v>
      </c>
      <c r="I64" s="7">
        <f>IFERROR(IF(OR(PRECIOS!I64="",PRECIOS!I63=""),"",PRECIOS!I64/PRECIOS!I63-1),"")</f>
        <v>0.0008883493993</v>
      </c>
    </row>
    <row r="65" ht="15.75" customHeight="1">
      <c r="A65" s="4">
        <f>IF(PRECIOS!A65="","",PRECIOS!A65)</f>
        <v>44503</v>
      </c>
      <c r="B65" s="7">
        <f>IFERROR(IF(OR(PRECIOS!B65="",PRECIOS!B64=""),"",PRECIOS!B65/PRECIOS!B64-1),"")</f>
        <v>-0.01373704076</v>
      </c>
      <c r="C65" s="7">
        <f>IFERROR(IF(OR(PRECIOS!C65="",PRECIOS!C64=""),"",PRECIOS!C65/PRECIOS!C64-1),"")</f>
        <v>0.0009464554989</v>
      </c>
      <c r="D65" s="7">
        <f>IFERROR(IF(OR(PRECIOS!D65="",PRECIOS!D64=""),"",PRECIOS!D65/PRECIOS!D64-1),"")</f>
        <v>-0.009504689608</v>
      </c>
      <c r="E65" s="7">
        <f>IFERROR(IF(OR(PRECIOS!E65="",PRECIOS!E64=""),"",PRECIOS!E65/PRECIOS!E64-1),"")</f>
        <v>-0.01247046861</v>
      </c>
      <c r="F65" s="7">
        <f>IFERROR(IF(OR(PRECIOS!F65="",PRECIOS!F64=""),"",PRECIOS!F65/PRECIOS!F64-1),"")</f>
        <v>0.02637889688</v>
      </c>
      <c r="G65" s="7">
        <f>IFERROR(IF(OR(PRECIOS!G65="",PRECIOS!G64=""),"",PRECIOS!G65/PRECIOS!G64-1),"")</f>
        <v>-0.003187634384</v>
      </c>
      <c r="H65" s="7">
        <f>IFERROR(IF(OR(PRECIOS!H65="",PRECIOS!H64=""),"",PRECIOS!H65/PRECIOS!H64-1),"")</f>
        <v>-0.008265897821</v>
      </c>
      <c r="I65" s="7">
        <f>IFERROR(IF(OR(PRECIOS!I65="",PRECIOS!I64=""),"",PRECIOS!I65/PRECIOS!I64-1),"")</f>
        <v>-0.003712850324</v>
      </c>
    </row>
    <row r="66" ht="15.75" customHeight="1">
      <c r="A66" s="4">
        <f>IF(PRECIOS!A66="","",PRECIOS!A66)</f>
        <v>44504</v>
      </c>
      <c r="B66" s="7">
        <f>IFERROR(IF(OR(PRECIOS!B66="",PRECIOS!B65=""),"",PRECIOS!B66/PRECIOS!B65-1),"")</f>
        <v>0.007517136467</v>
      </c>
      <c r="C66" s="7">
        <f>IFERROR(IF(OR(PRECIOS!C66="",PRECIOS!C65=""),"",PRECIOS!C66/PRECIOS!C65-1),"")</f>
        <v>-0.0007826487117</v>
      </c>
      <c r="D66" s="7">
        <f>IFERROR(IF(OR(PRECIOS!D66="",PRECIOS!D65=""),"",PRECIOS!D66/PRECIOS!D65-1),"")</f>
        <v>-0.02393167807</v>
      </c>
      <c r="E66" s="7">
        <f>IFERROR(IF(OR(PRECIOS!E66="",PRECIOS!E65=""),"",PRECIOS!E66/PRECIOS!E65-1),"")</f>
        <v>0.01471746109</v>
      </c>
      <c r="F66" s="7">
        <f>IFERROR(IF(OR(PRECIOS!F66="",PRECIOS!F65=""),"",PRECIOS!F66/PRECIOS!F65-1),"")</f>
        <v>-0.03971962617</v>
      </c>
      <c r="G66" s="7">
        <f>IFERROR(IF(OR(PRECIOS!G66="",PRECIOS!G65=""),"",PRECIOS!G66/PRECIOS!G65-1),"")</f>
        <v>-0.0006561580813</v>
      </c>
      <c r="H66" s="7">
        <f>IFERROR(IF(OR(PRECIOS!H66="",PRECIOS!H65=""),"",PRECIOS!H66/PRECIOS!H65-1),"")</f>
        <v>0.001388453442</v>
      </c>
      <c r="I66" s="7">
        <f>IFERROR(IF(OR(PRECIOS!I66="",PRECIOS!I65=""),"",PRECIOS!I66/PRECIOS!I65-1),"")</f>
        <v>-0.00552882572</v>
      </c>
    </row>
    <row r="67" ht="15.75" customHeight="1">
      <c r="A67" s="4">
        <f>IF(PRECIOS!A67="","",PRECIOS!A67)</f>
        <v>44505</v>
      </c>
      <c r="B67" s="7">
        <f>IFERROR(IF(OR(PRECIOS!B67="",PRECIOS!B66=""),"",PRECIOS!B67/PRECIOS!B66-1),"")</f>
        <v>0.009481308931</v>
      </c>
      <c r="C67" s="7">
        <f>IFERROR(IF(OR(PRECIOS!C67="",PRECIOS!C66=""),"",PRECIOS!C67/PRECIOS!C66-1),"")</f>
        <v>0.00959075415</v>
      </c>
      <c r="D67" s="7">
        <f>IFERROR(IF(OR(PRECIOS!D67="",PRECIOS!D66=""),"",PRECIOS!D67/PRECIOS!D66-1),"")</f>
        <v>0.06721212187</v>
      </c>
      <c r="E67" s="7">
        <f>IFERROR(IF(OR(PRECIOS!E67="",PRECIOS!E66=""),"",PRECIOS!E67/PRECIOS!E66-1),"")</f>
        <v>-0.003999045004</v>
      </c>
      <c r="F67" s="7">
        <f>IFERROR(IF(OR(PRECIOS!F67="",PRECIOS!F66=""),"",PRECIOS!F67/PRECIOS!F66-1),"")</f>
        <v>0.01946472019</v>
      </c>
      <c r="G67" s="7">
        <f>IFERROR(IF(OR(PRECIOS!G67="",PRECIOS!G66=""),"",PRECIOS!G67/PRECIOS!G66-1),"")</f>
        <v>0.00985638061</v>
      </c>
      <c r="H67" s="7">
        <f>IFERROR(IF(OR(PRECIOS!H67="",PRECIOS!H66=""),"",PRECIOS!H67/PRECIOS!H66-1),"")</f>
        <v>0.01303987184</v>
      </c>
      <c r="I67" s="7">
        <f>IFERROR(IF(OR(PRECIOS!I67="",PRECIOS!I66=""),"",PRECIOS!I67/PRECIOS!I66-1),"")</f>
        <v>0.009464250912</v>
      </c>
    </row>
    <row r="68" ht="15.75" customHeight="1">
      <c r="A68" s="4">
        <f>IF(PRECIOS!A68="","",PRECIOS!A68)</f>
        <v>44508</v>
      </c>
      <c r="B68" s="7">
        <f>IFERROR(IF(OR(PRECIOS!B68="",PRECIOS!B67=""),"",PRECIOS!B68/PRECIOS!B67-1),"")</f>
        <v>0.01074859343</v>
      </c>
      <c r="C68" s="7">
        <f>IFERROR(IF(OR(PRECIOS!C68="",PRECIOS!C67=""),"",PRECIOS!C68/PRECIOS!C67-1),"")</f>
        <v>-0.007590060168</v>
      </c>
      <c r="D68" s="7">
        <f>IFERROR(IF(OR(PRECIOS!D68="",PRECIOS!D67=""),"",PRECIOS!D68/PRECIOS!D67-1),"")</f>
        <v>-0.03713181083</v>
      </c>
      <c r="E68" s="7">
        <f>IFERROR(IF(OR(PRECIOS!E68="",PRECIOS!E67=""),"",PRECIOS!E68/PRECIOS!E67-1),"")</f>
        <v>0.01414873854</v>
      </c>
      <c r="F68" s="7">
        <f>IFERROR(IF(OR(PRECIOS!F68="",PRECIOS!F67=""),"",PRECIOS!F68/PRECIOS!F67-1),"")</f>
        <v>0.03579952267</v>
      </c>
      <c r="G68" s="7">
        <f>IFERROR(IF(OR(PRECIOS!G68="",PRECIOS!G67=""),"",PRECIOS!G68/PRECIOS!G67-1),"")</f>
        <v>-0.002768872049</v>
      </c>
      <c r="H68" s="7">
        <f>IFERROR(IF(OR(PRECIOS!H68="",PRECIOS!H67=""),"",PRECIOS!H68/PRECIOS!H67-1),"")</f>
        <v>0.00909510526</v>
      </c>
      <c r="I68" s="7">
        <f>IFERROR(IF(OR(PRECIOS!I68="",PRECIOS!I67=""),"",PRECIOS!I68/PRECIOS!I67-1),"")</f>
        <v>-0.01487279711</v>
      </c>
    </row>
    <row r="69" ht="15.75" customHeight="1">
      <c r="A69" s="4">
        <f>IF(PRECIOS!A69="","",PRECIOS!A69)</f>
        <v>44509</v>
      </c>
      <c r="B69" s="7">
        <f>IFERROR(IF(OR(PRECIOS!B69="",PRECIOS!B68=""),"",PRECIOS!B69/PRECIOS!B68-1),"")</f>
        <v>0.009744491669</v>
      </c>
      <c r="C69" s="7">
        <f>IFERROR(IF(OR(PRECIOS!C69="",PRECIOS!C68=""),"",PRECIOS!C69/PRECIOS!C68-1),"")</f>
        <v>0.01164076196</v>
      </c>
      <c r="D69" s="7">
        <f>IFERROR(IF(OR(PRECIOS!D69="",PRECIOS!D68=""),"",PRECIOS!D69/PRECIOS!D68-1),"")</f>
        <v>-0.02026070528</v>
      </c>
      <c r="E69" s="7">
        <f>IFERROR(IF(OR(PRECIOS!E69="",PRECIOS!E68=""),"",PRECIOS!E69/PRECIOS!E68-1),"")</f>
        <v>0.005465901637</v>
      </c>
      <c r="F69" s="7">
        <f>IFERROR(IF(OR(PRECIOS!F69="",PRECIOS!F68=""),"",PRECIOS!F69/PRECIOS!F68-1),"")</f>
        <v>0.05069124424</v>
      </c>
      <c r="G69" s="7">
        <f>IFERROR(IF(OR(PRECIOS!G69="",PRECIOS!G68=""),"",PRECIOS!G69/PRECIOS!G68-1),"")</f>
        <v>0.001731134568</v>
      </c>
      <c r="H69" s="7">
        <f>IFERROR(IF(OR(PRECIOS!H69="",PRECIOS!H68=""),"",PRECIOS!H69/PRECIOS!H68-1),"")</f>
        <v>0.004080967022</v>
      </c>
      <c r="I69" s="7">
        <f>IFERROR(IF(OR(PRECIOS!I69="",PRECIOS!I68=""),"",PRECIOS!I69/PRECIOS!I68-1),"")</f>
        <v>0.00513673903</v>
      </c>
    </row>
    <row r="70" ht="15.75" customHeight="1">
      <c r="A70" s="4">
        <f>IF(PRECIOS!A70="","",PRECIOS!A70)</f>
        <v>44510</v>
      </c>
      <c r="B70" s="7">
        <f>IFERROR(IF(OR(PRECIOS!B70="",PRECIOS!B69=""),"",PRECIOS!B70/PRECIOS!B69-1),"")</f>
        <v>-0.01970261108</v>
      </c>
      <c r="C70" s="7">
        <f>IFERROR(IF(OR(PRECIOS!C70="",PRECIOS!C69=""),"",PRECIOS!C70/PRECIOS!C69-1),"")</f>
        <v>0.008059247074</v>
      </c>
      <c r="D70" s="7">
        <f>IFERROR(IF(OR(PRECIOS!D70="",PRECIOS!D69=""),"",PRECIOS!D70/PRECIOS!D69-1),"")</f>
        <v>0.005247807147</v>
      </c>
      <c r="E70" s="7">
        <f>IFERROR(IF(OR(PRECIOS!E70="",PRECIOS!E69=""),"",PRECIOS!E70/PRECIOS!E69-1),"")</f>
        <v>-0.01167751945</v>
      </c>
      <c r="F70" s="7">
        <f>IFERROR(IF(OR(PRECIOS!F70="",PRECIOS!F69=""),"",PRECIOS!F70/PRECIOS!F69-1),"")</f>
        <v>-0.0350877193</v>
      </c>
      <c r="G70" s="7">
        <f>IFERROR(IF(OR(PRECIOS!G70="",PRECIOS!G69=""),"",PRECIOS!G70/PRECIOS!G69-1),"")</f>
        <v>-0.01333886938</v>
      </c>
      <c r="H70" s="7">
        <f>IFERROR(IF(OR(PRECIOS!H70="",PRECIOS!H69=""),"",PRECIOS!H70/PRECIOS!H69-1),"")</f>
        <v>-0.02643827965</v>
      </c>
      <c r="I70" s="7">
        <f>IFERROR(IF(OR(PRECIOS!I70="",PRECIOS!I69=""),"",PRECIOS!I70/PRECIOS!I69-1),"")</f>
        <v>0.008110419375</v>
      </c>
    </row>
    <row r="71" ht="15.75" customHeight="1">
      <c r="A71" s="4">
        <f>IF(PRECIOS!A71="","",PRECIOS!A71)</f>
        <v>44511</v>
      </c>
      <c r="B71" s="7">
        <f>IFERROR(IF(OR(PRECIOS!B71="",PRECIOS!B70=""),"",PRECIOS!B71/PRECIOS!B70-1),"")</f>
        <v>0.001873969479</v>
      </c>
      <c r="C71" s="7">
        <f>IFERROR(IF(OR(PRECIOS!C71="",PRECIOS!C70=""),"",PRECIOS!C71/PRECIOS!C70-1),"")</f>
        <v>-0.01269464742</v>
      </c>
      <c r="D71" s="7">
        <f>IFERROR(IF(OR(PRECIOS!D71="",PRECIOS!D70=""),"",PRECIOS!D71/PRECIOS!D70-1),"")</f>
        <v>0.008148543949</v>
      </c>
      <c r="E71" s="7">
        <f>IFERROR(IF(OR(PRECIOS!E71="",PRECIOS!E70=""),"",PRECIOS!E71/PRECIOS!E70-1),"")</f>
        <v>-0.01134572959</v>
      </c>
      <c r="F71" s="7">
        <f>IFERROR(IF(OR(PRECIOS!F71="",PRECIOS!F70=""),"",PRECIOS!F71/PRECIOS!F70-1),"")</f>
        <v>-0.02272727273</v>
      </c>
      <c r="G71" s="7">
        <f>IFERROR(IF(OR(PRECIOS!G71="",PRECIOS!G70=""),"",PRECIOS!G71/PRECIOS!G70-1),"")</f>
        <v>0.02631050183</v>
      </c>
      <c r="H71" s="7">
        <f>IFERROR(IF(OR(PRECIOS!H71="",PRECIOS!H70=""),"",PRECIOS!H71/PRECIOS!H70-1),"")</f>
        <v>0.003828892063</v>
      </c>
      <c r="I71" s="7">
        <f>IFERROR(IF(OR(PRECIOS!I71="",PRECIOS!I70=""),"",PRECIOS!I71/PRECIOS!I70-1),"")</f>
        <v>-0.006111071524</v>
      </c>
    </row>
    <row r="72" ht="15.75" customHeight="1">
      <c r="A72" s="4">
        <f>IF(PRECIOS!A72="","",PRECIOS!A72)</f>
        <v>44512</v>
      </c>
      <c r="B72" s="7">
        <f>IFERROR(IF(OR(PRECIOS!B72="",PRECIOS!B71=""),"",PRECIOS!B72/PRECIOS!B71-1),"")</f>
        <v>-0.007625739011</v>
      </c>
      <c r="C72" s="7">
        <f>IFERROR(IF(OR(PRECIOS!C72="",PRECIOS!C71=""),"",PRECIOS!C72/PRECIOS!C71-1),"")</f>
        <v>-0.007997640696</v>
      </c>
      <c r="D72" s="7">
        <f>IFERROR(IF(OR(PRECIOS!D72="",PRECIOS!D71=""),"",PRECIOS!D72/PRECIOS!D71-1),"")</f>
        <v>0.002591758315</v>
      </c>
      <c r="E72" s="7">
        <f>IFERROR(IF(OR(PRECIOS!E72="",PRECIOS!E71=""),"",PRECIOS!E72/PRECIOS!E71-1),"")</f>
        <v>0.01106693692</v>
      </c>
      <c r="F72" s="7">
        <f>IFERROR(IF(OR(PRECIOS!F72="",PRECIOS!F71=""),"",PRECIOS!F72/PRECIOS!F71-1),"")</f>
        <v>0</v>
      </c>
      <c r="G72" s="7">
        <f>IFERROR(IF(OR(PRECIOS!G72="",PRECIOS!G71=""),"",PRECIOS!G72/PRECIOS!G71-1),"")</f>
        <v>-0.008654922372</v>
      </c>
      <c r="H72" s="7">
        <f>IFERROR(IF(OR(PRECIOS!H72="",PRECIOS!H71=""),"",PRECIOS!H72/PRECIOS!H71-1),"")</f>
        <v>-0.002411797133</v>
      </c>
      <c r="I72" s="7">
        <f>IFERROR(IF(OR(PRECIOS!I72="",PRECIOS!I71=""),"",PRECIOS!I72/PRECIOS!I71-1),"")</f>
        <v>-0.0006111092144</v>
      </c>
    </row>
    <row r="73" ht="15.75" customHeight="1">
      <c r="A73" s="4">
        <f>IF(PRECIOS!A73="","",PRECIOS!A73)</f>
        <v>44515</v>
      </c>
      <c r="B73" s="7">
        <f>IFERROR(IF(OR(PRECIOS!B73="",PRECIOS!B72=""),"",PRECIOS!B73/PRECIOS!B72-1),"")</f>
        <v>0.008619425719</v>
      </c>
      <c r="C73" s="7">
        <f>IFERROR(IF(OR(PRECIOS!C73="",PRECIOS!C72=""),"",PRECIOS!C73/PRECIOS!C72-1),"")</f>
        <v>0.004993474723</v>
      </c>
      <c r="D73" s="7">
        <f>IFERROR(IF(OR(PRECIOS!D73="",PRECIOS!D72=""),"",PRECIOS!D73/PRECIOS!D72-1),"")</f>
        <v>0.04121820219</v>
      </c>
      <c r="E73" s="7">
        <f>IFERROR(IF(OR(PRECIOS!E73="",PRECIOS!E72=""),"",PRECIOS!E73/PRECIOS!E72-1),"")</f>
        <v>0.005443156198</v>
      </c>
      <c r="F73" s="7">
        <f>IFERROR(IF(OR(PRECIOS!F73="",PRECIOS!F72=""),"",PRECIOS!F73/PRECIOS!F72-1),"")</f>
        <v>-0.01162790698</v>
      </c>
      <c r="G73" s="7">
        <f>IFERROR(IF(OR(PRECIOS!G73="",PRECIOS!G72=""),"",PRECIOS!G73/PRECIOS!G72-1),"")</f>
        <v>-0.001039609494</v>
      </c>
      <c r="H73" s="7">
        <f>IFERROR(IF(OR(PRECIOS!H73="",PRECIOS!H72=""),"",PRECIOS!H73/PRECIOS!H72-1),"")</f>
        <v>0.008333705797</v>
      </c>
      <c r="I73" s="7">
        <f>IFERROR(IF(OR(PRECIOS!I73="",PRECIOS!I72=""),"",PRECIOS!I73/PRECIOS!I72-1),"")</f>
        <v>0.01319641582</v>
      </c>
    </row>
    <row r="74" ht="15.75" customHeight="1">
      <c r="A74" s="4">
        <f>IF(PRECIOS!A74="","",PRECIOS!A74)</f>
        <v>44516</v>
      </c>
      <c r="B74" s="7">
        <f>IFERROR(IF(OR(PRECIOS!B74="",PRECIOS!B73=""),"",PRECIOS!B74/PRECIOS!B73-1),"")</f>
        <v>0.01009954178</v>
      </c>
      <c r="C74" s="7">
        <f>IFERROR(IF(OR(PRECIOS!C74="",PRECIOS!C73=""),"",PRECIOS!C74/PRECIOS!C73-1),"")</f>
        <v>-0.003215509317</v>
      </c>
      <c r="D74" s="7">
        <f>IFERROR(IF(OR(PRECIOS!D74="",PRECIOS!D73=""),"",PRECIOS!D74/PRECIOS!D73-1),"")</f>
        <v>-0.0009951208615</v>
      </c>
      <c r="E74" s="7">
        <f>IFERROR(IF(OR(PRECIOS!E74="",PRECIOS!E73=""),"",PRECIOS!E74/PRECIOS!E73-1),"")</f>
        <v>0.006171013395</v>
      </c>
      <c r="F74" s="7">
        <f>IFERROR(IF(OR(PRECIOS!F74="",PRECIOS!F73=""),"",PRECIOS!F74/PRECIOS!F73-1),"")</f>
        <v>-0.05411764706</v>
      </c>
      <c r="G74" s="7">
        <f>IFERROR(IF(OR(PRECIOS!G74="",PRECIOS!G73=""),"",PRECIOS!G74/PRECIOS!G73-1),"")</f>
        <v>-0.01365954098</v>
      </c>
      <c r="H74" s="7">
        <f>IFERROR(IF(OR(PRECIOS!H74="",PRECIOS!H73=""),"",PRECIOS!H74/PRECIOS!H73-1),"")</f>
        <v>0.00155141844</v>
      </c>
      <c r="I74" s="7">
        <f>IFERROR(IF(OR(PRECIOS!I74="",PRECIOS!I73=""),"",PRECIOS!I74/PRECIOS!I73-1),"")</f>
        <v>-0.004730372159</v>
      </c>
    </row>
    <row r="75" ht="15.75" customHeight="1">
      <c r="A75" s="4">
        <f>IF(PRECIOS!A75="","",PRECIOS!A75)</f>
        <v>44517</v>
      </c>
      <c r="B75" s="7">
        <f>IFERROR(IF(OR(PRECIOS!B75="",PRECIOS!B74=""),"",PRECIOS!B75/PRECIOS!B74-1),"")</f>
        <v>-0.01091638817</v>
      </c>
      <c r="C75" s="7">
        <f>IFERROR(IF(OR(PRECIOS!C75="",PRECIOS!C74=""),"",PRECIOS!C75/PRECIOS!C74-1),"")</f>
        <v>0.002753065762</v>
      </c>
      <c r="D75" s="7">
        <f>IFERROR(IF(OR(PRECIOS!D75="",PRECIOS!D74=""),"",PRECIOS!D75/PRECIOS!D74-1),"")</f>
        <v>-0.01171956395</v>
      </c>
      <c r="E75" s="7">
        <f>IFERROR(IF(OR(PRECIOS!E75="",PRECIOS!E74=""),"",PRECIOS!E75/PRECIOS!E74-1),"")</f>
        <v>-0.004051535055</v>
      </c>
      <c r="F75" s="7">
        <f>IFERROR(IF(OR(PRECIOS!F75="",PRECIOS!F74=""),"",PRECIOS!F75/PRECIOS!F74-1),"")</f>
        <v>-0.01243781095</v>
      </c>
      <c r="G75" s="7">
        <f>IFERROR(IF(OR(PRECIOS!G75="",PRECIOS!G74=""),"",PRECIOS!G75/PRECIOS!G74-1),"")</f>
        <v>-0.0002911934773</v>
      </c>
      <c r="H75" s="7">
        <f>IFERROR(IF(OR(PRECIOS!H75="",PRECIOS!H74=""),"",PRECIOS!H75/PRECIOS!H74-1),"")</f>
        <v>-0.01530909896</v>
      </c>
      <c r="I75" s="7">
        <f>IFERROR(IF(OR(PRECIOS!I75="",PRECIOS!I74=""),"",PRECIOS!I75/PRECIOS!I74-1),"")</f>
        <v>0.0009112743952</v>
      </c>
    </row>
    <row r="76" ht="15.75" customHeight="1">
      <c r="A76" s="4">
        <f>IF(PRECIOS!A76="","",PRECIOS!A76)</f>
        <v>44518</v>
      </c>
      <c r="B76" s="7">
        <f>IFERROR(IF(OR(PRECIOS!B76="",PRECIOS!B75=""),"",PRECIOS!B76/PRECIOS!B75-1),"")</f>
        <v>-0.01088005587</v>
      </c>
      <c r="C76" s="7">
        <f>IFERROR(IF(OR(PRECIOS!C76="",PRECIOS!C75=""),"",PRECIOS!C76/PRECIOS!C75-1),"")</f>
        <v>-0.008694663483</v>
      </c>
      <c r="D76" s="7">
        <f>IFERROR(IF(OR(PRECIOS!D76="",PRECIOS!D75=""),"",PRECIOS!D76/PRECIOS!D75-1),"")</f>
        <v>-0.00250952643</v>
      </c>
      <c r="E76" s="7">
        <f>IFERROR(IF(OR(PRECIOS!E76="",PRECIOS!E75=""),"",PRECIOS!E76/PRECIOS!E75-1),"")</f>
        <v>0.001269410167</v>
      </c>
      <c r="F76" s="7">
        <f>IFERROR(IF(OR(PRECIOS!F76="",PRECIOS!F75=""),"",PRECIOS!F76/PRECIOS!F75-1),"")</f>
        <v>0.03274559194</v>
      </c>
      <c r="G76" s="7">
        <f>IFERROR(IF(OR(PRECIOS!G76="",PRECIOS!G75=""),"",PRECIOS!G76/PRECIOS!G75-1),"")</f>
        <v>-0.008537858613</v>
      </c>
      <c r="H76" s="7">
        <f>IFERROR(IF(OR(PRECIOS!H76="",PRECIOS!H75=""),"",PRECIOS!H76/PRECIOS!H75-1),"")</f>
        <v>-0.005932826673</v>
      </c>
      <c r="I76" s="7">
        <f>IFERROR(IF(OR(PRECIOS!I76="",PRECIOS!I75=""),"",PRECIOS!I76/PRECIOS!I75-1),"")</f>
        <v>-0.005218980573</v>
      </c>
    </row>
    <row r="77" ht="15.75" customHeight="1">
      <c r="A77" s="4">
        <f>IF(PRECIOS!A77="","",PRECIOS!A77)</f>
        <v>44519</v>
      </c>
      <c r="B77" s="7">
        <f>IFERROR(IF(OR(PRECIOS!B77="",PRECIOS!B76=""),"",PRECIOS!B77/PRECIOS!B76-1),"")</f>
        <v>-0.04622339756</v>
      </c>
      <c r="C77" s="7">
        <f>IFERROR(IF(OR(PRECIOS!C77="",PRECIOS!C76=""),"",PRECIOS!C77/PRECIOS!C76-1),"")</f>
        <v>0.01688571486</v>
      </c>
      <c r="D77" s="7">
        <f>IFERROR(IF(OR(PRECIOS!D77="",PRECIOS!D76=""),"",PRECIOS!D77/PRECIOS!D76-1),"")</f>
        <v>-0.004944038026</v>
      </c>
      <c r="E77" s="7">
        <f>IFERROR(IF(OR(PRECIOS!E77="",PRECIOS!E76=""),"",PRECIOS!E77/PRECIOS!E76-1),"")</f>
        <v>-0.005914438187</v>
      </c>
      <c r="F77" s="7">
        <f>IFERROR(IF(OR(PRECIOS!F77="",PRECIOS!F76=""),"",PRECIOS!F77/PRECIOS!F76-1),"")</f>
        <v>-0.05609756098</v>
      </c>
      <c r="G77" s="7">
        <f>IFERROR(IF(OR(PRECIOS!G77="",PRECIOS!G76=""),"",PRECIOS!G77/PRECIOS!G76-1),"")</f>
        <v>-0.01966844083</v>
      </c>
      <c r="H77" s="7">
        <f>IFERROR(IF(OR(PRECIOS!H77="",PRECIOS!H76=""),"",PRECIOS!H77/PRECIOS!H76-1),"")</f>
        <v>-0.03902781888</v>
      </c>
      <c r="I77" s="7">
        <f>IFERROR(IF(OR(PRECIOS!I77="",PRECIOS!I76=""),"",PRECIOS!I77/PRECIOS!I76-1),"")</f>
        <v>0.005681856844</v>
      </c>
    </row>
    <row r="78" ht="15.75" customHeight="1">
      <c r="A78" s="4">
        <f>IF(PRECIOS!A78="","",PRECIOS!A78)</f>
        <v>44522</v>
      </c>
      <c r="B78" s="7">
        <f>IFERROR(IF(OR(PRECIOS!B78="",PRECIOS!B77=""),"",PRECIOS!B78/PRECIOS!B77-1),"")</f>
        <v>0.0138496655</v>
      </c>
      <c r="C78" s="7">
        <f>IFERROR(IF(OR(PRECIOS!C78="",PRECIOS!C77=""),"",PRECIOS!C78/PRECIOS!C77-1),"")</f>
        <v>0.007173910519</v>
      </c>
      <c r="D78" s="7">
        <f>IFERROR(IF(OR(PRECIOS!D78="",PRECIOS!D77=""),"",PRECIOS!D78/PRECIOS!D77-1),"")</f>
        <v>0.01149669451</v>
      </c>
      <c r="E78" s="7">
        <f>IFERROR(IF(OR(PRECIOS!E78="",PRECIOS!E77=""),"",PRECIOS!E78/PRECIOS!E77-1),"")</f>
        <v>0.0001186366279</v>
      </c>
      <c r="F78" s="7">
        <f>IFERROR(IF(OR(PRECIOS!F78="",PRECIOS!F77=""),"",PRECIOS!F78/PRECIOS!F77-1),"")</f>
        <v>-0.02842377261</v>
      </c>
      <c r="G78" s="7">
        <f>IFERROR(IF(OR(PRECIOS!G78="",PRECIOS!G77=""),"",PRECIOS!G78/PRECIOS!G77-1),"")</f>
        <v>0.006565735191</v>
      </c>
      <c r="H78" s="7">
        <f>IFERROR(IF(OR(PRECIOS!H78="",PRECIOS!H77=""),"",PRECIOS!H78/PRECIOS!H77-1),"")</f>
        <v>0.01775502261</v>
      </c>
      <c r="I78" s="7">
        <f>IFERROR(IF(OR(PRECIOS!I78="",PRECIOS!I77=""),"",PRECIOS!I78/PRECIOS!I77-1),"")</f>
        <v>0.006092940173</v>
      </c>
    </row>
    <row r="79" ht="15.75" customHeight="1">
      <c r="A79" s="4">
        <f>IF(PRECIOS!A79="","",PRECIOS!A79)</f>
        <v>44523</v>
      </c>
      <c r="B79" s="7">
        <f>IFERROR(IF(OR(PRECIOS!B79="",PRECIOS!B78=""),"",PRECIOS!B79/PRECIOS!B78-1),"")</f>
        <v>0.02633384829</v>
      </c>
      <c r="C79" s="7">
        <f>IFERROR(IF(OR(PRECIOS!C79="",PRECIOS!C78=""),"",PRECIOS!C79/PRECIOS!C78-1),"")</f>
        <v>-0.001744059657</v>
      </c>
      <c r="D79" s="7">
        <f>IFERROR(IF(OR(PRECIOS!D79="",PRECIOS!D78=""),"",PRECIOS!D79/PRECIOS!D78-1),"")</f>
        <v>0.01675963346</v>
      </c>
      <c r="E79" s="7">
        <f>IFERROR(IF(OR(PRECIOS!E79="",PRECIOS!E78=""),"",PRECIOS!E79/PRECIOS!E78-1),"")</f>
        <v>0.001459057425</v>
      </c>
      <c r="F79" s="7">
        <f>IFERROR(IF(OR(PRECIOS!F79="",PRECIOS!F78=""),"",PRECIOS!F79/PRECIOS!F78-1),"")</f>
        <v>0.005319148936</v>
      </c>
      <c r="G79" s="7">
        <f>IFERROR(IF(OR(PRECIOS!G79="",PRECIOS!G78=""),"",PRECIOS!G79/PRECIOS!G78-1),"")</f>
        <v>0.01736090973</v>
      </c>
      <c r="H79" s="7">
        <f>IFERROR(IF(OR(PRECIOS!H79="",PRECIOS!H78=""),"",PRECIOS!H79/PRECIOS!H78-1),"")</f>
        <v>0.03072991964</v>
      </c>
      <c r="I79" s="7">
        <f>IFERROR(IF(OR(PRECIOS!I79="",PRECIOS!I78=""),"",PRECIOS!I79/PRECIOS!I78-1),"")</f>
        <v>0.001045768337</v>
      </c>
    </row>
    <row r="80" ht="15.75" customHeight="1">
      <c r="A80" s="4">
        <f>IF(PRECIOS!A80="","",PRECIOS!A80)</f>
        <v>44524</v>
      </c>
      <c r="B80" s="7">
        <f>IFERROR(IF(OR(PRECIOS!B80="",PRECIOS!B79=""),"",PRECIOS!B80/PRECIOS!B79-1),"")</f>
        <v>0.005541703584</v>
      </c>
      <c r="C80" s="7">
        <f>IFERROR(IF(OR(PRECIOS!C80="",PRECIOS!C79=""),"",PRECIOS!C80/PRECIOS!C79-1),"")</f>
        <v>0.001427051283</v>
      </c>
      <c r="D80" s="7">
        <f>IFERROR(IF(OR(PRECIOS!D80="",PRECIOS!D79=""),"",PRECIOS!D80/PRECIOS!D79-1),"")</f>
        <v>0</v>
      </c>
      <c r="E80" s="7">
        <f>IFERROR(IF(OR(PRECIOS!E80="",PRECIOS!E79=""),"",PRECIOS!E80/PRECIOS!E79-1),"")</f>
        <v>-0.009381218611</v>
      </c>
      <c r="F80" s="7">
        <f>IFERROR(IF(OR(PRECIOS!F80="",PRECIOS!F79=""),"",PRECIOS!F80/PRECIOS!F79-1),"")</f>
        <v>-0.03439153439</v>
      </c>
      <c r="G80" s="7">
        <f>IFERROR(IF(OR(PRECIOS!G80="",PRECIOS!G79=""),"",PRECIOS!G80/PRECIOS!G79-1),"")</f>
        <v>0.01677580696</v>
      </c>
      <c r="H80" s="7">
        <f>IFERROR(IF(OR(PRECIOS!H80="",PRECIOS!H79=""),"",PRECIOS!H80/PRECIOS!H79-1),"")</f>
        <v>0.00973676485</v>
      </c>
      <c r="I80" s="7">
        <f>IFERROR(IF(OR(PRECIOS!I80="",PRECIOS!I79=""),"",PRECIOS!I80/PRECIOS!I79-1),"")</f>
        <v>0.0005710446758</v>
      </c>
    </row>
    <row r="81" ht="15.75" customHeight="1">
      <c r="A81" s="4">
        <f>IF(PRECIOS!A81="","",PRECIOS!A81)</f>
        <v>44526</v>
      </c>
      <c r="B81" s="7">
        <f>IFERROR(IF(OR(PRECIOS!B81="",PRECIOS!B80=""),"",PRECIOS!B81/PRECIOS!B80-1),"")</f>
        <v>-0.03513714032</v>
      </c>
      <c r="C81" s="7">
        <f>IFERROR(IF(OR(PRECIOS!C81="",PRECIOS!C80=""),"",PRECIOS!C81/PRECIOS!C80-1),"")</f>
        <v>-0.01679543994</v>
      </c>
      <c r="D81" s="7">
        <f>IFERROR(IF(OR(PRECIOS!D81="",PRECIOS!D80=""),"",PRECIOS!D81/PRECIOS!D80-1),"")</f>
        <v>-0.0223422316</v>
      </c>
      <c r="E81" s="7">
        <f>IFERROR(IF(OR(PRECIOS!E81="",PRECIOS!E80=""),"",PRECIOS!E81/PRECIOS!E80-1),"")</f>
        <v>-0.02011191888</v>
      </c>
      <c r="F81" s="7">
        <f>IFERROR(IF(OR(PRECIOS!F81="",PRECIOS!F80=""),"",PRECIOS!F81/PRECIOS!F80-1),"")</f>
        <v>-0.0602739726</v>
      </c>
      <c r="G81" s="7">
        <f>IFERROR(IF(OR(PRECIOS!G81="",PRECIOS!G80=""),"",PRECIOS!G81/PRECIOS!G80-1),"")</f>
        <v>-0.01088098202</v>
      </c>
      <c r="H81" s="7">
        <f>IFERROR(IF(OR(PRECIOS!H81="",PRECIOS!H80=""),"",PRECIOS!H81/PRECIOS!H80-1),"")</f>
        <v>-0.0402351763</v>
      </c>
      <c r="I81" s="7">
        <f>IFERROR(IF(OR(PRECIOS!I81="",PRECIOS!I80=""),"",PRECIOS!I81/PRECIOS!I80-1),"")</f>
        <v>-0.01561755128</v>
      </c>
    </row>
    <row r="82" ht="15.75" customHeight="1">
      <c r="A82" s="4">
        <f>IF(PRECIOS!A82="","",PRECIOS!A82)</f>
        <v>44529</v>
      </c>
      <c r="B82" s="7">
        <f>IFERROR(IF(OR(PRECIOS!B82="",PRECIOS!B81=""),"",PRECIOS!B82/PRECIOS!B81-1),"")</f>
        <v>0.005564184171</v>
      </c>
      <c r="C82" s="7">
        <f>IFERROR(IF(OR(PRECIOS!C82="",PRECIOS!C81=""),"",PRECIOS!C82/PRECIOS!C81-1),"")</f>
        <v>0.0125700594</v>
      </c>
      <c r="D82" s="7">
        <f>IFERROR(IF(OR(PRECIOS!D82="",PRECIOS!D81=""),"",PRECIOS!D82/PRECIOS!D81-1),"")</f>
        <v>-0.00342148113</v>
      </c>
      <c r="E82" s="7">
        <f>IFERROR(IF(OR(PRECIOS!E82="",PRECIOS!E81=""),"",PRECIOS!E82/PRECIOS!E81-1),"")</f>
        <v>-0.0007870652837</v>
      </c>
      <c r="F82" s="7">
        <f>IFERROR(IF(OR(PRECIOS!F82="",PRECIOS!F81=""),"",PRECIOS!F82/PRECIOS!F81-1),"")</f>
        <v>-0.01166180758</v>
      </c>
      <c r="G82" s="7">
        <f>IFERROR(IF(OR(PRECIOS!G82="",PRECIOS!G81=""),"",PRECIOS!G82/PRECIOS!G81-1),"")</f>
        <v>-0.008113521276</v>
      </c>
      <c r="H82" s="7">
        <f>IFERROR(IF(OR(PRECIOS!H82="",PRECIOS!H81=""),"",PRECIOS!H82/PRECIOS!H81-1),"")</f>
        <v>0.005764052508</v>
      </c>
      <c r="I82" s="7">
        <f>IFERROR(IF(OR(PRECIOS!I82="",PRECIOS!I81=""),"",PRECIOS!I82/PRECIOS!I81-1),"")</f>
        <v>0.01483196802</v>
      </c>
    </row>
    <row r="83" ht="15.75" customHeight="1">
      <c r="A83" s="4">
        <f>IF(PRECIOS!A83="","",PRECIOS!A83)</f>
        <v>44530</v>
      </c>
      <c r="B83" s="7">
        <f>IFERROR(IF(OR(PRECIOS!B83="",PRECIOS!B82=""),"",PRECIOS!B83/PRECIOS!B82-1),"")</f>
        <v>-0.02841646649</v>
      </c>
      <c r="C83" s="7">
        <f>IFERROR(IF(OR(PRECIOS!C83="",PRECIOS!C82=""),"",PRECIOS!C83/PRECIOS!C82-1),"")</f>
        <v>-0.02737139614</v>
      </c>
      <c r="D83" s="7">
        <f>IFERROR(IF(OR(PRECIOS!D83="",PRECIOS!D82=""),"",PRECIOS!D83/PRECIOS!D82-1),"")</f>
        <v>-0.01051167504</v>
      </c>
      <c r="E83" s="7">
        <f>IFERROR(IF(OR(PRECIOS!E83="",PRECIOS!E82=""),"",PRECIOS!E83/PRECIOS!E82-1),"")</f>
        <v>-0.03176997148</v>
      </c>
      <c r="F83" s="7">
        <f>IFERROR(IF(OR(PRECIOS!F83="",PRECIOS!F82=""),"",PRECIOS!F83/PRECIOS!F82-1),"")</f>
        <v>0.05604719764</v>
      </c>
      <c r="G83" s="7">
        <f>IFERROR(IF(OR(PRECIOS!G83="",PRECIOS!G82=""),"",PRECIOS!G83/PRECIOS!G82-1),"")</f>
        <v>-0.04355495613</v>
      </c>
      <c r="H83" s="7">
        <f>IFERROR(IF(OR(PRECIOS!H83="",PRECIOS!H82=""),"",PRECIOS!H83/PRECIOS!H82-1),"")</f>
        <v>-0.02344279439</v>
      </c>
      <c r="I83" s="7">
        <f>IFERROR(IF(OR(PRECIOS!I83="",PRECIOS!I82=""),"",PRECIOS!I83/PRECIOS!I82-1),"")</f>
        <v>-0.02923711299</v>
      </c>
    </row>
    <row r="84" ht="15.75" customHeight="1">
      <c r="A84" s="4">
        <f>IF(PRECIOS!A84="","",PRECIOS!A84)</f>
        <v>44531</v>
      </c>
      <c r="B84" s="7">
        <f>IFERROR(IF(OR(PRECIOS!B84="",PRECIOS!B83=""),"",PRECIOS!B84/PRECIOS!B83-1),"")</f>
        <v>-0.0008478566427</v>
      </c>
      <c r="C84" s="7">
        <f>IFERROR(IF(OR(PRECIOS!C84="",PRECIOS!C83=""),"",PRECIOS!C84/PRECIOS!C83-1),"")</f>
        <v>0.0006448034625</v>
      </c>
      <c r="D84" s="7">
        <f>IFERROR(IF(OR(PRECIOS!D84="",PRECIOS!D83=""),"",PRECIOS!D84/PRECIOS!D83-1),"")</f>
        <v>0.03375119532</v>
      </c>
      <c r="E84" s="7">
        <f>IFERROR(IF(OR(PRECIOS!E84="",PRECIOS!E83=""),"",PRECIOS!E84/PRECIOS!E83-1),"")</f>
        <v>-0.003664043187</v>
      </c>
      <c r="F84" s="7">
        <f>IFERROR(IF(OR(PRECIOS!F84="",PRECIOS!F83=""),"",PRECIOS!F84/PRECIOS!F83-1),"")</f>
        <v>0.0251396648</v>
      </c>
      <c r="G84" s="7">
        <f>IFERROR(IF(OR(PRECIOS!G84="",PRECIOS!G83=""),"",PRECIOS!G84/PRECIOS!G83-1),"")</f>
        <v>-0.005600678774</v>
      </c>
      <c r="H84" s="7">
        <f>IFERROR(IF(OR(PRECIOS!H84="",PRECIOS!H83=""),"",PRECIOS!H84/PRECIOS!H83-1),"")</f>
        <v>-0.01060202359</v>
      </c>
      <c r="I84" s="7">
        <f>IFERROR(IF(OR(PRECIOS!I84="",PRECIOS!I83=""),"",PRECIOS!I84/PRECIOS!I83-1),"")</f>
        <v>0.001824369</v>
      </c>
    </row>
    <row r="85" ht="15.75" customHeight="1">
      <c r="A85" s="4">
        <f>IF(PRECIOS!A85="","",PRECIOS!A85)</f>
        <v>44532</v>
      </c>
      <c r="B85" s="7">
        <f>IFERROR(IF(OR(PRECIOS!B85="",PRECIOS!B84=""),"",PRECIOS!B85/PRECIOS!B84-1),"")</f>
        <v>0.02492866222</v>
      </c>
      <c r="C85" s="7">
        <f>IFERROR(IF(OR(PRECIOS!C85="",PRECIOS!C84=""),"",PRECIOS!C85/PRECIOS!C84-1),"")</f>
        <v>0.01422754206</v>
      </c>
      <c r="D85" s="7">
        <f>IFERROR(IF(OR(PRECIOS!D85="",PRECIOS!D84=""),"",PRECIOS!D85/PRECIOS!D84-1),"")</f>
        <v>0.01995652833</v>
      </c>
      <c r="E85" s="7">
        <f>IFERROR(IF(OR(PRECIOS!E85="",PRECIOS!E84=""),"",PRECIOS!E85/PRECIOS!E84-1),"")</f>
        <v>0.03194566642</v>
      </c>
      <c r="F85" s="7">
        <f>IFERROR(IF(OR(PRECIOS!F85="",PRECIOS!F84=""),"",PRECIOS!F85/PRECIOS!F84-1),"")</f>
        <v>0.07901907357</v>
      </c>
      <c r="G85" s="7">
        <f>IFERROR(IF(OR(PRECIOS!G85="",PRECIOS!G84=""),"",PRECIOS!G85/PRECIOS!G84-1),"")</f>
        <v>0.02288941855</v>
      </c>
      <c r="H85" s="7">
        <f>IFERROR(IF(OR(PRECIOS!H85="",PRECIOS!H84=""),"",PRECIOS!H85/PRECIOS!H84-1),"")</f>
        <v>0.02904693663</v>
      </c>
      <c r="I85" s="7">
        <f>IFERROR(IF(OR(PRECIOS!I85="",PRECIOS!I84=""),"",PRECIOS!I85/PRECIOS!I84-1),"")</f>
        <v>0.01276806015</v>
      </c>
    </row>
    <row r="86" ht="15.75" customHeight="1">
      <c r="A86" s="4">
        <f>IF(PRECIOS!A86="","",PRECIOS!A86)</f>
        <v>44533</v>
      </c>
      <c r="B86" s="7">
        <f>IFERROR(IF(OR(PRECIOS!B86="",PRECIOS!B85=""),"",PRECIOS!B86/PRECIOS!B85-1),"")</f>
        <v>-0.006369005305</v>
      </c>
      <c r="C86" s="7">
        <f>IFERROR(IF(OR(PRECIOS!C86="",PRECIOS!C85=""),"",PRECIOS!C86/PRECIOS!C85-1),"")</f>
        <v>0.01322832481</v>
      </c>
      <c r="D86" s="7">
        <f>IFERROR(IF(OR(PRECIOS!D86="",PRECIOS!D85=""),"",PRECIOS!D86/PRECIOS!D85-1),"")</f>
        <v>-0.01196364321</v>
      </c>
      <c r="E86" s="7">
        <f>IFERROR(IF(OR(PRECIOS!E86="",PRECIOS!E85=""),"",PRECIOS!E86/PRECIOS!E85-1),"")</f>
        <v>-0.001085663113</v>
      </c>
      <c r="F86" s="7">
        <f>IFERROR(IF(OR(PRECIOS!F86="",PRECIOS!F85=""),"",PRECIOS!F86/PRECIOS!F85-1),"")</f>
        <v>-0.03535353535</v>
      </c>
      <c r="G86" s="7">
        <f>IFERROR(IF(OR(PRECIOS!G86="",PRECIOS!G85=""),"",PRECIOS!G86/PRECIOS!G85-1),"")</f>
        <v>-0.005130233524</v>
      </c>
      <c r="H86" s="7">
        <f>IFERROR(IF(OR(PRECIOS!H86="",PRECIOS!H85=""),"",PRECIOS!H86/PRECIOS!H85-1),"")</f>
        <v>-0.007901380007</v>
      </c>
      <c r="I86" s="7">
        <f>IFERROR(IF(OR(PRECIOS!I86="",PRECIOS!I85=""),"",PRECIOS!I86/PRECIOS!I85-1),"")</f>
        <v>0.01003108271</v>
      </c>
    </row>
    <row r="87" ht="15.75" customHeight="1">
      <c r="A87" s="4">
        <f>IF(PRECIOS!A87="","",PRECIOS!A87)</f>
        <v>44536</v>
      </c>
      <c r="B87" s="7">
        <f>IFERROR(IF(OR(PRECIOS!B87="",PRECIOS!B86=""),"",PRECIOS!B87/PRECIOS!B86-1),"")</f>
        <v>0.01134270049</v>
      </c>
      <c r="C87" s="7">
        <f>IFERROR(IF(OR(PRECIOS!C87="",PRECIOS!C86=""),"",PRECIOS!C87/PRECIOS!C86-1),"")</f>
        <v>0.02912242271</v>
      </c>
      <c r="D87" s="7">
        <f>IFERROR(IF(OR(PRECIOS!D87="",PRECIOS!D86=""),"",PRECIOS!D87/PRECIOS!D86-1),"")</f>
        <v>0.01014225236</v>
      </c>
      <c r="E87" s="7">
        <f>IFERROR(IF(OR(PRECIOS!E87="",PRECIOS!E86=""),"",PRECIOS!E87/PRECIOS!E86-1),"")</f>
        <v>0.02035528101</v>
      </c>
      <c r="F87" s="7">
        <f>IFERROR(IF(OR(PRECIOS!F87="",PRECIOS!F86=""),"",PRECIOS!F87/PRECIOS!F86-1),"")</f>
        <v>0.0445026178</v>
      </c>
      <c r="G87" s="7">
        <f>IFERROR(IF(OR(PRECIOS!G87="",PRECIOS!G86=""),"",PRECIOS!G87/PRECIOS!G86-1),"")</f>
        <v>0.007738969213</v>
      </c>
      <c r="H87" s="7">
        <f>IFERROR(IF(OR(PRECIOS!H87="",PRECIOS!H86=""),"",PRECIOS!H87/PRECIOS!H86-1),"")</f>
        <v>0.01488536993</v>
      </c>
      <c r="I87" s="7">
        <f>IFERROR(IF(OR(PRECIOS!I87="",PRECIOS!I86=""),"",PRECIOS!I87/PRECIOS!I86-1),"")</f>
        <v>0.01526877434</v>
      </c>
    </row>
    <row r="88" ht="15.75" customHeight="1">
      <c r="A88" s="4">
        <f>IF(PRECIOS!A88="","",PRECIOS!A88)</f>
        <v>44537</v>
      </c>
      <c r="B88" s="7">
        <f>IFERROR(IF(OR(PRECIOS!B88="",PRECIOS!B87=""),"",PRECIOS!B88/PRECIOS!B87-1),"")</f>
        <v>0.01119522679</v>
      </c>
      <c r="C88" s="7">
        <f>IFERROR(IF(OR(PRECIOS!C88="",PRECIOS!C87=""),"",PRECIOS!C88/PRECIOS!C87-1),"")</f>
        <v>-0.002938831155</v>
      </c>
      <c r="D88" s="7">
        <f>IFERROR(IF(OR(PRECIOS!D88="",PRECIOS!D87=""),"",PRECIOS!D88/PRECIOS!D87-1),"")</f>
        <v>0.0004866276702</v>
      </c>
      <c r="E88" s="7">
        <f>IFERROR(IF(OR(PRECIOS!E88="",PRECIOS!E87=""),"",PRECIOS!E88/PRECIOS!E87-1),"")</f>
        <v>0.004441181426</v>
      </c>
      <c r="F88" s="7">
        <f>IFERROR(IF(OR(PRECIOS!F88="",PRECIOS!F87=""),"",PRECIOS!F88/PRECIOS!F87-1),"")</f>
        <v>0.05012531328</v>
      </c>
      <c r="G88" s="7">
        <f>IFERROR(IF(OR(PRECIOS!G88="",PRECIOS!G87=""),"",PRECIOS!G88/PRECIOS!G87-1),"")</f>
        <v>0.01607390481</v>
      </c>
      <c r="H88" s="7">
        <f>IFERROR(IF(OR(PRECIOS!H88="",PRECIOS!H87=""),"",PRECIOS!H88/PRECIOS!H87-1),"")</f>
        <v>0.02339623588</v>
      </c>
      <c r="I88" s="7">
        <f>IFERROR(IF(OR(PRECIOS!I88="",PRECIOS!I87=""),"",PRECIOS!I88/PRECIOS!I87-1),"")</f>
        <v>0.007453027626</v>
      </c>
    </row>
    <row r="89" ht="15.75" customHeight="1">
      <c r="A89" s="4">
        <f>IF(PRECIOS!A89="","",PRECIOS!A89)</f>
        <v>44538</v>
      </c>
      <c r="B89" s="7">
        <f>IFERROR(IF(OR(PRECIOS!B89="",PRECIOS!B88=""),"",PRECIOS!B89/PRECIOS!B88-1),"")</f>
        <v>0.00289012033</v>
      </c>
      <c r="C89" s="7">
        <f>IFERROR(IF(OR(PRECIOS!C89="",PRECIOS!C88=""),"",PRECIOS!C89/PRECIOS!C88-1),"")</f>
        <v>0.00434223171</v>
      </c>
      <c r="D89" s="7">
        <f>IFERROR(IF(OR(PRECIOS!D89="",PRECIOS!D88=""),"",PRECIOS!D89/PRECIOS!D88-1),"")</f>
        <v>0.01338567827</v>
      </c>
      <c r="E89" s="7">
        <f>IFERROR(IF(OR(PRECIOS!E89="",PRECIOS!E88=""),"",PRECIOS!E89/PRECIOS!E88-1),"")</f>
        <v>-0.003888323048</v>
      </c>
      <c r="F89" s="7">
        <f>IFERROR(IF(OR(PRECIOS!F89="",PRECIOS!F88=""),"",PRECIOS!F89/PRECIOS!F88-1),"")</f>
        <v>-0.00477326969</v>
      </c>
      <c r="G89" s="7">
        <f>IFERROR(IF(OR(PRECIOS!G89="",PRECIOS!G88=""),"",PRECIOS!G89/PRECIOS!G88-1),"")</f>
        <v>-0.0042980163</v>
      </c>
      <c r="H89" s="7">
        <f>IFERROR(IF(OR(PRECIOS!H89="",PRECIOS!H88=""),"",PRECIOS!H89/PRECIOS!H88-1),"")</f>
        <v>-0.000175573984</v>
      </c>
      <c r="I89" s="7">
        <f>IFERROR(IF(OR(PRECIOS!I89="",PRECIOS!I88=""),"",PRECIOS!I89/PRECIOS!I88-1),"")</f>
        <v>-0.001013907374</v>
      </c>
    </row>
    <row r="90" ht="15.75" customHeight="1">
      <c r="A90" s="4">
        <f>IF(PRECIOS!A90="","",PRECIOS!A90)</f>
        <v>44539</v>
      </c>
      <c r="B90" s="7">
        <f>IFERROR(IF(OR(PRECIOS!B90="",PRECIOS!B89=""),"",PRECIOS!B90/PRECIOS!B89-1),"")</f>
        <v>0.002575465981</v>
      </c>
      <c r="C90" s="7">
        <f>IFERROR(IF(OR(PRECIOS!C90="",PRECIOS!C89=""),"",PRECIOS!C90/PRECIOS!C89-1),"")</f>
        <v>-0.002779021996</v>
      </c>
      <c r="D90" s="7">
        <f>IFERROR(IF(OR(PRECIOS!D90="",PRECIOS!D89=""),"",PRECIOS!D90/PRECIOS!D89-1),"")</f>
        <v>-0.01507975767</v>
      </c>
      <c r="E90" s="7">
        <f>IFERROR(IF(OR(PRECIOS!E90="",PRECIOS!E89=""),"",PRECIOS!E90/PRECIOS!E89-1),"")</f>
        <v>-0.007873163279</v>
      </c>
      <c r="F90" s="7">
        <f>IFERROR(IF(OR(PRECIOS!F90="",PRECIOS!F89=""),"",PRECIOS!F90/PRECIOS!F89-1),"")</f>
        <v>-0.02398081535</v>
      </c>
      <c r="G90" s="7">
        <f>IFERROR(IF(OR(PRECIOS!G90="",PRECIOS!G89=""),"",PRECIOS!G90/PRECIOS!G89-1),"")</f>
        <v>-0.02239751044</v>
      </c>
      <c r="H90" s="7">
        <f>IFERROR(IF(OR(PRECIOS!H90="",PRECIOS!H89=""),"",PRECIOS!H90/PRECIOS!H89-1),"")</f>
        <v>-0.007681689727</v>
      </c>
      <c r="I90" s="7">
        <f>IFERROR(IF(OR(PRECIOS!I90="",PRECIOS!I89=""),"",PRECIOS!I90/PRECIOS!I89-1),"")</f>
        <v>-0.001295944883</v>
      </c>
    </row>
    <row r="91" ht="15.75" customHeight="1">
      <c r="A91" s="4">
        <f>IF(PRECIOS!A91="","",PRECIOS!A91)</f>
        <v>44540</v>
      </c>
      <c r="B91" s="7">
        <f>IFERROR(IF(OR(PRECIOS!B91="",PRECIOS!B90=""),"",PRECIOS!B91/PRECIOS!B90-1),"")</f>
        <v>0.006378120771</v>
      </c>
      <c r="C91" s="7">
        <f>IFERROR(IF(OR(PRECIOS!C91="",PRECIOS!C90=""),"",PRECIOS!C91/PRECIOS!C90-1),"")</f>
        <v>0.007903082991</v>
      </c>
      <c r="D91" s="7">
        <f>IFERROR(IF(OR(PRECIOS!D91="",PRECIOS!D90=""),"",PRECIOS!D91/PRECIOS!D90-1),"")</f>
        <v>0.006220723812</v>
      </c>
      <c r="E91" s="7">
        <f>IFERROR(IF(OR(PRECIOS!E91="",PRECIOS!E90=""),"",PRECIOS!E91/PRECIOS!E90-1),"")</f>
        <v>0.01110019885</v>
      </c>
      <c r="F91" s="7">
        <f>IFERROR(IF(OR(PRECIOS!F91="",PRECIOS!F90=""),"",PRECIOS!F91/PRECIOS!F90-1),"")</f>
        <v>-0.01965601966</v>
      </c>
      <c r="G91" s="7">
        <f>IFERROR(IF(OR(PRECIOS!G91="",PRECIOS!G90=""),"",PRECIOS!G91/PRECIOS!G90-1),"")</f>
        <v>0.0007543414126</v>
      </c>
      <c r="H91" s="7">
        <f>IFERROR(IF(OR(PRECIOS!H91="",PRECIOS!H90=""),"",PRECIOS!H91/PRECIOS!H90-1),"")</f>
        <v>0.00739545737</v>
      </c>
      <c r="I91" s="7">
        <f>IFERROR(IF(OR(PRECIOS!I91="",PRECIOS!I90=""),"",PRECIOS!I91/PRECIOS!I90-1),"")</f>
        <v>0.005385812175</v>
      </c>
    </row>
    <row r="92" ht="15.75" customHeight="1">
      <c r="A92" s="4">
        <f>IF(PRECIOS!A92="","",PRECIOS!A92)</f>
        <v>44543</v>
      </c>
      <c r="B92" s="7">
        <f>IFERROR(IF(OR(PRECIOS!B92="",PRECIOS!B91=""),"",PRECIOS!B92/PRECIOS!B91-1),"")</f>
        <v>-0.02190226646</v>
      </c>
      <c r="C92" s="7">
        <f>IFERROR(IF(OR(PRECIOS!C92="",PRECIOS!C91=""),"",PRECIOS!C92/PRECIOS!C91-1),"")</f>
        <v>0.0169041576</v>
      </c>
      <c r="D92" s="7">
        <f>IFERROR(IF(OR(PRECIOS!D92="",PRECIOS!D91=""),"",PRECIOS!D92/PRECIOS!D91-1),"")</f>
        <v>-0.01380261227</v>
      </c>
      <c r="E92" s="7">
        <f>IFERROR(IF(OR(PRECIOS!E92="",PRECIOS!E91=""),"",PRECIOS!E92/PRECIOS!E91-1),"")</f>
        <v>-0.004430907227</v>
      </c>
      <c r="F92" s="7">
        <f>IFERROR(IF(OR(PRECIOS!F92="",PRECIOS!F91=""),"",PRECIOS!F92/PRECIOS!F91-1),"")</f>
        <v>-0.02756892231</v>
      </c>
      <c r="G92" s="7">
        <f>IFERROR(IF(OR(PRECIOS!G92="",PRECIOS!G91=""),"",PRECIOS!G92/PRECIOS!G91-1),"")</f>
        <v>-0.01502020585</v>
      </c>
      <c r="H92" s="7">
        <f>IFERROR(IF(OR(PRECIOS!H92="",PRECIOS!H91=""),"",PRECIOS!H92/PRECIOS!H91-1),"")</f>
        <v>-0.0277632525</v>
      </c>
      <c r="I92" s="7">
        <f>IFERROR(IF(OR(PRECIOS!I92="",PRECIOS!I91=""),"",PRECIOS!I92/PRECIOS!I91-1),"")</f>
        <v>0.0122778771</v>
      </c>
    </row>
    <row r="93" ht="15.75" customHeight="1">
      <c r="A93" s="4">
        <f>IF(PRECIOS!A93="","",PRECIOS!A93)</f>
        <v>44544</v>
      </c>
      <c r="B93" s="7">
        <f>IFERROR(IF(OR(PRECIOS!B93="",PRECIOS!B92=""),"",PRECIOS!B93/PRECIOS!B92-1),"")</f>
        <v>-0.001460908057</v>
      </c>
      <c r="C93" s="7">
        <f>IFERROR(IF(OR(PRECIOS!C93="",PRECIOS!C92=""),"",PRECIOS!C93/PRECIOS!C92-1),"")</f>
        <v>-0.003176039281</v>
      </c>
      <c r="D93" s="7">
        <f>IFERROR(IF(OR(PRECIOS!D93="",PRECIOS!D92=""),"",PRECIOS!D93/PRECIOS!D92-1),"")</f>
        <v>0.001954299459</v>
      </c>
      <c r="E93" s="7">
        <f>IFERROR(IF(OR(PRECIOS!E93="",PRECIOS!E92=""),"",PRECIOS!E93/PRECIOS!E92-1),"")</f>
        <v>-0.02867312279</v>
      </c>
      <c r="F93" s="7">
        <f>IFERROR(IF(OR(PRECIOS!F93="",PRECIOS!F92=""),"",PRECIOS!F93/PRECIOS!F92-1),"")</f>
        <v>-0.01804123711</v>
      </c>
      <c r="G93" s="7">
        <f>IFERROR(IF(OR(PRECIOS!G93="",PRECIOS!G92=""),"",PRECIOS!G93/PRECIOS!G92-1),"")</f>
        <v>-0.01371070493</v>
      </c>
      <c r="H93" s="7">
        <f>IFERROR(IF(OR(PRECIOS!H93="",PRECIOS!H92=""),"",PRECIOS!H93/PRECIOS!H92-1),"")</f>
        <v>-0.004155671715</v>
      </c>
      <c r="I93" s="7">
        <f>IFERROR(IF(OR(PRECIOS!I93="",PRECIOS!I92=""),"",PRECIOS!I93/PRECIOS!I92-1),"")</f>
        <v>-0.005994548636</v>
      </c>
    </row>
    <row r="94" ht="15.75" customHeight="1">
      <c r="A94" s="4">
        <f>IF(PRECIOS!A94="","",PRECIOS!A94)</f>
        <v>44545</v>
      </c>
      <c r="B94" s="7">
        <f>IFERROR(IF(OR(PRECIOS!B94="",PRECIOS!B93=""),"",PRECIOS!B94/PRECIOS!B93-1),"")</f>
        <v>-0.004385757439</v>
      </c>
      <c r="C94" s="7">
        <f>IFERROR(IF(OR(PRECIOS!C94="",PRECIOS!C93=""),"",PRECIOS!C94/PRECIOS!C93-1),"")</f>
        <v>0.01182439885</v>
      </c>
      <c r="D94" s="7">
        <f>IFERROR(IF(OR(PRECIOS!D94="",PRECIOS!D93=""),"",PRECIOS!D94/PRECIOS!D93-1),"")</f>
        <v>0.003860965241</v>
      </c>
      <c r="E94" s="7">
        <f>IFERROR(IF(OR(PRECIOS!E94="",PRECIOS!E93=""),"",PRECIOS!E94/PRECIOS!E93-1),"")</f>
        <v>0.02684101858</v>
      </c>
      <c r="F94" s="7">
        <f>IFERROR(IF(OR(PRECIOS!F94="",PRECIOS!F93=""),"",PRECIOS!F94/PRECIOS!F93-1),"")</f>
        <v>0.002624671916</v>
      </c>
      <c r="G94" s="7">
        <f>IFERROR(IF(OR(PRECIOS!G94="",PRECIOS!G93=""),"",PRECIOS!G94/PRECIOS!G93-1),"")</f>
        <v>0.003838904145</v>
      </c>
      <c r="H94" s="7">
        <f>IFERROR(IF(OR(PRECIOS!H94="",PRECIOS!H93=""),"",PRECIOS!H94/PRECIOS!H93-1),"")</f>
        <v>-0.004873438285</v>
      </c>
      <c r="I94" s="7">
        <f>IFERROR(IF(OR(PRECIOS!I94="",PRECIOS!I93=""),"",PRECIOS!I94/PRECIOS!I93-1),"")</f>
        <v>0.01637418481</v>
      </c>
    </row>
    <row r="95" ht="15.75" customHeight="1">
      <c r="A95" s="4">
        <f>IF(PRECIOS!A95="","",PRECIOS!A95)</f>
        <v>44546</v>
      </c>
      <c r="B95" s="7">
        <f>IFERROR(IF(OR(PRECIOS!B95="",PRECIOS!B94=""),"",PRECIOS!B95/PRECIOS!B94-1),"")</f>
        <v>0.001634086744</v>
      </c>
      <c r="C95" s="7">
        <f>IFERROR(IF(OR(PRECIOS!C95="",PRECIOS!C94=""),"",PRECIOS!C95/PRECIOS!C94-1),"")</f>
        <v>0.01198678137</v>
      </c>
      <c r="D95" s="7">
        <f>IFERROR(IF(OR(PRECIOS!D95="",PRECIOS!D94=""),"",PRECIOS!D95/PRECIOS!D94-1),"")</f>
        <v>0.01109992926</v>
      </c>
      <c r="E95" s="7">
        <f>IFERROR(IF(OR(PRECIOS!E95="",PRECIOS!E94=""),"",PRECIOS!E95/PRECIOS!E94-1),"")</f>
        <v>-0.002735309036</v>
      </c>
      <c r="F95" s="7">
        <f>IFERROR(IF(OR(PRECIOS!F95="",PRECIOS!F94=""),"",PRECIOS!F95/PRECIOS!F94-1),"")</f>
        <v>0.02356020942</v>
      </c>
      <c r="G95" s="7">
        <f>IFERROR(IF(OR(PRECIOS!G95="",PRECIOS!G94=""),"",PRECIOS!G95/PRECIOS!G94-1),"")</f>
        <v>0.006163272078</v>
      </c>
      <c r="H95" s="7">
        <f>IFERROR(IF(OR(PRECIOS!H95="",PRECIOS!H94=""),"",PRECIOS!H95/PRECIOS!H94-1),"")</f>
        <v>0.006343175998</v>
      </c>
      <c r="I95" s="7">
        <f>IFERROR(IF(OR(PRECIOS!I95="",PRECIOS!I94=""),"",PRECIOS!I95/PRECIOS!I94-1),"")</f>
        <v>0.005109350401</v>
      </c>
    </row>
    <row r="96" ht="15.75" customHeight="1">
      <c r="A96" s="4">
        <f>IF(PRECIOS!A96="","",PRECIOS!A96)</f>
        <v>44547</v>
      </c>
      <c r="B96" s="7">
        <f>IFERROR(IF(OR(PRECIOS!B96="",PRECIOS!B95=""),"",PRECIOS!B96/PRECIOS!B95-1),"")</f>
        <v>-0.02183020687</v>
      </c>
      <c r="C96" s="7">
        <f>IFERROR(IF(OR(PRECIOS!C96="",PRECIOS!C95=""),"",PRECIOS!C96/PRECIOS!C95-1),"")</f>
        <v>-0.01051366453</v>
      </c>
      <c r="D96" s="7">
        <f>IFERROR(IF(OR(PRECIOS!D96="",PRECIOS!D95=""),"",PRECIOS!D96/PRECIOS!D95-1),"")</f>
        <v>0.01434836167</v>
      </c>
      <c r="E96" s="7">
        <f>IFERROR(IF(OR(PRECIOS!E96="",PRECIOS!E95=""),"",PRECIOS!E96/PRECIOS!E95-1),"")</f>
        <v>-0.02209386107</v>
      </c>
      <c r="F96" s="7">
        <f>IFERROR(IF(OR(PRECIOS!F96="",PRECIOS!F95=""),"",PRECIOS!F96/PRECIOS!F95-1),"")</f>
        <v>-0.02557544757</v>
      </c>
      <c r="G96" s="7">
        <f>IFERROR(IF(OR(PRECIOS!G96="",PRECIOS!G95=""),"",PRECIOS!G96/PRECIOS!G95-1),"")</f>
        <v>-0.01337317803</v>
      </c>
      <c r="H96" s="7">
        <f>IFERROR(IF(OR(PRECIOS!H96="",PRECIOS!H95=""),"",PRECIOS!H96/PRECIOS!H95-1),"")</f>
        <v>-0.02036740541</v>
      </c>
      <c r="I96" s="7">
        <f>IFERROR(IF(OR(PRECIOS!I96="",PRECIOS!I95=""),"",PRECIOS!I96/PRECIOS!I95-1),"")</f>
        <v>-0.01505794474</v>
      </c>
    </row>
    <row r="97" ht="15.75" customHeight="1">
      <c r="A97" s="4">
        <f>IF(PRECIOS!A97="","",PRECIOS!A97)</f>
        <v>44550</v>
      </c>
      <c r="B97" s="7">
        <f>IFERROR(IF(OR(PRECIOS!B97="",PRECIOS!B96=""),"",PRECIOS!B97/PRECIOS!B96-1),"")</f>
        <v>-0.01450301959</v>
      </c>
      <c r="C97" s="7">
        <f>IFERROR(IF(OR(PRECIOS!C97="",PRECIOS!C96=""),"",PRECIOS!C97/PRECIOS!C96-1),"")</f>
        <v>0.004186696818</v>
      </c>
      <c r="D97" s="7">
        <f>IFERROR(IF(OR(PRECIOS!D97="",PRECIOS!D96=""),"",PRECIOS!D97/PRECIOS!D96-1),"")</f>
        <v>-0.006596652126</v>
      </c>
      <c r="E97" s="7">
        <f>IFERROR(IF(OR(PRECIOS!E97="",PRECIOS!E96=""),"",PRECIOS!E97/PRECIOS!E96-1),"")</f>
        <v>-0.006098693579</v>
      </c>
      <c r="F97" s="7">
        <f>IFERROR(IF(OR(PRECIOS!F97="",PRECIOS!F96=""),"",PRECIOS!F97/PRECIOS!F96-1),"")</f>
        <v>-0.0157480315</v>
      </c>
      <c r="G97" s="7">
        <f>IFERROR(IF(OR(PRECIOS!G97="",PRECIOS!G96=""),"",PRECIOS!G97/PRECIOS!G96-1),"")</f>
        <v>-0.01708879078</v>
      </c>
      <c r="H97" s="7">
        <f>IFERROR(IF(OR(PRECIOS!H97="",PRECIOS!H96=""),"",PRECIOS!H97/PRECIOS!H96-1),"")</f>
        <v>-0.01228355397</v>
      </c>
      <c r="I97" s="7">
        <f>IFERROR(IF(OR(PRECIOS!I97="",PRECIOS!I96=""),"",PRECIOS!I97/PRECIOS!I96-1),"")</f>
        <v>0.0009951446049</v>
      </c>
    </row>
    <row r="98" ht="15.75" customHeight="1">
      <c r="A98" s="4">
        <f>IF(PRECIOS!A98="","",PRECIOS!A98)</f>
        <v>44551</v>
      </c>
      <c r="B98" s="7">
        <f>IFERROR(IF(OR(PRECIOS!B98="",PRECIOS!B97=""),"",PRECIOS!B98/PRECIOS!B97-1),"")</f>
        <v>0.02266164988</v>
      </c>
      <c r="C98" s="7">
        <f>IFERROR(IF(OR(PRECIOS!C98="",PRECIOS!C97=""),"",PRECIOS!C98/PRECIOS!C97-1),"")</f>
        <v>-0.01086759561</v>
      </c>
      <c r="D98" s="7">
        <f>IFERROR(IF(OR(PRECIOS!D98="",PRECIOS!D97=""),"",PRECIOS!D98/PRECIOS!D97-1),"")</f>
        <v>0.03416070101</v>
      </c>
      <c r="E98" s="7">
        <f>IFERROR(IF(OR(PRECIOS!E98="",PRECIOS!E97=""),"",PRECIOS!E98/PRECIOS!E97-1),"")</f>
        <v>0.01936769974</v>
      </c>
      <c r="F98" s="7">
        <f>IFERROR(IF(OR(PRECIOS!F98="",PRECIOS!F97=""),"",PRECIOS!F98/PRECIOS!F97-1),"")</f>
        <v>0.024</v>
      </c>
      <c r="G98" s="7">
        <f>IFERROR(IF(OR(PRECIOS!G98="",PRECIOS!G97=""),"",PRECIOS!G98/PRECIOS!G97-1),"")</f>
        <v>0.01223067831</v>
      </c>
      <c r="H98" s="7">
        <f>IFERROR(IF(OR(PRECIOS!H98="",PRECIOS!H97=""),"",PRECIOS!H98/PRECIOS!H97-1),"")</f>
        <v>0.02847811888</v>
      </c>
      <c r="I98" s="7">
        <f>IFERROR(IF(OR(PRECIOS!I98="",PRECIOS!I97=""),"",PRECIOS!I98/PRECIOS!I97-1),"")</f>
        <v>-0.001432753193</v>
      </c>
    </row>
    <row r="99" ht="15.75" customHeight="1">
      <c r="A99" s="4">
        <f>IF(PRECIOS!A99="","",PRECIOS!A99)</f>
        <v>44552</v>
      </c>
      <c r="B99" s="7">
        <f>IFERROR(IF(OR(PRECIOS!B99="",PRECIOS!B98=""),"",PRECIOS!B99/PRECIOS!B98-1),"")</f>
        <v>0.008090486976</v>
      </c>
      <c r="C99" s="7">
        <f>IFERROR(IF(OR(PRECIOS!C99="",PRECIOS!C98=""),"",PRECIOS!C99/PRECIOS!C98-1),"")</f>
        <v>0.003909724049</v>
      </c>
      <c r="D99" s="7">
        <f>IFERROR(IF(OR(PRECIOS!D99="",PRECIOS!D98=""),"",PRECIOS!D99/PRECIOS!D98-1),"")</f>
        <v>0.02383564235</v>
      </c>
      <c r="E99" s="7">
        <f>IFERROR(IF(OR(PRECIOS!E99="",PRECIOS!E98=""),"",PRECIOS!E99/PRECIOS!E98-1),"")</f>
        <v>-0.003006710097</v>
      </c>
      <c r="F99" s="7">
        <f>IFERROR(IF(OR(PRECIOS!F99="",PRECIOS!F98=""),"",PRECIOS!F99/PRECIOS!F98-1),"")</f>
        <v>0.01302083333</v>
      </c>
      <c r="G99" s="7">
        <f>IFERROR(IF(OR(PRECIOS!G99="",PRECIOS!G98=""),"",PRECIOS!G99/PRECIOS!G98-1),"")</f>
        <v>0.0007907761899</v>
      </c>
      <c r="H99" s="7">
        <f>IFERROR(IF(OR(PRECIOS!H99="",PRECIOS!H98=""),"",PRECIOS!H99/PRECIOS!H98-1),"")</f>
        <v>0.006427029087</v>
      </c>
      <c r="I99" s="7">
        <f>IFERROR(IF(OR(PRECIOS!I99="",PRECIOS!I98=""),"",PRECIOS!I99/PRECIOS!I98-1),"")</f>
        <v>0.0043174409</v>
      </c>
    </row>
    <row r="100" ht="15.75" customHeight="1">
      <c r="A100" s="4">
        <f>IF(PRECIOS!A100="","",PRECIOS!A100)</f>
        <v>44553</v>
      </c>
      <c r="B100" s="7">
        <f>IFERROR(IF(OR(PRECIOS!B100="",PRECIOS!B99=""),"",PRECIOS!B100/PRECIOS!B99-1),"")</f>
        <v>0.000496057113</v>
      </c>
      <c r="C100" s="7">
        <f>IFERROR(IF(OR(PRECIOS!C100="",PRECIOS!C99=""),"",PRECIOS!C100/PRECIOS!C99-1),"")</f>
        <v>-0.001651691229</v>
      </c>
      <c r="D100" s="7">
        <f>IFERROR(IF(OR(PRECIOS!D100="",PRECIOS!D99=""),"",PRECIOS!D100/PRECIOS!D99-1),"")</f>
        <v>-0.01344842078</v>
      </c>
      <c r="E100" s="7">
        <f>IFERROR(IF(OR(PRECIOS!E100="",PRECIOS!E99=""),"",PRECIOS!E100/PRECIOS!E99-1),"")</f>
        <v>0.007845925635</v>
      </c>
      <c r="F100" s="7">
        <f>IFERROR(IF(OR(PRECIOS!F100="",PRECIOS!F99=""),"",PRECIOS!F100/PRECIOS!F99-1),"")</f>
        <v>0.007712082262</v>
      </c>
      <c r="G100" s="7">
        <f>IFERROR(IF(OR(PRECIOS!G100="",PRECIOS!G99=""),"",PRECIOS!G100/PRECIOS!G99-1),"")</f>
        <v>0.006628264492</v>
      </c>
      <c r="H100" s="7">
        <f>IFERROR(IF(OR(PRECIOS!H100="",PRECIOS!H99=""),"",PRECIOS!H100/PRECIOS!H99-1),"")</f>
        <v>0.000546889461</v>
      </c>
      <c r="I100" s="7">
        <f>IFERROR(IF(OR(PRECIOS!I100="",PRECIOS!I99=""),"",PRECIOS!I100/PRECIOS!I99-1),"")</f>
        <v>-0.0001393005815</v>
      </c>
    </row>
    <row r="101" ht="15.75" customHeight="1">
      <c r="A101" s="4">
        <f>IF(PRECIOS!A101="","",PRECIOS!A101)</f>
        <v>44557</v>
      </c>
      <c r="B101" s="7">
        <f>IFERROR(IF(OR(PRECIOS!B101="",PRECIOS!B100=""),"",PRECIOS!B101/PRECIOS!B100-1),"")</f>
        <v>0.01425244115</v>
      </c>
      <c r="C101" s="7">
        <f>IFERROR(IF(OR(PRECIOS!C101="",PRECIOS!C100=""),"",PRECIOS!C101/PRECIOS!C100-1),"")</f>
        <v>0.00631774311</v>
      </c>
      <c r="D101" s="7">
        <f>IFERROR(IF(OR(PRECIOS!D101="",PRECIOS!D100=""),"",PRECIOS!D101/PRECIOS!D100-1),"")</f>
        <v>0.007274633811</v>
      </c>
      <c r="E101" s="7">
        <f>IFERROR(IF(OR(PRECIOS!E101="",PRECIOS!E100=""),"",PRECIOS!E101/PRECIOS!E100-1),"")</f>
        <v>0.01561834791</v>
      </c>
      <c r="F101" s="7">
        <f>IFERROR(IF(OR(PRECIOS!F101="",PRECIOS!F100=""),"",PRECIOS!F101/PRECIOS!F100-1),"")</f>
        <v>0.03826530612</v>
      </c>
      <c r="G101" s="7">
        <f>IFERROR(IF(OR(PRECIOS!G101="",PRECIOS!G100=""),"",PRECIOS!G101/PRECIOS!G100-1),"")</f>
        <v>0.01587385511</v>
      </c>
      <c r="H101" s="7">
        <f>IFERROR(IF(OR(PRECIOS!H101="",PRECIOS!H100=""),"",PRECIOS!H101/PRECIOS!H100-1),"")</f>
        <v>0.02184680329</v>
      </c>
      <c r="I101" s="7">
        <f>IFERROR(IF(OR(PRECIOS!I101="",PRECIOS!I100=""),"",PRECIOS!I101/PRECIOS!I100-1),"")</f>
        <v>0.00487943961</v>
      </c>
    </row>
    <row r="102" ht="15.75" customHeight="1">
      <c r="A102" s="4">
        <f>IF(PRECIOS!A102="","",PRECIOS!A102)</f>
        <v>44558</v>
      </c>
      <c r="B102" s="7">
        <f>IFERROR(IF(OR(PRECIOS!B102="",PRECIOS!B101=""),"",PRECIOS!B102/PRECIOS!B101-1),"")</f>
        <v>-0.003220322469</v>
      </c>
      <c r="C102" s="7">
        <f>IFERROR(IF(OR(PRECIOS!C102="",PRECIOS!C101=""),"",PRECIOS!C102/PRECIOS!C101-1),"")</f>
        <v>0.011495841</v>
      </c>
      <c r="D102" s="7">
        <f>IFERROR(IF(OR(PRECIOS!D102="",PRECIOS!D101=""),"",PRECIOS!D102/PRECIOS!D101-1),"")</f>
        <v>-0.006311200755</v>
      </c>
      <c r="E102" s="7">
        <f>IFERROR(IF(OR(PRECIOS!E102="",PRECIOS!E101=""),"",PRECIOS!E102/PRECIOS!E101-1),"")</f>
        <v>0.003119947302</v>
      </c>
      <c r="F102" s="7">
        <f>IFERROR(IF(OR(PRECIOS!F102="",PRECIOS!F101=""),"",PRECIOS!F102/PRECIOS!F101-1),"")</f>
        <v>0</v>
      </c>
      <c r="G102" s="7">
        <f>IFERROR(IF(OR(PRECIOS!G102="",PRECIOS!G101=""),"",PRECIOS!G102/PRECIOS!G101-1),"")</f>
        <v>-0.003823379868</v>
      </c>
      <c r="H102" s="7">
        <f>IFERROR(IF(OR(PRECIOS!H102="",PRECIOS!H101=""),"",PRECIOS!H102/PRECIOS!H101-1),"")</f>
        <v>-0.0006994906063</v>
      </c>
      <c r="I102" s="7">
        <f>IFERROR(IF(OR(PRECIOS!I102="",PRECIOS!I101=""),"",PRECIOS!I102/PRECIOS!I101-1),"")</f>
        <v>0.008992481009</v>
      </c>
    </row>
    <row r="103" ht="15.75" customHeight="1">
      <c r="A103" s="4">
        <f>IF(PRECIOS!A103="","",PRECIOS!A103)</f>
        <v>44559</v>
      </c>
      <c r="B103" s="7">
        <f>IFERROR(IF(OR(PRECIOS!B103="",PRECIOS!B102=""),"",PRECIOS!B103/PRECIOS!B102-1),"")</f>
        <v>-0.008751780102</v>
      </c>
      <c r="C103" s="7">
        <f>IFERROR(IF(OR(PRECIOS!C103="",PRECIOS!C102=""),"",PRECIOS!C103/PRECIOS!C102-1),"")</f>
        <v>0.005026467613</v>
      </c>
      <c r="D103" s="7">
        <f>IFERROR(IF(OR(PRECIOS!D103="",PRECIOS!D102=""),"",PRECIOS!D103/PRECIOS!D102-1),"")</f>
        <v>-0.008175291724</v>
      </c>
      <c r="E103" s="7">
        <f>IFERROR(IF(OR(PRECIOS!E103="",PRECIOS!E102=""),"",PRECIOS!E103/PRECIOS!E102-1),"")</f>
        <v>0.002990848362</v>
      </c>
      <c r="F103" s="7">
        <f>IFERROR(IF(OR(PRECIOS!F103="",PRECIOS!F102=""),"",PRECIOS!F103/PRECIOS!F102-1),"")</f>
        <v>-0.01965601966</v>
      </c>
      <c r="G103" s="7">
        <f>IFERROR(IF(OR(PRECIOS!G103="",PRECIOS!G102=""),"",PRECIOS!G103/PRECIOS!G102-1),"")</f>
        <v>-0.004605665048</v>
      </c>
      <c r="H103" s="7">
        <f>IFERROR(IF(OR(PRECIOS!H103="",PRECIOS!H102=""),"",PRECIOS!H103/PRECIOS!H102-1),"")</f>
        <v>-0.006431583108</v>
      </c>
      <c r="I103" s="7">
        <f>IFERROR(IF(OR(PRECIOS!I103="",PRECIOS!I102=""),"",PRECIOS!I103/PRECIOS!I102-1),"")</f>
        <v>0.0053684927</v>
      </c>
    </row>
    <row r="104" ht="15.75" customHeight="1">
      <c r="A104" s="4">
        <f>IF(PRECIOS!A104="","",PRECIOS!A104)</f>
        <v>44560</v>
      </c>
      <c r="B104" s="7">
        <f>IFERROR(IF(OR(PRECIOS!B104="",PRECIOS!B103=""),"",PRECIOS!B104/PRECIOS!B103-1),"")</f>
        <v>-0.005903035167</v>
      </c>
      <c r="C104" s="7">
        <f>IFERROR(IF(OR(PRECIOS!C104="",PRECIOS!C103=""),"",PRECIOS!C104/PRECIOS!C103-1),"")</f>
        <v>0.004260673828</v>
      </c>
      <c r="D104" s="7">
        <f>IFERROR(IF(OR(PRECIOS!D104="",PRECIOS!D103=""),"",PRECIOS!D104/PRECIOS!D103-1),"")</f>
        <v>0.02377078942</v>
      </c>
      <c r="E104" s="7">
        <f>IFERROR(IF(OR(PRECIOS!E104="",PRECIOS!E103=""),"",PRECIOS!E104/PRECIOS!E103-1),"")</f>
        <v>-0.001696307407</v>
      </c>
      <c r="F104" s="7">
        <f>IFERROR(IF(OR(PRECIOS!F104="",PRECIOS!F103=""),"",PRECIOS!F104/PRECIOS!F103-1),"")</f>
        <v>-0.02005012531</v>
      </c>
      <c r="G104" s="7">
        <f>IFERROR(IF(OR(PRECIOS!G104="",PRECIOS!G103=""),"",PRECIOS!G104/PRECIOS!G103-1),"")</f>
        <v>-0.004590637844</v>
      </c>
      <c r="H104" s="7">
        <f>IFERROR(IF(OR(PRECIOS!H104="",PRECIOS!H103=""),"",PRECIOS!H104/PRECIOS!H103-1),"")</f>
        <v>-0.006104383718</v>
      </c>
      <c r="I104" s="7">
        <f>IFERROR(IF(OR(PRECIOS!I104="",PRECIOS!I103=""),"",PRECIOS!I104/PRECIOS!I103-1),"")</f>
        <v>0.003667951827</v>
      </c>
    </row>
    <row r="105" ht="15.75" customHeight="1">
      <c r="A105" s="4">
        <f>IF(PRECIOS!A105="","",PRECIOS!A105)</f>
        <v>44561</v>
      </c>
      <c r="B105" s="7">
        <f>IFERROR(IF(OR(PRECIOS!B105="",PRECIOS!B104=""),"",PRECIOS!B105/PRECIOS!B104-1),"")</f>
        <v>0.006586283564</v>
      </c>
      <c r="C105" s="7">
        <f>IFERROR(IF(OR(PRECIOS!C105="",PRECIOS!C104=""),"",PRECIOS!C105/PRECIOS!C104-1),"")</f>
        <v>0.003207038758</v>
      </c>
      <c r="D105" s="7">
        <f>IFERROR(IF(OR(PRECIOS!D105="",PRECIOS!D104=""),"",PRECIOS!D105/PRECIOS!D104-1),"")</f>
        <v>0.01696390736</v>
      </c>
      <c r="E105" s="7">
        <f>IFERROR(IF(OR(PRECIOS!E105="",PRECIOS!E104=""),"",PRECIOS!E105/PRECIOS!E104-1),"")</f>
        <v>0.008150148754</v>
      </c>
      <c r="F105" s="7">
        <f>IFERROR(IF(OR(PRECIOS!F105="",PRECIOS!F104=""),"",PRECIOS!F105/PRECIOS!F104-1),"")</f>
        <v>-0.02301790281</v>
      </c>
      <c r="G105" s="7">
        <f>IFERROR(IF(OR(PRECIOS!G105="",PRECIOS!G104=""),"",PRECIOS!G105/PRECIOS!G104-1),"")</f>
        <v>0.004611808989</v>
      </c>
      <c r="H105" s="7">
        <f>IFERROR(IF(OR(PRECIOS!H105="",PRECIOS!H104=""),"",PRECIOS!H105/PRECIOS!H104-1),"")</f>
        <v>0.002530969983</v>
      </c>
      <c r="I105" s="7">
        <f>IFERROR(IF(OR(PRECIOS!I105="",PRECIOS!I104=""),"",PRECIOS!I105/PRECIOS!I104-1),"")</f>
        <v>0.00349937138</v>
      </c>
    </row>
    <row r="106" ht="15.75" customHeight="1">
      <c r="A106" s="4">
        <f>IF(PRECIOS!A106="","",PRECIOS!A106)</f>
        <v>44564</v>
      </c>
      <c r="B106" s="7">
        <f>IFERROR(IF(OR(PRECIOS!B106="",PRECIOS!B105=""),"",PRECIOS!B106/PRECIOS!B105-1),"")</f>
        <v>0.03840109013</v>
      </c>
      <c r="C106" s="7">
        <f>IFERROR(IF(OR(PRECIOS!C106="",PRECIOS!C105=""),"",PRECIOS!C106/PRECIOS!C105-1),"")</f>
        <v>-0.005967638031</v>
      </c>
      <c r="D106" s="7">
        <f>IFERROR(IF(OR(PRECIOS!D106="",PRECIOS!D105=""),"",PRECIOS!D106/PRECIOS!D105-1),"")</f>
        <v>-0.001327046845</v>
      </c>
      <c r="E106" s="7">
        <f>IFERROR(IF(OR(PRECIOS!E106="",PRECIOS!E105=""),"",PRECIOS!E106/PRECIOS!E105-1),"")</f>
        <v>-0.02408719411</v>
      </c>
      <c r="F106" s="7">
        <f>IFERROR(IF(OR(PRECIOS!F106="",PRECIOS!F105=""),"",PRECIOS!F106/PRECIOS!F105-1),"")</f>
        <v>0.05759162304</v>
      </c>
      <c r="G106" s="7">
        <f>IFERROR(IF(OR(PRECIOS!G106="",PRECIOS!G105=""),"",PRECIOS!G106/PRECIOS!G105-1),"")</f>
        <v>0.01766406382</v>
      </c>
      <c r="H106" s="7">
        <f>IFERROR(IF(OR(PRECIOS!H106="",PRECIOS!H105=""),"",PRECIOS!H106/PRECIOS!H105-1),"")</f>
        <v>0.0309978539</v>
      </c>
      <c r="I106" s="7">
        <f>IFERROR(IF(OR(PRECIOS!I106="",PRECIOS!I105=""),"",PRECIOS!I106/PRECIOS!I105-1),"")</f>
        <v>-0.009912394754</v>
      </c>
    </row>
    <row r="107" ht="15.75" customHeight="1">
      <c r="A107" s="4">
        <f>IF(PRECIOS!A107="","",PRECIOS!A107)</f>
        <v>44565</v>
      </c>
      <c r="B107" s="7">
        <f>IFERROR(IF(OR(PRECIOS!B107="",PRECIOS!B106=""),"",PRECIOS!B107/PRECIOS!B106-1),"")</f>
        <v>0.03761748305</v>
      </c>
      <c r="C107" s="7">
        <f>IFERROR(IF(OR(PRECIOS!C107="",PRECIOS!C106=""),"",PRECIOS!C107/PRECIOS!C106-1),"")</f>
        <v>0</v>
      </c>
      <c r="D107" s="7">
        <f>IFERROR(IF(OR(PRECIOS!D107="",PRECIOS!D106=""),"",PRECIOS!D107/PRECIOS!D106-1),"")</f>
        <v>-0.009655416376</v>
      </c>
      <c r="E107" s="7">
        <f>IFERROR(IF(OR(PRECIOS!E107="",PRECIOS!E106=""),"",PRECIOS!E107/PRECIOS!E106-1),"")</f>
        <v>0.01663424655</v>
      </c>
      <c r="F107" s="7">
        <f>IFERROR(IF(OR(PRECIOS!F107="",PRECIOS!F106=""),"",PRECIOS!F107/PRECIOS!F106-1),"")</f>
        <v>0.0297029703</v>
      </c>
      <c r="G107" s="7">
        <f>IFERROR(IF(OR(PRECIOS!G107="",PRECIOS!G106=""),"",PRECIOS!G107/PRECIOS!G106-1),"")</f>
        <v>0.009061586254</v>
      </c>
      <c r="H107" s="7">
        <f>IFERROR(IF(OR(PRECIOS!H107="",PRECIOS!H106=""),"",PRECIOS!H107/PRECIOS!H106-1),"")</f>
        <v>0.03460016378</v>
      </c>
      <c r="I107" s="7">
        <f>IFERROR(IF(OR(PRECIOS!I107="",PRECIOS!I106=""),"",PRECIOS!I107/PRECIOS!I106-1),"")</f>
        <v>-0.003114093104</v>
      </c>
    </row>
    <row r="108" ht="15.75" customHeight="1">
      <c r="A108" s="4">
        <f>IF(PRECIOS!A108="","",PRECIOS!A108)</f>
        <v>44566</v>
      </c>
      <c r="B108" s="7">
        <f>IFERROR(IF(OR(PRECIOS!B108="",PRECIOS!B107=""),"",PRECIOS!B108/PRECIOS!B107-1),"")</f>
        <v>0.01243885439</v>
      </c>
      <c r="C108" s="7">
        <f>IFERROR(IF(OR(PRECIOS!C108="",PRECIOS!C107=""),"",PRECIOS!C108/PRECIOS!C107-1),"")</f>
        <v>0.001171110176</v>
      </c>
      <c r="D108" s="7">
        <f>IFERROR(IF(OR(PRECIOS!D108="",PRECIOS!D107=""),"",PRECIOS!D108/PRECIOS!D107-1),"")</f>
        <v>-0.01821229204</v>
      </c>
      <c r="E108" s="7">
        <f>IFERROR(IF(OR(PRECIOS!E108="",PRECIOS!E107=""),"",PRECIOS!E108/PRECIOS!E107-1),"")</f>
        <v>-0.01430564</v>
      </c>
      <c r="F108" s="7">
        <f>IFERROR(IF(OR(PRECIOS!F108="",PRECIOS!F107=""),"",PRECIOS!F108/PRECIOS!F107-1),"")</f>
        <v>-0.04086538462</v>
      </c>
      <c r="G108" s="7">
        <f>IFERROR(IF(OR(PRECIOS!G108="",PRECIOS!G107=""),"",PRECIOS!G108/PRECIOS!G107-1),"")</f>
        <v>0.002280438945</v>
      </c>
      <c r="H108" s="7">
        <f>IFERROR(IF(OR(PRECIOS!H108="",PRECIOS!H107=""),"",PRECIOS!H108/PRECIOS!H107-1),"")</f>
        <v>-0.0001715627023</v>
      </c>
      <c r="I108" s="7">
        <f>IFERROR(IF(OR(PRECIOS!I108="",PRECIOS!I107=""),"",PRECIOS!I108/PRECIOS!I107-1),"")</f>
        <v>-0.0005659327659</v>
      </c>
    </row>
    <row r="109" ht="15.75" customHeight="1">
      <c r="A109" s="4">
        <f>IF(PRECIOS!A109="","",PRECIOS!A109)</f>
        <v>44567</v>
      </c>
      <c r="B109" s="7">
        <f>IFERROR(IF(OR(PRECIOS!B109="",PRECIOS!B108=""),"",PRECIOS!B109/PRECIOS!B108-1),"")</f>
        <v>0.02352382287</v>
      </c>
      <c r="C109" s="7">
        <f>IFERROR(IF(OR(PRECIOS!C109="",PRECIOS!C108=""),"",PRECIOS!C109/PRECIOS!C108-1),"")</f>
        <v>-0.001169740281</v>
      </c>
      <c r="D109" s="7">
        <f>IFERROR(IF(OR(PRECIOS!D109="",PRECIOS!D108=""),"",PRECIOS!D109/PRECIOS!D108-1),"")</f>
        <v>0.009524609127</v>
      </c>
      <c r="E109" s="7">
        <f>IFERROR(IF(OR(PRECIOS!E109="",PRECIOS!E108=""),"",PRECIOS!E109/PRECIOS!E108-1),"")</f>
        <v>0.002376546569</v>
      </c>
      <c r="F109" s="7">
        <f>IFERROR(IF(OR(PRECIOS!F109="",PRECIOS!F108=""),"",PRECIOS!F109/PRECIOS!F108-1),"")</f>
        <v>-0.01002506266</v>
      </c>
      <c r="G109" s="7">
        <f>IFERROR(IF(OR(PRECIOS!G109="",PRECIOS!G108=""),"",PRECIOS!G109/PRECIOS!G108-1),"")</f>
        <v>0.02385090049</v>
      </c>
      <c r="H109" s="7">
        <f>IFERROR(IF(OR(PRECIOS!H109="",PRECIOS!H108=""),"",PRECIOS!H109/PRECIOS!H108-1),"")</f>
        <v>0.02230697834</v>
      </c>
      <c r="I109" s="7">
        <f>IFERROR(IF(OR(PRECIOS!I109="",PRECIOS!I108=""),"",PRECIOS!I109/PRECIOS!I108-1),"")</f>
        <v>-0.01033971994</v>
      </c>
    </row>
    <row r="110" ht="15.75" customHeight="1">
      <c r="A110" s="4">
        <f>IF(PRECIOS!A110="","",PRECIOS!A110)</f>
        <v>44568</v>
      </c>
      <c r="B110" s="7">
        <f>IFERROR(IF(OR(PRECIOS!B110="",PRECIOS!B109=""),"",PRECIOS!B110/PRECIOS!B109-1),"")</f>
        <v>0.008199253424</v>
      </c>
      <c r="C110" s="7">
        <f>IFERROR(IF(OR(PRECIOS!C110="",PRECIOS!C109=""),"",PRECIOS!C110/PRECIOS!C109-1),"")</f>
        <v>0.006892471347</v>
      </c>
      <c r="D110" s="7">
        <f>IFERROR(IF(OR(PRECIOS!D110="",PRECIOS!D109=""),"",PRECIOS!D110/PRECIOS!D109-1),"")</f>
        <v>0.01746952882</v>
      </c>
      <c r="E110" s="7">
        <f>IFERROR(IF(OR(PRECIOS!E110="",PRECIOS!E109=""),"",PRECIOS!E110/PRECIOS!E109-1),"")</f>
        <v>-0.00919407091</v>
      </c>
      <c r="F110" s="7">
        <f>IFERROR(IF(OR(PRECIOS!F110="",PRECIOS!F109=""),"",PRECIOS!F110/PRECIOS!F109-1),"")</f>
        <v>0.02025316456</v>
      </c>
      <c r="G110" s="7">
        <f>IFERROR(IF(OR(PRECIOS!G110="",PRECIOS!G109=""),"",PRECIOS!G110/PRECIOS!G109-1),"")</f>
        <v>0.02078951099</v>
      </c>
      <c r="H110" s="7">
        <f>IFERROR(IF(OR(PRECIOS!H110="",PRECIOS!H109=""),"",PRECIOS!H110/PRECIOS!H109-1),"")</f>
        <v>0.01372157075</v>
      </c>
      <c r="I110" s="7">
        <f>IFERROR(IF(OR(PRECIOS!I110="",PRECIOS!I109=""),"",PRECIOS!I110/PRECIOS!I109-1),"")</f>
        <v>0.007596598017</v>
      </c>
    </row>
    <row r="111" ht="15.75" customHeight="1">
      <c r="A111" s="4">
        <f>IF(PRECIOS!A111="","",PRECIOS!A111)</f>
        <v>44571</v>
      </c>
      <c r="B111" s="7">
        <f>IFERROR(IF(OR(PRECIOS!B111="",PRECIOS!B110=""),"",PRECIOS!B111/PRECIOS!B110-1),"")</f>
        <v>-0.005960565778</v>
      </c>
      <c r="C111" s="7">
        <f>IFERROR(IF(OR(PRECIOS!C111="",PRECIOS!C110=""),"",PRECIOS!C111/PRECIOS!C110-1),"")</f>
        <v>-0.001603797016</v>
      </c>
      <c r="D111" s="7">
        <f>IFERROR(IF(OR(PRECIOS!D111="",PRECIOS!D110=""),"",PRECIOS!D111/PRECIOS!D110-1),"")</f>
        <v>-0.01100288355</v>
      </c>
      <c r="E111" s="7">
        <f>IFERROR(IF(OR(PRECIOS!E111="",PRECIOS!E110=""),"",PRECIOS!E111/PRECIOS!E110-1),"")</f>
        <v>-0.008512192894</v>
      </c>
      <c r="F111" s="7">
        <f>IFERROR(IF(OR(PRECIOS!F111="",PRECIOS!F110=""),"",PRECIOS!F111/PRECIOS!F110-1),"")</f>
        <v>-0.02977667494</v>
      </c>
      <c r="G111" s="7">
        <f>IFERROR(IF(OR(PRECIOS!G111="",PRECIOS!G110=""),"",PRECIOS!G111/PRECIOS!G110-1),"")</f>
        <v>-0.002169482365</v>
      </c>
      <c r="H111" s="7">
        <f>IFERROR(IF(OR(PRECIOS!H111="",PRECIOS!H110=""),"",PRECIOS!H111/PRECIOS!H110-1),"")</f>
        <v>-0.003097023771</v>
      </c>
      <c r="I111" s="7">
        <f>IFERROR(IF(OR(PRECIOS!I111="",PRECIOS!I110=""),"",PRECIOS!I111/PRECIOS!I110-1),"")</f>
        <v>-0.006531942675</v>
      </c>
    </row>
    <row r="112" ht="15.75" customHeight="1">
      <c r="A112" s="4">
        <f>IF(PRECIOS!A112="","",PRECIOS!A112)</f>
        <v>44572</v>
      </c>
      <c r="B112" s="7">
        <f>IFERROR(IF(OR(PRECIOS!B112="",PRECIOS!B111=""),"",PRECIOS!B112/PRECIOS!B111-1),"")</f>
        <v>0.04206981165</v>
      </c>
      <c r="C112" s="7">
        <f>IFERROR(IF(OR(PRECIOS!C112="",PRECIOS!C111=""),"",PRECIOS!C112/PRECIOS!C111-1),"")</f>
        <v>-0.01284188524</v>
      </c>
      <c r="D112" s="7">
        <f>IFERROR(IF(OR(PRECIOS!D112="",PRECIOS!D111=""),"",PRECIOS!D112/PRECIOS!D111-1),"")</f>
        <v>0.002194754628</v>
      </c>
      <c r="E112" s="7">
        <f>IFERROR(IF(OR(PRECIOS!E112="",PRECIOS!E111=""),"",PRECIOS!E112/PRECIOS!E111-1),"")</f>
        <v>0.00803257245</v>
      </c>
      <c r="F112" s="7">
        <f>IFERROR(IF(OR(PRECIOS!F112="",PRECIOS!F111=""),"",PRECIOS!F112/PRECIOS!F111-1),"")</f>
        <v>0.04603580563</v>
      </c>
      <c r="G112" s="7">
        <f>IFERROR(IF(OR(PRECIOS!G112="",PRECIOS!G111=""),"",PRECIOS!G112/PRECIOS!G111-1),"")</f>
        <v>0.03291767759</v>
      </c>
      <c r="H112" s="7">
        <f>IFERROR(IF(OR(PRECIOS!H112="",PRECIOS!H111=""),"",PRECIOS!H112/PRECIOS!H111-1),"")</f>
        <v>0.03401078078</v>
      </c>
      <c r="I112" s="7">
        <f>IFERROR(IF(OR(PRECIOS!I112="",PRECIOS!I111=""),"",PRECIOS!I112/PRECIOS!I111-1),"")</f>
        <v>-0.009016253153</v>
      </c>
    </row>
    <row r="113" ht="15.75" customHeight="1">
      <c r="A113" s="4">
        <f>IF(PRECIOS!A113="","",PRECIOS!A113)</f>
        <v>44573</v>
      </c>
      <c r="B113" s="7">
        <f>IFERROR(IF(OR(PRECIOS!B113="",PRECIOS!B112=""),"",PRECIOS!B113/PRECIOS!B112-1),"")</f>
        <v>-0.002946327873</v>
      </c>
      <c r="C113" s="7">
        <f>IFERROR(IF(OR(PRECIOS!C113="",PRECIOS!C112=""),"",PRECIOS!C113/PRECIOS!C112-1),"")</f>
        <v>0.001926909584</v>
      </c>
      <c r="D113" s="7">
        <f>IFERROR(IF(OR(PRECIOS!D113="",PRECIOS!D112=""),"",PRECIOS!D113/PRECIOS!D112-1),"")</f>
        <v>0.01866953773</v>
      </c>
      <c r="E113" s="7">
        <f>IFERROR(IF(OR(PRECIOS!E113="",PRECIOS!E112=""),"",PRECIOS!E113/PRECIOS!E112-1),"")</f>
        <v>0.02205976423</v>
      </c>
      <c r="F113" s="7">
        <f>IFERROR(IF(OR(PRECIOS!F113="",PRECIOS!F112=""),"",PRECIOS!F113/PRECIOS!F112-1),"")</f>
        <v>0.01466992665</v>
      </c>
      <c r="G113" s="7">
        <f>IFERROR(IF(OR(PRECIOS!G113="",PRECIOS!G112=""),"",PRECIOS!G113/PRECIOS!G112-1),"")</f>
        <v>0.01144226427</v>
      </c>
      <c r="H113" s="7">
        <f>IFERROR(IF(OR(PRECIOS!H113="",PRECIOS!H112=""),"",PRECIOS!H113/PRECIOS!H112-1),"")</f>
        <v>0.001898322905</v>
      </c>
      <c r="I113" s="7">
        <f>IFERROR(IF(OR(PRECIOS!I113="",PRECIOS!I112=""),"",PRECIOS!I113/PRECIOS!I112-1),"")</f>
        <v>0.003170713427</v>
      </c>
    </row>
    <row r="114" ht="15.75" customHeight="1">
      <c r="A114" s="4">
        <f>IF(PRECIOS!A114="","",PRECIOS!A114)</f>
        <v>44574</v>
      </c>
      <c r="B114" s="7">
        <f>IFERROR(IF(OR(PRECIOS!B114="",PRECIOS!B113=""),"",PRECIOS!B114/PRECIOS!B113-1),"")</f>
        <v>-0.007163985409</v>
      </c>
      <c r="C114" s="7">
        <f>IFERROR(IF(OR(PRECIOS!C114="",PRECIOS!C113=""),"",PRECIOS!C114/PRECIOS!C113-1),"")</f>
        <v>0.008407498347</v>
      </c>
      <c r="D114" s="7">
        <f>IFERROR(IF(OR(PRECIOS!D114="",PRECIOS!D113=""),"",PRECIOS!D114/PRECIOS!D113-1),"")</f>
        <v>-0.01397377949</v>
      </c>
      <c r="E114" s="7">
        <f>IFERROR(IF(OR(PRECIOS!E114="",PRECIOS!E113=""),"",PRECIOS!E114/PRECIOS!E113-1),"")</f>
        <v>-0.001639187917</v>
      </c>
      <c r="F114" s="7">
        <f>IFERROR(IF(OR(PRECIOS!F114="",PRECIOS!F113=""),"",PRECIOS!F114/PRECIOS!F113-1),"")</f>
        <v>0.01204819277</v>
      </c>
      <c r="G114" s="7">
        <f>IFERROR(IF(OR(PRECIOS!G114="",PRECIOS!G113=""),"",PRECIOS!G114/PRECIOS!G113-1),"")</f>
        <v>-0.009231721983</v>
      </c>
      <c r="H114" s="7">
        <f>IFERROR(IF(OR(PRECIOS!H114="",PRECIOS!H113=""),"",PRECIOS!H114/PRECIOS!H113-1),"")</f>
        <v>-0.005050173805</v>
      </c>
      <c r="I114" s="7">
        <f>IFERROR(IF(OR(PRECIOS!I114="",PRECIOS!I113=""),"",PRECIOS!I114/PRECIOS!I113-1),"")</f>
        <v>0.004888839802</v>
      </c>
    </row>
    <row r="115" ht="15.75" customHeight="1">
      <c r="A115" s="4">
        <f>IF(PRECIOS!A115="","",PRECIOS!A115)</f>
        <v>44575</v>
      </c>
      <c r="B115" s="7">
        <f>IFERROR(IF(OR(PRECIOS!B115="",PRECIOS!B114=""),"",PRECIOS!B115/PRECIOS!B114-1),"")</f>
        <v>0.0175504965</v>
      </c>
      <c r="C115" s="7">
        <f>IFERROR(IF(OR(PRECIOS!C115="",PRECIOS!C114=""),"",PRECIOS!C115/PRECIOS!C114-1),"")</f>
        <v>0.004536751029</v>
      </c>
      <c r="D115" s="7">
        <f>IFERROR(IF(OR(PRECIOS!D115="",PRECIOS!D114=""),"",PRECIOS!D115/PRECIOS!D114-1),"")</f>
        <v>-0.0008483930705</v>
      </c>
      <c r="E115" s="7">
        <f>IFERROR(IF(OR(PRECIOS!E115="",PRECIOS!E114=""),"",PRECIOS!E115/PRECIOS!E114-1),"")</f>
        <v>-0.001534410804</v>
      </c>
      <c r="F115" s="7">
        <f>IFERROR(IF(OR(PRECIOS!F115="",PRECIOS!F114=""),"",PRECIOS!F115/PRECIOS!F114-1),"")</f>
        <v>0.0380952381</v>
      </c>
      <c r="G115" s="7">
        <f>IFERROR(IF(OR(PRECIOS!G115="",PRECIOS!G114=""),"",PRECIOS!G115/PRECIOS!G114-1),"")</f>
        <v>0.01243213385</v>
      </c>
      <c r="H115" s="7">
        <f>IFERROR(IF(OR(PRECIOS!H115="",PRECIOS!H114=""),"",PRECIOS!H115/PRECIOS!H114-1),"")</f>
        <v>0.0234820186</v>
      </c>
      <c r="I115" s="7">
        <f>IFERROR(IF(OR(PRECIOS!I115="",PRECIOS!I114=""),"",PRECIOS!I115/PRECIOS!I114-1),"")</f>
        <v>-0.006872496759</v>
      </c>
    </row>
    <row r="116" ht="15.75" customHeight="1">
      <c r="A116" s="4">
        <f>IF(PRECIOS!A116="","",PRECIOS!A116)</f>
        <v>44579</v>
      </c>
      <c r="B116" s="7">
        <f>IFERROR(IF(OR(PRECIOS!B116="",PRECIOS!B115=""),"",PRECIOS!B116/PRECIOS!B115-1),"")</f>
        <v>0.01683840197</v>
      </c>
      <c r="C116" s="7">
        <f>IFERROR(IF(OR(PRECIOS!C116="",PRECIOS!C115=""),"",PRECIOS!C116/PRECIOS!C115-1),"")</f>
        <v>-0.009474611735</v>
      </c>
      <c r="D116" s="7">
        <f>IFERROR(IF(OR(PRECIOS!D116="",PRECIOS!D115=""),"",PRECIOS!D116/PRECIOS!D115-1),"")</f>
        <v>-0.006646823585</v>
      </c>
      <c r="E116" s="7">
        <f>IFERROR(IF(OR(PRECIOS!E116="",PRECIOS!E115=""),"",PRECIOS!E116/PRECIOS!E115-1),"")</f>
        <v>-0.02511451021</v>
      </c>
      <c r="F116" s="7">
        <f>IFERROR(IF(OR(PRECIOS!F116="",PRECIOS!F115=""),"",PRECIOS!F116/PRECIOS!F115-1),"")</f>
        <v>-0.04357798165</v>
      </c>
      <c r="G116" s="7">
        <f>IFERROR(IF(OR(PRECIOS!G116="",PRECIOS!G115=""),"",PRECIOS!G116/PRECIOS!G115-1),"")</f>
        <v>0.01024067194</v>
      </c>
      <c r="H116" s="7">
        <f>IFERROR(IF(OR(PRECIOS!H116="",PRECIOS!H115=""),"",PRECIOS!H116/PRECIOS!H115-1),"")</f>
        <v>0.004021869812</v>
      </c>
      <c r="I116" s="7">
        <f>IFERROR(IF(OR(PRECIOS!I116="",PRECIOS!I115=""),"",PRECIOS!I116/PRECIOS!I115-1),"")</f>
        <v>-0.01194897517</v>
      </c>
    </row>
    <row r="117" ht="15.75" customHeight="1">
      <c r="A117" s="4">
        <f>IF(PRECIOS!A117="","",PRECIOS!A117)</f>
        <v>44580</v>
      </c>
      <c r="B117" s="7">
        <f>IFERROR(IF(OR(PRECIOS!B117="",PRECIOS!B116=""),"",PRECIOS!B117/PRECIOS!B116-1),"")</f>
        <v>0.0004026079893</v>
      </c>
      <c r="C117" s="7">
        <f>IFERROR(IF(OR(PRECIOS!C117="",PRECIOS!C116=""),"",PRECIOS!C117/PRECIOS!C116-1),"")</f>
        <v>0.004707723724</v>
      </c>
      <c r="D117" s="7">
        <f>IFERROR(IF(OR(PRECIOS!D117="",PRECIOS!D116=""),"",PRECIOS!D117/PRECIOS!D116-1),"")</f>
        <v>0.001750951304</v>
      </c>
      <c r="E117" s="7">
        <f>IFERROR(IF(OR(PRECIOS!E117="",PRECIOS!E116=""),"",PRECIOS!E117/PRECIOS!E116-1),"")</f>
        <v>-0.01943152962</v>
      </c>
      <c r="F117" s="7">
        <f>IFERROR(IF(OR(PRECIOS!F117="",PRECIOS!F116=""),"",PRECIOS!F117/PRECIOS!F116-1),"")</f>
        <v>-0.01918465228</v>
      </c>
      <c r="G117" s="7">
        <f>IFERROR(IF(OR(PRECIOS!G117="",PRECIOS!G116=""),"",PRECIOS!G117/PRECIOS!G116-1),"")</f>
        <v>-0.01893422586</v>
      </c>
      <c r="H117" s="7">
        <f>IFERROR(IF(OR(PRECIOS!H117="",PRECIOS!H116=""),"",PRECIOS!H117/PRECIOS!H116-1),"")</f>
        <v>-0.007252419849</v>
      </c>
      <c r="I117" s="7">
        <f>IFERROR(IF(OR(PRECIOS!I117="",PRECIOS!I116=""),"",PRECIOS!I117/PRECIOS!I116-1),"")</f>
        <v>0.00451981868</v>
      </c>
    </row>
    <row r="118" ht="15.75" customHeight="1">
      <c r="A118" s="4">
        <f>IF(PRECIOS!A118="","",PRECIOS!A118)</f>
        <v>44581</v>
      </c>
      <c r="B118" s="7">
        <f>IFERROR(IF(OR(PRECIOS!B118="",PRECIOS!B117=""),"",PRECIOS!B118/PRECIOS!B117-1),"")</f>
        <v>0.002198521047</v>
      </c>
      <c r="C118" s="7">
        <f>IFERROR(IF(OR(PRECIOS!C118="",PRECIOS!C117=""),"",PRECIOS!C118/PRECIOS!C117-1),"")</f>
        <v>-0.006578186709</v>
      </c>
      <c r="D118" s="7">
        <f>IFERROR(IF(OR(PRECIOS!D118="",PRECIOS!D117=""),"",PRECIOS!D118/PRECIOS!D117-1),"")</f>
        <v>-0.03335214266</v>
      </c>
      <c r="E118" s="7">
        <f>IFERROR(IF(OR(PRECIOS!E118="",PRECIOS!E117=""),"",PRECIOS!E118/PRECIOS!E117-1),"")</f>
        <v>-0.01421190247</v>
      </c>
      <c r="F118" s="7">
        <f>IFERROR(IF(OR(PRECIOS!F118="",PRECIOS!F117=""),"",PRECIOS!F118/PRECIOS!F117-1),"")</f>
        <v>-0.02689486553</v>
      </c>
      <c r="G118" s="7">
        <f>IFERROR(IF(OR(PRECIOS!G118="",PRECIOS!G117=""),"",PRECIOS!G118/PRECIOS!G117-1),"")</f>
        <v>-0.008938175207</v>
      </c>
      <c r="H118" s="7">
        <f>IFERROR(IF(OR(PRECIOS!H118="",PRECIOS!H117=""),"",PRECIOS!H118/PRECIOS!H117-1),"")</f>
        <v>-0.009182907873</v>
      </c>
      <c r="I118" s="7">
        <f>IFERROR(IF(OR(PRECIOS!I118="",PRECIOS!I117=""),"",PRECIOS!I118/PRECIOS!I117-1),"")</f>
        <v>0.001301963768</v>
      </c>
    </row>
    <row r="119" ht="15.75" customHeight="1">
      <c r="A119" s="4">
        <f>IF(PRECIOS!A119="","",PRECIOS!A119)</f>
        <v>44582</v>
      </c>
      <c r="B119" s="7">
        <f>IFERROR(IF(OR(PRECIOS!B119="",PRECIOS!B118=""),"",PRECIOS!B119/PRECIOS!B118-1),"")</f>
        <v>-0.01501250096</v>
      </c>
      <c r="C119" s="7">
        <f>IFERROR(IF(OR(PRECIOS!C119="",PRECIOS!C118=""),"",PRECIOS!C119/PRECIOS!C118-1),"")</f>
        <v>-0.00104287902</v>
      </c>
      <c r="D119" s="7">
        <f>IFERROR(IF(OR(PRECIOS!D119="",PRECIOS!D118=""),"",PRECIOS!D119/PRECIOS!D118-1),"")</f>
        <v>-0.0004603549004</v>
      </c>
      <c r="E119" s="7">
        <f>IFERROR(IF(OR(PRECIOS!E119="",PRECIOS!E118=""),"",PRECIOS!E119/PRECIOS!E118-1),"")</f>
        <v>-0.003242509233</v>
      </c>
      <c r="F119" s="7">
        <f>IFERROR(IF(OR(PRECIOS!F119="",PRECIOS!F118=""),"",PRECIOS!F119/PRECIOS!F118-1),"")</f>
        <v>-0.03768844221</v>
      </c>
      <c r="G119" s="7">
        <f>IFERROR(IF(OR(PRECIOS!G119="",PRECIOS!G118=""),"",PRECIOS!G119/PRECIOS!G118-1),"")</f>
        <v>-0.00035446609</v>
      </c>
      <c r="H119" s="7">
        <f>IFERROR(IF(OR(PRECIOS!H119="",PRECIOS!H118=""),"",PRECIOS!H119/PRECIOS!H118-1),"")</f>
        <v>-0.01977877052</v>
      </c>
      <c r="I119" s="7">
        <f>IFERROR(IF(OR(PRECIOS!I119="",PRECIOS!I118=""),"",PRECIOS!I119/PRECIOS!I118-1),"")</f>
        <v>-0.001883263844</v>
      </c>
    </row>
    <row r="120" ht="15.75" customHeight="1">
      <c r="A120" s="4">
        <f>IF(PRECIOS!A120="","",PRECIOS!A120)</f>
        <v>44585</v>
      </c>
      <c r="B120" s="7">
        <f>IFERROR(IF(OR(PRECIOS!B120="",PRECIOS!B119=""),"",PRECIOS!B120/PRECIOS!B119-1),"")</f>
        <v>0.008587283157</v>
      </c>
      <c r="C120" s="7">
        <f>IFERROR(IF(OR(PRECIOS!C120="",PRECIOS!C119=""),"",PRECIOS!C120/PRECIOS!C119-1),"")</f>
        <v>-0.006481491418</v>
      </c>
      <c r="D120" s="7">
        <f>IFERROR(IF(OR(PRECIOS!D120="",PRECIOS!D119=""),"",PRECIOS!D120/PRECIOS!D119-1),"")</f>
        <v>0.01103936185</v>
      </c>
      <c r="E120" s="7">
        <f>IFERROR(IF(OR(PRECIOS!E120="",PRECIOS!E119=""),"",PRECIOS!E120/PRECIOS!E119-1),"")</f>
        <v>0.001120426781</v>
      </c>
      <c r="F120" s="7">
        <f>IFERROR(IF(OR(PRECIOS!F120="",PRECIOS!F119=""),"",PRECIOS!F120/PRECIOS!F119-1),"")</f>
        <v>-0.01566579634</v>
      </c>
      <c r="G120" s="7">
        <f>IFERROR(IF(OR(PRECIOS!G120="",PRECIOS!G119=""),"",PRECIOS!G120/PRECIOS!G119-1),"")</f>
        <v>-0.01704599458</v>
      </c>
      <c r="H120" s="7">
        <f>IFERROR(IF(OR(PRECIOS!H120="",PRECIOS!H119=""),"",PRECIOS!H120/PRECIOS!H119-1),"")</f>
        <v>0.006734579218</v>
      </c>
      <c r="I120" s="7">
        <f>IFERROR(IF(OR(PRECIOS!I120="",PRECIOS!I119=""),"",PRECIOS!I120/PRECIOS!I119-1),"")</f>
        <v>-0.009591594311</v>
      </c>
    </row>
    <row r="121" ht="15.75" customHeight="1">
      <c r="A121" s="4">
        <f>IF(PRECIOS!A121="","",PRECIOS!A121)</f>
        <v>44586</v>
      </c>
      <c r="B121" s="7">
        <f>IFERROR(IF(OR(PRECIOS!B121="",PRECIOS!B120=""),"",PRECIOS!B121/PRECIOS!B120-1),"")</f>
        <v>0.02939181034</v>
      </c>
      <c r="C121" s="7">
        <f>IFERROR(IF(OR(PRECIOS!C121="",PRECIOS!C120=""),"",PRECIOS!C121/PRECIOS!C120-1),"")</f>
        <v>-0.001783700129</v>
      </c>
      <c r="D121" s="7">
        <f>IFERROR(IF(OR(PRECIOS!D121="",PRECIOS!D120=""),"",PRECIOS!D121/PRECIOS!D120-1),"")</f>
        <v>-0.01316833776</v>
      </c>
      <c r="E121" s="7">
        <f>IFERROR(IF(OR(PRECIOS!E121="",PRECIOS!E120=""),"",PRECIOS!E121/PRECIOS!E120-1),"")</f>
        <v>-0.02045669882</v>
      </c>
      <c r="F121" s="7">
        <f>IFERROR(IF(OR(PRECIOS!F121="",PRECIOS!F120=""),"",PRECIOS!F121/PRECIOS!F120-1),"")</f>
        <v>0.0424403183</v>
      </c>
      <c r="G121" s="7">
        <f>IFERROR(IF(OR(PRECIOS!G121="",PRECIOS!G120=""),"",PRECIOS!G121/PRECIOS!G120-1),"")</f>
        <v>0.0247646816</v>
      </c>
      <c r="H121" s="7">
        <f>IFERROR(IF(OR(PRECIOS!H121="",PRECIOS!H120=""),"",PRECIOS!H121/PRECIOS!H120-1),"")</f>
        <v>0.0388044029</v>
      </c>
      <c r="I121" s="7">
        <f>IFERROR(IF(OR(PRECIOS!I121="",PRECIOS!I120=""),"",PRECIOS!I121/PRECIOS!I120-1),"")</f>
        <v>-0.01568137617</v>
      </c>
    </row>
    <row r="122" ht="15.75" customHeight="1">
      <c r="A122" s="4">
        <f>IF(PRECIOS!A122="","",PRECIOS!A122)</f>
        <v>44587</v>
      </c>
      <c r="B122" s="7">
        <f>IFERROR(IF(OR(PRECIOS!B122="",PRECIOS!B121=""),"",PRECIOS!B122/PRECIOS!B121-1),"")</f>
        <v>-0.01013313353</v>
      </c>
      <c r="C122" s="7">
        <f>IFERROR(IF(OR(PRECIOS!C122="",PRECIOS!C121=""),"",PRECIOS!C122/PRECIOS!C121-1),"")</f>
        <v>-0.003425382766</v>
      </c>
      <c r="D122" s="7">
        <f>IFERROR(IF(OR(PRECIOS!D122="",PRECIOS!D121=""),"",PRECIOS!D122/PRECIOS!D121-1),"")</f>
        <v>-0.006462635213</v>
      </c>
      <c r="E122" s="7">
        <f>IFERROR(IF(OR(PRECIOS!E122="",PRECIOS!E121=""),"",PRECIOS!E122/PRECIOS!E121-1),"")</f>
        <v>0.005108996248</v>
      </c>
      <c r="F122" s="7">
        <f>IFERROR(IF(OR(PRECIOS!F122="",PRECIOS!F121=""),"",PRECIOS!F122/PRECIOS!F121-1),"")</f>
        <v>0.005089058524</v>
      </c>
      <c r="G122" s="7">
        <f>IFERROR(IF(OR(PRECIOS!G122="",PRECIOS!G121=""),"",PRECIOS!G122/PRECIOS!G121-1),"")</f>
        <v>0.008288876792</v>
      </c>
      <c r="H122" s="7">
        <f>IFERROR(IF(OR(PRECIOS!H122="",PRECIOS!H121=""),"",PRECIOS!H122/PRECIOS!H121-1),"")</f>
        <v>-0.001682365208</v>
      </c>
      <c r="I122" s="7">
        <f>IFERROR(IF(OR(PRECIOS!I122="",PRECIOS!I121=""),"",PRECIOS!I122/PRECIOS!I121-1),"")</f>
        <v>-0.008202901478</v>
      </c>
    </row>
    <row r="123" ht="15.75" customHeight="1">
      <c r="A123" s="4">
        <f>IF(PRECIOS!A123="","",PRECIOS!A123)</f>
        <v>44588</v>
      </c>
      <c r="B123" s="7">
        <f>IFERROR(IF(OR(PRECIOS!B123="",PRECIOS!B122=""),"",PRECIOS!B123/PRECIOS!B122-1),"")</f>
        <v>0.01279923521</v>
      </c>
      <c r="C123" s="7">
        <f>IFERROR(IF(OR(PRECIOS!C123="",PRECIOS!C122=""),"",PRECIOS!C123/PRECIOS!C122-1),"")</f>
        <v>0.01507478452</v>
      </c>
      <c r="D123" s="7">
        <f>IFERROR(IF(OR(PRECIOS!D123="",PRECIOS!D122=""),"",PRECIOS!D123/PRECIOS!D122-1),"")</f>
        <v>-0.01025036762</v>
      </c>
      <c r="E123" s="7">
        <f>IFERROR(IF(OR(PRECIOS!E123="",PRECIOS!E122=""),"",PRECIOS!E123/PRECIOS!E122-1),"")</f>
        <v>-0.01779382415</v>
      </c>
      <c r="F123" s="7">
        <f>IFERROR(IF(OR(PRECIOS!F123="",PRECIOS!F122=""),"",PRECIOS!F123/PRECIOS!F122-1),"")</f>
        <v>0.005063291139</v>
      </c>
      <c r="G123" s="7">
        <f>IFERROR(IF(OR(PRECIOS!G123="",PRECIOS!G122=""),"",PRECIOS!G123/PRECIOS!G122-1),"")</f>
        <v>0.005481690506</v>
      </c>
      <c r="H123" s="7">
        <f>IFERROR(IF(OR(PRECIOS!H123="",PRECIOS!H122=""),"",PRECIOS!H123/PRECIOS!H122-1),"")</f>
        <v>0.01090069709</v>
      </c>
      <c r="I123" s="7">
        <f>IFERROR(IF(OR(PRECIOS!I123="",PRECIOS!I122=""),"",PRECIOS!I123/PRECIOS!I122-1),"")</f>
        <v>0.008857876892</v>
      </c>
    </row>
    <row r="124" ht="15.75" customHeight="1">
      <c r="A124" s="4">
        <f>IF(PRECIOS!A124="","",PRECIOS!A124)</f>
        <v>44589</v>
      </c>
      <c r="B124" s="7">
        <f>IFERROR(IF(OR(PRECIOS!B124="",PRECIOS!B123=""),"",PRECIOS!B124/PRECIOS!B123-1),"")</f>
        <v>0.002141078677</v>
      </c>
      <c r="C124" s="7">
        <f>IFERROR(IF(OR(PRECIOS!C124="",PRECIOS!C123=""),"",PRECIOS!C124/PRECIOS!C123-1),"")</f>
        <v>0.01425650711</v>
      </c>
      <c r="D124" s="7">
        <f>IFERROR(IF(OR(PRECIOS!D124="",PRECIOS!D123=""),"",PRECIOS!D124/PRECIOS!D123-1),"")</f>
        <v>0.01692856417</v>
      </c>
      <c r="E124" s="7">
        <f>IFERROR(IF(OR(PRECIOS!E124="",PRECIOS!E123=""),"",PRECIOS!E124/PRECIOS!E123-1),"")</f>
        <v>0.008160500809</v>
      </c>
      <c r="F124" s="7">
        <f>IFERROR(IF(OR(PRECIOS!F124="",PRECIOS!F123=""),"",PRECIOS!F124/PRECIOS!F123-1),"")</f>
        <v>0.07052896725</v>
      </c>
      <c r="G124" s="7">
        <f>IFERROR(IF(OR(PRECIOS!G124="",PRECIOS!G123=""),"",PRECIOS!G124/PRECIOS!G123-1),"")</f>
        <v>0.009178219984</v>
      </c>
      <c r="H124" s="7">
        <f>IFERROR(IF(OR(PRECIOS!H124="",PRECIOS!H123=""),"",PRECIOS!H124/PRECIOS!H123-1),"")</f>
        <v>-0.004265631895</v>
      </c>
      <c r="I124" s="7">
        <f>IFERROR(IF(OR(PRECIOS!I124="",PRECIOS!I123=""),"",PRECIOS!I124/PRECIOS!I123-1),"")</f>
        <v>0.01207348375</v>
      </c>
    </row>
    <row r="125" ht="15.75" customHeight="1">
      <c r="A125" s="4">
        <f>IF(PRECIOS!A125="","",PRECIOS!A125)</f>
        <v>44592</v>
      </c>
      <c r="B125" s="7">
        <f>IFERROR(IF(OR(PRECIOS!B125="",PRECIOS!B124=""),"",PRECIOS!B125/PRECIOS!B124-1),"")</f>
        <v>0.009025245829</v>
      </c>
      <c r="C125" s="7">
        <f>IFERROR(IF(OR(PRECIOS!C125="",PRECIOS!C124=""),"",PRECIOS!C125/PRECIOS!C124-1),"")</f>
        <v>0.007100372419</v>
      </c>
      <c r="D125" s="7">
        <f>IFERROR(IF(OR(PRECIOS!D125="",PRECIOS!D124=""),"",PRECIOS!D125/PRECIOS!D124-1),"")</f>
        <v>0.006467394149</v>
      </c>
      <c r="E125" s="7">
        <f>IFERROR(IF(OR(PRECIOS!E125="",PRECIOS!E124=""),"",PRECIOS!E125/PRECIOS!E124-1),"")</f>
        <v>0.01109480481</v>
      </c>
      <c r="F125" s="7">
        <f>IFERROR(IF(OR(PRECIOS!F125="",PRECIOS!F124=""),"",PRECIOS!F125/PRECIOS!F124-1),"")</f>
        <v>0.01647058824</v>
      </c>
      <c r="G125" s="7">
        <f>IFERROR(IF(OR(PRECIOS!G125="",PRECIOS!G124=""),"",PRECIOS!G125/PRECIOS!G124-1),"")</f>
        <v>0.01011630918</v>
      </c>
      <c r="H125" s="7">
        <f>IFERROR(IF(OR(PRECIOS!H125="",PRECIOS!H124=""),"",PRECIOS!H125/PRECIOS!H124-1),"")</f>
        <v>0.004417557681</v>
      </c>
      <c r="I125" s="7">
        <f>IFERROR(IF(OR(PRECIOS!I125="",PRECIOS!I124=""),"",PRECIOS!I125/PRECIOS!I124-1),"")</f>
        <v>0.01897278396</v>
      </c>
    </row>
    <row r="126" ht="15.75" customHeight="1">
      <c r="A126" s="4">
        <f>IF(PRECIOS!A126="","",PRECIOS!A126)</f>
        <v>44593</v>
      </c>
      <c r="B126" s="7">
        <f>IFERROR(IF(OR(PRECIOS!B126="",PRECIOS!B125=""),"",PRECIOS!B126/PRECIOS!B125-1),"")</f>
        <v>0.06411721632</v>
      </c>
      <c r="C126" s="7">
        <f>IFERROR(IF(OR(PRECIOS!C126="",PRECIOS!C125=""),"",PRECIOS!C126/PRECIOS!C125-1),"")</f>
        <v>-0.02158924487</v>
      </c>
      <c r="D126" s="7">
        <f>IFERROR(IF(OR(PRECIOS!D126="",PRECIOS!D125=""),"",PRECIOS!D126/PRECIOS!D125-1),"")</f>
        <v>-0.007347865147</v>
      </c>
      <c r="E126" s="7">
        <f>IFERROR(IF(OR(PRECIOS!E126="",PRECIOS!E125=""),"",PRECIOS!E126/PRECIOS!E125-1),"")</f>
        <v>0.006025184497</v>
      </c>
      <c r="F126" s="7">
        <f>IFERROR(IF(OR(PRECIOS!F126="",PRECIOS!F125=""),"",PRECIOS!F126/PRECIOS!F125-1),"")</f>
        <v>0.01157407407</v>
      </c>
      <c r="G126" s="7">
        <f>IFERROR(IF(OR(PRECIOS!G126="",PRECIOS!G125=""),"",PRECIOS!G126/PRECIOS!G125-1),"")</f>
        <v>0.01939088326</v>
      </c>
      <c r="H126" s="7">
        <f>IFERROR(IF(OR(PRECIOS!H126="",PRECIOS!H125=""),"",PRECIOS!H126/PRECIOS!H125-1),"")</f>
        <v>0.03565775836</v>
      </c>
      <c r="I126" s="7">
        <f>IFERROR(IF(OR(PRECIOS!I126="",PRECIOS!I125=""),"",PRECIOS!I126/PRECIOS!I125-1),"")</f>
        <v>-0.01328614301</v>
      </c>
    </row>
    <row r="127" ht="15.75" customHeight="1">
      <c r="A127" s="4">
        <f>IF(PRECIOS!A127="","",PRECIOS!A127)</f>
        <v>44594</v>
      </c>
      <c r="B127" s="7">
        <f>IFERROR(IF(OR(PRECIOS!B127="",PRECIOS!B126=""),"",PRECIOS!B127/PRECIOS!B126-1),"")</f>
        <v>-0.002600776889</v>
      </c>
      <c r="C127" s="7">
        <f>IFERROR(IF(OR(PRECIOS!C127="",PRECIOS!C126=""),"",PRECIOS!C127/PRECIOS!C126-1),"")</f>
        <v>0.01206484529</v>
      </c>
      <c r="D127" s="7">
        <f>IFERROR(IF(OR(PRECIOS!D127="",PRECIOS!D126=""),"",PRECIOS!D127/PRECIOS!D126-1),"")</f>
        <v>0.02722734548</v>
      </c>
      <c r="E127" s="7">
        <f>IFERROR(IF(OR(PRECIOS!E127="",PRECIOS!E126=""),"",PRECIOS!E127/PRECIOS!E126-1),"")</f>
        <v>0.01268355242</v>
      </c>
      <c r="F127" s="7">
        <f>IFERROR(IF(OR(PRECIOS!F127="",PRECIOS!F126=""),"",PRECIOS!F127/PRECIOS!F126-1),"")</f>
        <v>-0.01372997712</v>
      </c>
      <c r="G127" s="7">
        <f>IFERROR(IF(OR(PRECIOS!G127="",PRECIOS!G126=""),"",PRECIOS!G127/PRECIOS!G126-1),"")</f>
        <v>0.005246387296</v>
      </c>
      <c r="H127" s="7">
        <f>IFERROR(IF(OR(PRECIOS!H127="",PRECIOS!H126=""),"",PRECIOS!H127/PRECIOS!H126-1),"")</f>
        <v>0.00322221809</v>
      </c>
      <c r="I127" s="7">
        <f>IFERROR(IF(OR(PRECIOS!I127="",PRECIOS!I126=""),"",PRECIOS!I127/PRECIOS!I126-1),"")</f>
        <v>0.01479071828</v>
      </c>
    </row>
    <row r="128" ht="15.75" customHeight="1">
      <c r="A128" s="4">
        <f>IF(PRECIOS!A128="","",PRECIOS!A128)</f>
        <v>44595</v>
      </c>
      <c r="B128" s="7">
        <f>IFERROR(IF(OR(PRECIOS!B128="",PRECIOS!B127=""),"",PRECIOS!B128/PRECIOS!B127-1),"")</f>
        <v>-0.01166308589</v>
      </c>
      <c r="C128" s="7">
        <f>IFERROR(IF(OR(PRECIOS!C128="",PRECIOS!C127=""),"",PRECIOS!C128/PRECIOS!C127-1),"")</f>
        <v>0.006402392966</v>
      </c>
      <c r="D128" s="7">
        <f>IFERROR(IF(OR(PRECIOS!D128="",PRECIOS!D127=""),"",PRECIOS!D128/PRECIOS!D127-1),"")</f>
        <v>-0.01753751414</v>
      </c>
      <c r="E128" s="7">
        <f>IFERROR(IF(OR(PRECIOS!E128="",PRECIOS!E127=""),"",PRECIOS!E128/PRECIOS!E127-1),"")</f>
        <v>-0.02834202928</v>
      </c>
      <c r="F128" s="7">
        <f>IFERROR(IF(OR(PRECIOS!F128="",PRECIOS!F127=""),"",PRECIOS!F128/PRECIOS!F127-1),"")</f>
        <v>-0.03480278422</v>
      </c>
      <c r="G128" s="7">
        <f>IFERROR(IF(OR(PRECIOS!G128="",PRECIOS!G127=""),"",PRECIOS!G128/PRECIOS!G127-1),"")</f>
        <v>-0.01205203243</v>
      </c>
      <c r="H128" s="7">
        <f>IFERROR(IF(OR(PRECIOS!H128="",PRECIOS!H127=""),"",PRECIOS!H128/PRECIOS!H127-1),"")</f>
        <v>-0.009494054841</v>
      </c>
      <c r="I128" s="7">
        <f>IFERROR(IF(OR(PRECIOS!I128="",PRECIOS!I127=""),"",PRECIOS!I128/PRECIOS!I127-1),"")</f>
        <v>-0.004469623177</v>
      </c>
    </row>
    <row r="129" ht="15.75" customHeight="1">
      <c r="A129" s="4">
        <f>IF(PRECIOS!A129="","",PRECIOS!A129)</f>
        <v>44596</v>
      </c>
      <c r="B129" s="7">
        <f>IFERROR(IF(OR(PRECIOS!B129="",PRECIOS!B128=""),"",PRECIOS!B129/PRECIOS!B128-1),"")</f>
        <v>0.02171076496</v>
      </c>
      <c r="C129" s="7">
        <f>IFERROR(IF(OR(PRECIOS!C129="",PRECIOS!C128=""),"",PRECIOS!C129/PRECIOS!C128-1),"")</f>
        <v>-0.008096935053</v>
      </c>
      <c r="D129" s="7">
        <f>IFERROR(IF(OR(PRECIOS!D129="",PRECIOS!D128=""),"",PRECIOS!D129/PRECIOS!D128-1),"")</f>
        <v>-0.0009203757021</v>
      </c>
      <c r="E129" s="7">
        <f>IFERROR(IF(OR(PRECIOS!E129="",PRECIOS!E128=""),"",PRECIOS!E129/PRECIOS!E128-1),"")</f>
        <v>-0.03718426609</v>
      </c>
      <c r="F129" s="7">
        <f>IFERROR(IF(OR(PRECIOS!F129="",PRECIOS!F128=""),"",PRECIOS!F129/PRECIOS!F128-1),"")</f>
        <v>-0.01442307692</v>
      </c>
      <c r="G129" s="7">
        <f>IFERROR(IF(OR(PRECIOS!G129="",PRECIOS!G128=""),"",PRECIOS!G129/PRECIOS!G128-1),"")</f>
        <v>0.008893482853</v>
      </c>
      <c r="H129" s="7">
        <f>IFERROR(IF(OR(PRECIOS!H129="",PRECIOS!H128=""),"",PRECIOS!H129/PRECIOS!H128-1),"")</f>
        <v>0.01562462784</v>
      </c>
      <c r="I129" s="7">
        <f>IFERROR(IF(OR(PRECIOS!I129="",PRECIOS!I128=""),"",PRECIOS!I129/PRECIOS!I128-1),"")</f>
        <v>-0.007978035859</v>
      </c>
    </row>
    <row r="130" ht="15.75" customHeight="1">
      <c r="A130" s="4">
        <f>IF(PRECIOS!A130="","",PRECIOS!A130)</f>
        <v>44599</v>
      </c>
      <c r="B130" s="7">
        <f>IFERROR(IF(OR(PRECIOS!B130="",PRECIOS!B129=""),"",PRECIOS!B130/PRECIOS!B129-1),"")</f>
        <v>0.01204674643</v>
      </c>
      <c r="C130" s="7">
        <f>IFERROR(IF(OR(PRECIOS!C130="",PRECIOS!C129=""),"",PRECIOS!C130/PRECIOS!C129-1),"")</f>
        <v>-0.0151350517</v>
      </c>
      <c r="D130" s="7">
        <f>IFERROR(IF(OR(PRECIOS!D130="",PRECIOS!D129=""),"",PRECIOS!D130/PRECIOS!D129-1),"")</f>
        <v>0.006878469352</v>
      </c>
      <c r="E130" s="7">
        <f>IFERROR(IF(OR(PRECIOS!E130="",PRECIOS!E129=""),"",PRECIOS!E130/PRECIOS!E129-1),"")</f>
        <v>-0.005793727072</v>
      </c>
      <c r="F130" s="7">
        <f>IFERROR(IF(OR(PRECIOS!F130="",PRECIOS!F129=""),"",PRECIOS!F130/PRECIOS!F129-1),"")</f>
        <v>0.007317073171</v>
      </c>
      <c r="G130" s="7">
        <f>IFERROR(IF(OR(PRECIOS!G130="",PRECIOS!G129=""),"",PRECIOS!G130/PRECIOS!G129-1),"")</f>
        <v>0.004239079986</v>
      </c>
      <c r="H130" s="7">
        <f>IFERROR(IF(OR(PRECIOS!H130="",PRECIOS!H129=""),"",PRECIOS!H130/PRECIOS!H129-1),"")</f>
        <v>0.01278447638</v>
      </c>
      <c r="I130" s="7">
        <f>IFERROR(IF(OR(PRECIOS!I130="",PRECIOS!I129=""),"",PRECIOS!I130/PRECIOS!I129-1),"")</f>
        <v>-0.001454720585</v>
      </c>
    </row>
    <row r="131" ht="15.75" customHeight="1">
      <c r="A131" s="4">
        <f>IF(PRECIOS!A131="","",PRECIOS!A131)</f>
        <v>44600</v>
      </c>
      <c r="B131" s="7">
        <f>IFERROR(IF(OR(PRECIOS!B131="",PRECIOS!B130=""),"",PRECIOS!B131/PRECIOS!B130-1),"")</f>
        <v>-0.02585726075</v>
      </c>
      <c r="C131" s="7">
        <f>IFERROR(IF(OR(PRECIOS!C131="",PRECIOS!C130=""),"",PRECIOS!C131/PRECIOS!C130-1),"")</f>
        <v>0.003540350624</v>
      </c>
      <c r="D131" s="7">
        <f>IFERROR(IF(OR(PRECIOS!D131="",PRECIOS!D130=""),"",PRECIOS!D131/PRECIOS!D130-1),"")</f>
        <v>0.01320314736</v>
      </c>
      <c r="E131" s="7">
        <f>IFERROR(IF(OR(PRECIOS!E131="",PRECIOS!E130=""),"",PRECIOS!E131/PRECIOS!E130-1),"")</f>
        <v>0.009170127306</v>
      </c>
      <c r="F131" s="7">
        <f>IFERROR(IF(OR(PRECIOS!F131="",PRECIOS!F130=""),"",PRECIOS!F131/PRECIOS!F130-1),"")</f>
        <v>-0.01937046005</v>
      </c>
      <c r="G131" s="7">
        <f>IFERROR(IF(OR(PRECIOS!G131="",PRECIOS!G130=""),"",PRECIOS!G131/PRECIOS!G130-1),"")</f>
        <v>-0.00976384638</v>
      </c>
      <c r="H131" s="7">
        <f>IFERROR(IF(OR(PRECIOS!H131="",PRECIOS!H130=""),"",PRECIOS!H131/PRECIOS!H130-1),"")</f>
        <v>-0.02150822188</v>
      </c>
      <c r="I131" s="7">
        <f>IFERROR(IF(OR(PRECIOS!I131="",PRECIOS!I130=""),"",PRECIOS!I131/PRECIOS!I130-1),"")</f>
        <v>0.0007300716858</v>
      </c>
    </row>
    <row r="132" ht="15.75" customHeight="1">
      <c r="A132" s="4">
        <f>IF(PRECIOS!A132="","",PRECIOS!A132)</f>
        <v>44601</v>
      </c>
      <c r="B132" s="7">
        <f>IFERROR(IF(OR(PRECIOS!B132="",PRECIOS!B131=""),"",PRECIOS!B132/PRECIOS!B131-1),"")</f>
        <v>-0.004786424431</v>
      </c>
      <c r="C132" s="7">
        <f>IFERROR(IF(OR(PRECIOS!C132="",PRECIOS!C131=""),"",PRECIOS!C132/PRECIOS!C131-1),"")</f>
        <v>0.002797483337</v>
      </c>
      <c r="D132" s="7">
        <f>IFERROR(IF(OR(PRECIOS!D132="",PRECIOS!D131=""),"",PRECIOS!D132/PRECIOS!D131-1),"")</f>
        <v>0.009863622682</v>
      </c>
      <c r="E132" s="7">
        <f>IFERROR(IF(OR(PRECIOS!E132="",PRECIOS!E131=""),"",PRECIOS!E132/PRECIOS!E131-1),"")</f>
        <v>0.03531506979</v>
      </c>
      <c r="F132" s="7">
        <f>IFERROR(IF(OR(PRECIOS!F132="",PRECIOS!F131=""),"",PRECIOS!F132/PRECIOS!F131-1),"")</f>
        <v>0.004938271605</v>
      </c>
      <c r="G132" s="7">
        <f>IFERROR(IF(OR(PRECIOS!G132="",PRECIOS!G131=""),"",PRECIOS!G132/PRECIOS!G131-1),"")</f>
        <v>0.001994841761</v>
      </c>
      <c r="H132" s="7">
        <f>IFERROR(IF(OR(PRECIOS!H132="",PRECIOS!H131=""),"",PRECIOS!H132/PRECIOS!H131-1),"")</f>
        <v>0.00835696972</v>
      </c>
      <c r="I132" s="7">
        <f>IFERROR(IF(OR(PRECIOS!I132="",PRECIOS!I131=""),"",PRECIOS!I132/PRECIOS!I131-1),"")</f>
        <v>0.004390438747</v>
      </c>
    </row>
    <row r="133" ht="15.75" customHeight="1">
      <c r="A133" s="4">
        <f>IF(PRECIOS!A133="","",PRECIOS!A133)</f>
        <v>44602</v>
      </c>
      <c r="B133" s="7">
        <f>IFERROR(IF(OR(PRECIOS!B133="",PRECIOS!B132=""),"",PRECIOS!B133/PRECIOS!B132-1),"")</f>
        <v>-0.009618888947</v>
      </c>
      <c r="C133" s="7">
        <f>IFERROR(IF(OR(PRECIOS!C133="",PRECIOS!C132=""),"",PRECIOS!C133/PRECIOS!C132-1),"")</f>
        <v>-0.03128349676</v>
      </c>
      <c r="D133" s="7">
        <f>IFERROR(IF(OR(PRECIOS!D133="",PRECIOS!D132=""),"",PRECIOS!D133/PRECIOS!D132-1),"")</f>
        <v>-0.01819098934</v>
      </c>
      <c r="E133" s="7">
        <f>IFERROR(IF(OR(PRECIOS!E133="",PRECIOS!E132=""),"",PRECIOS!E133/PRECIOS!E132-1),"")</f>
        <v>-0.01314897832</v>
      </c>
      <c r="F133" s="7">
        <f>IFERROR(IF(OR(PRECIOS!F133="",PRECIOS!F132=""),"",PRECIOS!F133/PRECIOS!F132-1),"")</f>
        <v>0.009828009828</v>
      </c>
      <c r="G133" s="7">
        <f>IFERROR(IF(OR(PRECIOS!G133="",PRECIOS!G132=""),"",PRECIOS!G133/PRECIOS!G132-1),"")</f>
        <v>-0.01084109957</v>
      </c>
      <c r="H133" s="7">
        <f>IFERROR(IF(OR(PRECIOS!H133="",PRECIOS!H132=""),"",PRECIOS!H133/PRECIOS!H132-1),"")</f>
        <v>-0.006245955886</v>
      </c>
      <c r="I133" s="7">
        <f>IFERROR(IF(OR(PRECIOS!I133="",PRECIOS!I132=""),"",PRECIOS!I133/PRECIOS!I132-1),"")</f>
        <v>-0.0253269397</v>
      </c>
    </row>
    <row r="134" ht="15.75" customHeight="1">
      <c r="A134" s="4">
        <f>IF(PRECIOS!A134="","",PRECIOS!A134)</f>
        <v>44603</v>
      </c>
      <c r="B134" s="7">
        <f>IFERROR(IF(OR(PRECIOS!B134="",PRECIOS!B133=""),"",PRECIOS!B134/PRECIOS!B133-1),"")</f>
        <v>0.02517709524</v>
      </c>
      <c r="C134" s="7">
        <f>IFERROR(IF(OR(PRECIOS!C134="",PRECIOS!C133=""),"",PRECIOS!C134/PRECIOS!C133-1),"")</f>
        <v>0.01274695552</v>
      </c>
      <c r="D134" s="7">
        <f>IFERROR(IF(OR(PRECIOS!D134="",PRECIOS!D133=""),"",PRECIOS!D134/PRECIOS!D133-1),"")</f>
        <v>-0.01222747399</v>
      </c>
      <c r="E134" s="7">
        <f>IFERROR(IF(OR(PRECIOS!E134="",PRECIOS!E133=""),"",PRECIOS!E134/PRECIOS!E133-1),"")</f>
        <v>-0.02669457393</v>
      </c>
      <c r="F134" s="7">
        <f>IFERROR(IF(OR(PRECIOS!F134="",PRECIOS!F133=""),"",PRECIOS!F134/PRECIOS!F133-1),"")</f>
        <v>0.01946472019</v>
      </c>
      <c r="G134" s="7">
        <f>IFERROR(IF(OR(PRECIOS!G134="",PRECIOS!G133=""),"",PRECIOS!G134/PRECIOS!G133-1),"")</f>
        <v>0.01889556685</v>
      </c>
      <c r="H134" s="7">
        <f>IFERROR(IF(OR(PRECIOS!H134="",PRECIOS!H133=""),"",PRECIOS!H134/PRECIOS!H133-1),"")</f>
        <v>0.02908134004</v>
      </c>
      <c r="I134" s="7">
        <f>IFERROR(IF(OR(PRECIOS!I134="",PRECIOS!I133=""),"",PRECIOS!I134/PRECIOS!I133-1),"")</f>
        <v>0.0006002259277</v>
      </c>
    </row>
    <row r="135" ht="15.75" customHeight="1">
      <c r="A135" s="4">
        <f>IF(PRECIOS!A135="","",PRECIOS!A135)</f>
        <v>44606</v>
      </c>
      <c r="B135" s="7">
        <f>IFERROR(IF(OR(PRECIOS!B135="",PRECIOS!B134=""),"",PRECIOS!B135/PRECIOS!B134-1),"")</f>
        <v>-0.01533369143</v>
      </c>
      <c r="C135" s="7">
        <f>IFERROR(IF(OR(PRECIOS!C135="",PRECIOS!C134=""),"",PRECIOS!C135/PRECIOS!C134-1),"")</f>
        <v>-0.01408220534</v>
      </c>
      <c r="D135" s="7">
        <f>IFERROR(IF(OR(PRECIOS!D135="",PRECIOS!D134=""),"",PRECIOS!D135/PRECIOS!D134-1),"")</f>
        <v>-0.009655302851</v>
      </c>
      <c r="E135" s="7">
        <f>IFERROR(IF(OR(PRECIOS!E135="",PRECIOS!E134=""),"",PRECIOS!E135/PRECIOS!E134-1),"")</f>
        <v>0.0100128213</v>
      </c>
      <c r="F135" s="7">
        <f>IFERROR(IF(OR(PRECIOS!F135="",PRECIOS!F134=""),"",PRECIOS!F135/PRECIOS!F134-1),"")</f>
        <v>-0.02386634845</v>
      </c>
      <c r="G135" s="7">
        <f>IFERROR(IF(OR(PRECIOS!G135="",PRECIOS!G134=""),"",PRECIOS!G135/PRECIOS!G134-1),"")</f>
        <v>-0.02048627515</v>
      </c>
      <c r="H135" s="7">
        <f>IFERROR(IF(OR(PRECIOS!H135="",PRECIOS!H134=""),"",PRECIOS!H135/PRECIOS!H134-1),"")</f>
        <v>-0.02357145199</v>
      </c>
      <c r="I135" s="7">
        <f>IFERROR(IF(OR(PRECIOS!I135="",PRECIOS!I134=""),"",PRECIOS!I135/PRECIOS!I134-1),"")</f>
        <v>-0.008495853174</v>
      </c>
    </row>
    <row r="136" ht="15.75" customHeight="1">
      <c r="A136" s="4">
        <f>IF(PRECIOS!A136="","",PRECIOS!A136)</f>
        <v>44607</v>
      </c>
      <c r="B136" s="7">
        <f>IFERROR(IF(OR(PRECIOS!B136="",PRECIOS!B135=""),"",PRECIOS!B136/PRECIOS!B135-1),"")</f>
        <v>-0.01253635661</v>
      </c>
      <c r="C136" s="7">
        <f>IFERROR(IF(OR(PRECIOS!C136="",PRECIOS!C135=""),"",PRECIOS!C136/PRECIOS!C135-1),"")</f>
        <v>-0.01259738107</v>
      </c>
      <c r="D136" s="7">
        <f>IFERROR(IF(OR(PRECIOS!D136="",PRECIOS!D135=""),"",PRECIOS!D136/PRECIOS!D135-1),"")</f>
        <v>0.008813643482</v>
      </c>
      <c r="E136" s="7">
        <f>IFERROR(IF(OR(PRECIOS!E136="",PRECIOS!E135=""),"",PRECIOS!E136/PRECIOS!E135-1),"")</f>
        <v>0.02213759428</v>
      </c>
      <c r="F136" s="7">
        <f>IFERROR(IF(OR(PRECIOS!F136="",PRECIOS!F135=""),"",PRECIOS!F136/PRECIOS!F135-1),"")</f>
        <v>0.01222493888</v>
      </c>
      <c r="G136" s="7">
        <f>IFERROR(IF(OR(PRECIOS!G136="",PRECIOS!G135=""),"",PRECIOS!G136/PRECIOS!G135-1),"")</f>
        <v>-0.007315265943</v>
      </c>
      <c r="H136" s="7">
        <f>IFERROR(IF(OR(PRECIOS!H136="",PRECIOS!H135=""),"",PRECIOS!H136/PRECIOS!H135-1),"")</f>
        <v>-0.01048213806</v>
      </c>
      <c r="I136" s="7">
        <f>IFERROR(IF(OR(PRECIOS!I136="",PRECIOS!I135=""),"",PRECIOS!I136/PRECIOS!I135-1),"")</f>
        <v>-0.004666702922</v>
      </c>
    </row>
    <row r="137" ht="15.75" customHeight="1">
      <c r="A137" s="4">
        <f>IF(PRECIOS!A137="","",PRECIOS!A137)</f>
        <v>44608</v>
      </c>
      <c r="B137" s="7">
        <f>IFERROR(IF(OR(PRECIOS!B137="",PRECIOS!B136=""),"",PRECIOS!B137/PRECIOS!B136-1),"")</f>
        <v>0.004617269008</v>
      </c>
      <c r="C137" s="7">
        <f>IFERROR(IF(OR(PRECIOS!C137="",PRECIOS!C136=""),"",PRECIOS!C137/PRECIOS!C136-1),"")</f>
        <v>-0.002315003557</v>
      </c>
      <c r="D137" s="7">
        <f>IFERROR(IF(OR(PRECIOS!D137="",PRECIOS!D136=""),"",PRECIOS!D137/PRECIOS!D136-1),"")</f>
        <v>-0.003237195566</v>
      </c>
      <c r="E137" s="7">
        <f>IFERROR(IF(OR(PRECIOS!E137="",PRECIOS!E136=""),"",PRECIOS!E137/PRECIOS!E136-1),"")</f>
        <v>0.00963313905</v>
      </c>
      <c r="F137" s="7">
        <f>IFERROR(IF(OR(PRECIOS!F137="",PRECIOS!F136=""),"",PRECIOS!F137/PRECIOS!F136-1),"")</f>
        <v>0.06038647343</v>
      </c>
      <c r="G137" s="7">
        <f>IFERROR(IF(OR(PRECIOS!G137="",PRECIOS!G136=""),"",PRECIOS!G137/PRECIOS!G136-1),"")</f>
        <v>0.005024276374</v>
      </c>
      <c r="H137" s="7">
        <f>IFERROR(IF(OR(PRECIOS!H137="",PRECIOS!H136=""),"",PRECIOS!H137/PRECIOS!H136-1),"")</f>
        <v>0.008089088552</v>
      </c>
      <c r="I137" s="7">
        <f>IFERROR(IF(OR(PRECIOS!I137="",PRECIOS!I136=""),"",PRECIOS!I137/PRECIOS!I136-1),"")</f>
        <v>0.002267457545</v>
      </c>
    </row>
    <row r="138" ht="15.75" customHeight="1">
      <c r="A138" s="4">
        <f>IF(PRECIOS!A138="","",PRECIOS!A138)</f>
        <v>44609</v>
      </c>
      <c r="B138" s="7">
        <f>IFERROR(IF(OR(PRECIOS!B138="",PRECIOS!B137=""),"",PRECIOS!B138/PRECIOS!B137-1),"")</f>
        <v>-0.001532890877</v>
      </c>
      <c r="C138" s="7">
        <f>IFERROR(IF(OR(PRECIOS!C138="",PRECIOS!C137=""),"",PRECIOS!C138/PRECIOS!C137-1),"")</f>
        <v>-0.001230696257</v>
      </c>
      <c r="D138" s="7">
        <f>IFERROR(IF(OR(PRECIOS!D138="",PRECIOS!D137=""),"",PRECIOS!D138/PRECIOS!D137-1),"")</f>
        <v>-0.01057879493</v>
      </c>
      <c r="E138" s="7">
        <f>IFERROR(IF(OR(PRECIOS!E138="",PRECIOS!E137=""),"",PRECIOS!E138/PRECIOS!E137-1),"")</f>
        <v>-0.02951532389</v>
      </c>
      <c r="F138" s="7">
        <f>IFERROR(IF(OR(PRECIOS!F138="",PRECIOS!F137=""),"",PRECIOS!F138/PRECIOS!F137-1),"")</f>
        <v>-0.0159453303</v>
      </c>
      <c r="G138" s="7">
        <f>IFERROR(IF(OR(PRECIOS!G138="",PRECIOS!G137=""),"",PRECIOS!G138/PRECIOS!G137-1),"")</f>
        <v>-0.01066744206</v>
      </c>
      <c r="H138" s="7">
        <f>IFERROR(IF(OR(PRECIOS!H138="",PRECIOS!H137=""),"",PRECIOS!H138/PRECIOS!H137-1),"")</f>
        <v>-0.001605509219</v>
      </c>
      <c r="I138" s="7">
        <f>IFERROR(IF(OR(PRECIOS!I138="",PRECIOS!I137=""),"",PRECIOS!I138/PRECIOS!I137-1),"")</f>
        <v>0.0006064673956</v>
      </c>
    </row>
    <row r="139" ht="15.75" customHeight="1">
      <c r="A139" s="4">
        <f>IF(PRECIOS!A139="","",PRECIOS!A139)</f>
        <v>44610</v>
      </c>
      <c r="B139" s="7">
        <f>IFERROR(IF(OR(PRECIOS!B139="",PRECIOS!B138=""),"",PRECIOS!B139/PRECIOS!B138-1),"")</f>
        <v>-0.01112000536</v>
      </c>
      <c r="C139" s="7">
        <f>IFERROR(IF(OR(PRECIOS!C139="",PRECIOS!C138=""),"",PRECIOS!C139/PRECIOS!C138-1),"")</f>
        <v>-0.005612343948</v>
      </c>
      <c r="D139" s="7">
        <f>IFERROR(IF(OR(PRECIOS!D139="",PRECIOS!D138=""),"",PRECIOS!D139/PRECIOS!D138-1),"")</f>
        <v>-0.001876361682</v>
      </c>
      <c r="E139" s="7">
        <f>IFERROR(IF(OR(PRECIOS!E139="",PRECIOS!E138=""),"",PRECIOS!E139/PRECIOS!E138-1),"")</f>
        <v>0.006330726826</v>
      </c>
      <c r="F139" s="7">
        <f>IFERROR(IF(OR(PRECIOS!F139="",PRECIOS!F138=""),"",PRECIOS!F139/PRECIOS!F138-1),"")</f>
        <v>-0.006944444444</v>
      </c>
      <c r="G139" s="7">
        <f>IFERROR(IF(OR(PRECIOS!G139="",PRECIOS!G138=""),"",PRECIOS!G139/PRECIOS!G138-1),"")</f>
        <v>-0.002358331887</v>
      </c>
      <c r="H139" s="7">
        <f>IFERROR(IF(OR(PRECIOS!H139="",PRECIOS!H138=""),"",PRECIOS!H139/PRECIOS!H138-1),"")</f>
        <v>-0.006135693215</v>
      </c>
      <c r="I139" s="7">
        <f>IFERROR(IF(OR(PRECIOS!I139="",PRECIOS!I138=""),"",PRECIOS!I139/PRECIOS!I138-1),"")</f>
        <v>-0.001821704503</v>
      </c>
    </row>
    <row r="140" ht="15.75" customHeight="1">
      <c r="A140" s="4">
        <f>IF(PRECIOS!A140="","",PRECIOS!A140)</f>
        <v>44614</v>
      </c>
      <c r="B140" s="7">
        <f>IFERROR(IF(OR(PRECIOS!B140="",PRECIOS!B139=""),"",PRECIOS!B140/PRECIOS!B139-1),"")</f>
        <v>-0.01163450662</v>
      </c>
      <c r="C140" s="7">
        <f>IFERROR(IF(OR(PRECIOS!C140="",PRECIOS!C139=""),"",PRECIOS!C140/PRECIOS!C139-1),"")</f>
        <v>0.008154624853</v>
      </c>
      <c r="D140" s="7">
        <f>IFERROR(IF(OR(PRECIOS!D140="",PRECIOS!D139=""),"",PRECIOS!D140/PRECIOS!D139-1),"")</f>
        <v>-0.01117836829</v>
      </c>
      <c r="E140" s="7">
        <f>IFERROR(IF(OR(PRECIOS!E140="",PRECIOS!E139=""),"",PRECIOS!E140/PRECIOS!E139-1),"")</f>
        <v>-0.01042263658</v>
      </c>
      <c r="F140" s="7">
        <f>IFERROR(IF(OR(PRECIOS!F140="",PRECIOS!F139=""),"",PRECIOS!F140/PRECIOS!F139-1),"")</f>
        <v>0.03962703963</v>
      </c>
      <c r="G140" s="7">
        <f>IFERROR(IF(OR(PRECIOS!G140="",PRECIOS!G139=""),"",PRECIOS!G140/PRECIOS!G139-1),"")</f>
        <v>-0.003726880034</v>
      </c>
      <c r="H140" s="7">
        <f>IFERROR(IF(OR(PRECIOS!H140="",PRECIOS!H139=""),"",PRECIOS!H140/PRECIOS!H139-1),"")</f>
        <v>-0.01615983447</v>
      </c>
      <c r="I140" s="7">
        <f>IFERROR(IF(OR(PRECIOS!I140="",PRECIOS!I139=""),"",PRECIOS!I140/PRECIOS!I139-1),"")</f>
        <v>-0.001047259727</v>
      </c>
    </row>
    <row r="141" ht="15.75" customHeight="1">
      <c r="A141" s="4">
        <f>IF(PRECIOS!A141="","",PRECIOS!A141)</f>
        <v>44615</v>
      </c>
      <c r="B141" s="7">
        <f>IFERROR(IF(OR(PRECIOS!B141="",PRECIOS!B140=""),"",PRECIOS!B141/PRECIOS!B140-1),"")</f>
        <v>0.004056064058</v>
      </c>
      <c r="C141" s="7">
        <f>IFERROR(IF(OR(PRECIOS!C141="",PRECIOS!C140=""),"",PRECIOS!C141/PRECIOS!C140-1),"")</f>
        <v>-0.02255511543</v>
      </c>
      <c r="D141" s="7">
        <f>IFERROR(IF(OR(PRECIOS!D141="",PRECIOS!D140=""),"",PRECIOS!D141/PRECIOS!D140-1),"")</f>
        <v>-0.01885581477</v>
      </c>
      <c r="E141" s="7">
        <f>IFERROR(IF(OR(PRECIOS!E141="",PRECIOS!E140=""),"",PRECIOS!E141/PRECIOS!E140-1),"")</f>
        <v>-0.01616900346</v>
      </c>
      <c r="F141" s="7">
        <f>IFERROR(IF(OR(PRECIOS!F141="",PRECIOS!F140=""),"",PRECIOS!F141/PRECIOS!F140-1),"")</f>
        <v>-0.004484304933</v>
      </c>
      <c r="G141" s="7">
        <f>IFERROR(IF(OR(PRECIOS!G141="",PRECIOS!G140=""),"",PRECIOS!G141/PRECIOS!G140-1),"")</f>
        <v>0.0206707115</v>
      </c>
      <c r="H141" s="7">
        <f>IFERROR(IF(OR(PRECIOS!H141="",PRECIOS!H140=""),"",PRECIOS!H141/PRECIOS!H140-1),"")</f>
        <v>0.01030543958</v>
      </c>
      <c r="I141" s="7">
        <f>IFERROR(IF(OR(PRECIOS!I141="",PRECIOS!I140=""),"",PRECIOS!I141/PRECIOS!I140-1),"")</f>
        <v>-0.01694104952</v>
      </c>
    </row>
    <row r="142" ht="15.75" customHeight="1">
      <c r="A142" s="4">
        <f>IF(PRECIOS!A142="","",PRECIOS!A142)</f>
        <v>44616</v>
      </c>
      <c r="B142" s="7">
        <f>IFERROR(IF(OR(PRECIOS!B142="",PRECIOS!B141=""),"",PRECIOS!B142/PRECIOS!B141-1),"")</f>
        <v>-0.01263605119</v>
      </c>
      <c r="C142" s="7">
        <f>IFERROR(IF(OR(PRECIOS!C142="",PRECIOS!C141=""),"",PRECIOS!C142/PRECIOS!C141-1),"")</f>
        <v>0.0006369405893</v>
      </c>
      <c r="D142" s="7">
        <f>IFERROR(IF(OR(PRECIOS!D142="",PRECIOS!D141=""),"",PRECIOS!D142/PRECIOS!D141-1),"")</f>
        <v>0.04183103059</v>
      </c>
      <c r="E142" s="7">
        <f>IFERROR(IF(OR(PRECIOS!E142="",PRECIOS!E141=""),"",PRECIOS!E142/PRECIOS!E141-1),"")</f>
        <v>0.006666986098</v>
      </c>
      <c r="F142" s="7">
        <f>IFERROR(IF(OR(PRECIOS!F142="",PRECIOS!F141=""),"",PRECIOS!F142/PRECIOS!F141-1),"")</f>
        <v>-0.02927927928</v>
      </c>
      <c r="G142" s="7">
        <f>IFERROR(IF(OR(PRECIOS!G142="",PRECIOS!G141=""),"",PRECIOS!G142/PRECIOS!G141-1),"")</f>
        <v>-0.005316085434</v>
      </c>
      <c r="H142" s="7">
        <f>IFERROR(IF(OR(PRECIOS!H142="",PRECIOS!H141=""),"",PRECIOS!H142/PRECIOS!H141-1),"")</f>
        <v>-0.007835375218</v>
      </c>
      <c r="I142" s="7">
        <f>IFERROR(IF(OR(PRECIOS!I142="",PRECIOS!I141=""),"",PRECIOS!I142/PRECIOS!I141-1),"")</f>
        <v>0.008006864019</v>
      </c>
    </row>
    <row r="143" ht="15.75" customHeight="1">
      <c r="A143" s="4">
        <f>IF(PRECIOS!A143="","",PRECIOS!A143)</f>
        <v>44617</v>
      </c>
      <c r="B143" s="7">
        <f>IFERROR(IF(OR(PRECIOS!B143="",PRECIOS!B142=""),"",PRECIOS!B143/PRECIOS!B142-1),"")</f>
        <v>0.02691274622</v>
      </c>
      <c r="C143" s="7">
        <f>IFERROR(IF(OR(PRECIOS!C143="",PRECIOS!C142=""),"",PRECIOS!C143/PRECIOS!C142-1),"")</f>
        <v>0.03435162595</v>
      </c>
      <c r="D143" s="7">
        <f>IFERROR(IF(OR(PRECIOS!D143="",PRECIOS!D142=""),"",PRECIOS!D143/PRECIOS!D142-1),"")</f>
        <v>0.01012705193</v>
      </c>
      <c r="E143" s="7">
        <f>IFERROR(IF(OR(PRECIOS!E143="",PRECIOS!E142=""),"",PRECIOS!E143/PRECIOS!E142-1),"")</f>
        <v>0.0253489906</v>
      </c>
      <c r="F143" s="7">
        <f>IFERROR(IF(OR(PRECIOS!F143="",PRECIOS!F142=""),"",PRECIOS!F143/PRECIOS!F142-1),"")</f>
        <v>0.0162412993</v>
      </c>
      <c r="G143" s="7">
        <f>IFERROR(IF(OR(PRECIOS!G143="",PRECIOS!G142=""),"",PRECIOS!G143/PRECIOS!G142-1),"")</f>
        <v>0.02438536527</v>
      </c>
      <c r="H143" s="7">
        <f>IFERROR(IF(OR(PRECIOS!H143="",PRECIOS!H142=""),"",PRECIOS!H143/PRECIOS!H142-1),"")</f>
        <v>0.02637118466</v>
      </c>
      <c r="I143" s="7">
        <f>IFERROR(IF(OR(PRECIOS!I143="",PRECIOS!I142=""),"",PRECIOS!I143/PRECIOS!I142-1),"")</f>
        <v>0.03095977366</v>
      </c>
    </row>
    <row r="144" ht="15.75" customHeight="1">
      <c r="A144" s="4">
        <f>IF(PRECIOS!A144="","",PRECIOS!A144)</f>
        <v>44620</v>
      </c>
      <c r="B144" s="7">
        <f>IFERROR(IF(OR(PRECIOS!B144="",PRECIOS!B143=""),"",PRECIOS!B144/PRECIOS!B143-1),"")</f>
        <v>0.007451793199</v>
      </c>
      <c r="C144" s="7">
        <f>IFERROR(IF(OR(PRECIOS!C144="",PRECIOS!C143=""),"",PRECIOS!C144/PRECIOS!C143-1),"")</f>
        <v>-0.004151149951</v>
      </c>
      <c r="D144" s="7">
        <f>IFERROR(IF(OR(PRECIOS!D144="",PRECIOS!D143=""),"",PRECIOS!D144/PRECIOS!D143-1),"")</f>
        <v>0.04200924853</v>
      </c>
      <c r="E144" s="7">
        <f>IFERROR(IF(OR(PRECIOS!E144="",PRECIOS!E143=""),"",PRECIOS!E144/PRECIOS!E143-1),"")</f>
        <v>0.001107463775</v>
      </c>
      <c r="F144" s="7">
        <f>IFERROR(IF(OR(PRECIOS!F144="",PRECIOS!F143=""),"",PRECIOS!F144/PRECIOS!F143-1),"")</f>
        <v>-0.04109589041</v>
      </c>
      <c r="G144" s="7">
        <f>IFERROR(IF(OR(PRECIOS!G144="",PRECIOS!G143=""),"",PRECIOS!G144/PRECIOS!G143-1),"")</f>
        <v>0.01921449737</v>
      </c>
      <c r="H144" s="7">
        <f>IFERROR(IF(OR(PRECIOS!H144="",PRECIOS!H143=""),"",PRECIOS!H144/PRECIOS!H143-1),"")</f>
        <v>0.02467820148</v>
      </c>
      <c r="I144" s="7">
        <f>IFERROR(IF(OR(PRECIOS!I144="",PRECIOS!I143=""),"",PRECIOS!I144/PRECIOS!I143-1),"")</f>
        <v>0.005184395338</v>
      </c>
    </row>
    <row r="145" ht="15.75" customHeight="1">
      <c r="A145" s="4">
        <f>IF(PRECIOS!A145="","",PRECIOS!A145)</f>
        <v>44621</v>
      </c>
      <c r="B145" s="7">
        <f>IFERROR(IF(OR(PRECIOS!B145="",PRECIOS!B144=""),"",PRECIOS!B145/PRECIOS!B144-1),"")</f>
        <v>0.009564145599</v>
      </c>
      <c r="C145" s="7">
        <f>IFERROR(IF(OR(PRECIOS!C145="",PRECIOS!C144=""),"",PRECIOS!C145/PRECIOS!C144-1),"")</f>
        <v>-0.01034488237</v>
      </c>
      <c r="D145" s="7">
        <f>IFERROR(IF(OR(PRECIOS!D145="",PRECIOS!D144=""),"",PRECIOS!D145/PRECIOS!D144-1),"")</f>
        <v>-0.03898698024</v>
      </c>
      <c r="E145" s="7">
        <f>IFERROR(IF(OR(PRECIOS!E145="",PRECIOS!E144=""),"",PRECIOS!E145/PRECIOS!E144-1),"")</f>
        <v>-0.05082073634</v>
      </c>
      <c r="F145" s="7">
        <f>IFERROR(IF(OR(PRECIOS!F145="",PRECIOS!F144=""),"",PRECIOS!F145/PRECIOS!F144-1),"")</f>
        <v>0.03571428571</v>
      </c>
      <c r="G145" s="7">
        <f>IFERROR(IF(OR(PRECIOS!G145="",PRECIOS!G144=""),"",PRECIOS!G145/PRECIOS!G144-1),"")</f>
        <v>0.01247294336</v>
      </c>
      <c r="H145" s="7">
        <f>IFERROR(IF(OR(PRECIOS!H145="",PRECIOS!H144=""),"",PRECIOS!H145/PRECIOS!H144-1),"")</f>
        <v>0.01007309535</v>
      </c>
      <c r="I145" s="7">
        <f>IFERROR(IF(OR(PRECIOS!I145="",PRECIOS!I144=""),"",PRECIOS!I145/PRECIOS!I144-1),"")</f>
        <v>-0.008689203839</v>
      </c>
    </row>
    <row r="146" ht="15.75" customHeight="1">
      <c r="A146" s="4">
        <f>IF(PRECIOS!A146="","",PRECIOS!A146)</f>
        <v>44622</v>
      </c>
      <c r="B146" s="7">
        <f>IFERROR(IF(OR(PRECIOS!B146="",PRECIOS!B145=""),"",PRECIOS!B146/PRECIOS!B145-1),"")</f>
        <v>0.01717679697</v>
      </c>
      <c r="C146" s="7">
        <f>IFERROR(IF(OR(PRECIOS!C146="",PRECIOS!C145=""),"",PRECIOS!C146/PRECIOS!C145-1),"")</f>
        <v>0.007330916983</v>
      </c>
      <c r="D146" s="7">
        <f>IFERROR(IF(OR(PRECIOS!D146="",PRECIOS!D145=""),"",PRECIOS!D146/PRECIOS!D145-1),"")</f>
        <v>0.01318586235</v>
      </c>
      <c r="E146" s="7">
        <f>IFERROR(IF(OR(PRECIOS!E146="",PRECIOS!E145=""),"",PRECIOS!E146/PRECIOS!E145-1),"")</f>
        <v>0.03906064624</v>
      </c>
      <c r="F146" s="7">
        <f>IFERROR(IF(OR(PRECIOS!F146="",PRECIOS!F145=""),"",PRECIOS!F146/PRECIOS!F145-1),"")</f>
        <v>0.07586206897</v>
      </c>
      <c r="G146" s="7">
        <f>IFERROR(IF(OR(PRECIOS!G146="",PRECIOS!G145=""),"",PRECIOS!G146/PRECIOS!G145-1),"")</f>
        <v>0.03221737182</v>
      </c>
      <c r="H146" s="7">
        <f>IFERROR(IF(OR(PRECIOS!H146="",PRECIOS!H145=""),"",PRECIOS!H146/PRECIOS!H145-1),"")</f>
        <v>0.02285288737</v>
      </c>
      <c r="I146" s="7">
        <f>IFERROR(IF(OR(PRECIOS!I146="",PRECIOS!I145=""),"",PRECIOS!I146/PRECIOS!I145-1),"")</f>
        <v>0.01219033562</v>
      </c>
    </row>
    <row r="147" ht="15.75" customHeight="1">
      <c r="A147" s="4">
        <f>IF(PRECIOS!A147="","",PRECIOS!A147)</f>
        <v>44623</v>
      </c>
      <c r="B147" s="7">
        <f>IFERROR(IF(OR(PRECIOS!B147="",PRECIOS!B146=""),"",PRECIOS!B147/PRECIOS!B146-1),"")</f>
        <v>0.006333324395</v>
      </c>
      <c r="C147" s="7">
        <f>IFERROR(IF(OR(PRECIOS!C147="",PRECIOS!C146=""),"",PRECIOS!C147/PRECIOS!C146-1),"")</f>
        <v>0.0283421906</v>
      </c>
      <c r="D147" s="7">
        <f>IFERROR(IF(OR(PRECIOS!D147="",PRECIOS!D146=""),"",PRECIOS!D147/PRECIOS!D146-1),"")</f>
        <v>-0.01079106639</v>
      </c>
      <c r="E147" s="7">
        <f>IFERROR(IF(OR(PRECIOS!E147="",PRECIOS!E146=""),"",PRECIOS!E147/PRECIOS!E146-1),"")</f>
        <v>0.01843680106</v>
      </c>
      <c r="F147" s="7">
        <f>IFERROR(IF(OR(PRECIOS!F147="",PRECIOS!F146=""),"",PRECIOS!F147/PRECIOS!F146-1),"")</f>
        <v>-0.02777777778</v>
      </c>
      <c r="G147" s="7">
        <f>IFERROR(IF(OR(PRECIOS!G147="",PRECIOS!G146=""),"",PRECIOS!G147/PRECIOS!G146-1),"")</f>
        <v>0.003344696726</v>
      </c>
      <c r="H147" s="7">
        <f>IFERROR(IF(OR(PRECIOS!H147="",PRECIOS!H146=""),"",PRECIOS!H147/PRECIOS!H146-1),"")</f>
        <v>0.002747678876</v>
      </c>
      <c r="I147" s="7">
        <f>IFERROR(IF(OR(PRECIOS!I147="",PRECIOS!I146=""),"",PRECIOS!I147/PRECIOS!I146-1),"")</f>
        <v>0.01760130444</v>
      </c>
    </row>
    <row r="148" ht="15.75" customHeight="1">
      <c r="A148" s="4">
        <f>IF(PRECIOS!A148="","",PRECIOS!A148)</f>
        <v>44624</v>
      </c>
      <c r="B148" s="7">
        <f>IFERROR(IF(OR(PRECIOS!B148="",PRECIOS!B147=""),"",PRECIOS!B148/PRECIOS!B147-1),"")</f>
        <v>0.0376364483</v>
      </c>
      <c r="C148" s="7">
        <f>IFERROR(IF(OR(PRECIOS!C148="",PRECIOS!C147=""),"",PRECIOS!C148/PRECIOS!C147-1),"")</f>
        <v>0.017772275</v>
      </c>
      <c r="D148" s="7">
        <f>IFERROR(IF(OR(PRECIOS!D148="",PRECIOS!D147=""),"",PRECIOS!D148/PRECIOS!D147-1),"")</f>
        <v>0.02411193116</v>
      </c>
      <c r="E148" s="7">
        <f>IFERROR(IF(OR(PRECIOS!E148="",PRECIOS!E147=""),"",PRECIOS!E148/PRECIOS!E147-1),"")</f>
        <v>-0.03347578348</v>
      </c>
      <c r="F148" s="7">
        <f>IFERROR(IF(OR(PRECIOS!F148="",PRECIOS!F147=""),"",PRECIOS!F148/PRECIOS!F147-1),"")</f>
        <v>-0.04615384615</v>
      </c>
      <c r="G148" s="7">
        <f>IFERROR(IF(OR(PRECIOS!G148="",PRECIOS!G147=""),"",PRECIOS!G148/PRECIOS!G147-1),"")</f>
        <v>0.02042118084</v>
      </c>
      <c r="H148" s="7">
        <f>IFERROR(IF(OR(PRECIOS!H148="",PRECIOS!H147=""),"",PRECIOS!H148/PRECIOS!H147-1),"")</f>
        <v>0.02885049452</v>
      </c>
      <c r="I148" s="7">
        <f>IFERROR(IF(OR(PRECIOS!I148="",PRECIOS!I147=""),"",PRECIOS!I148/PRECIOS!I147-1),"")</f>
        <v>0.0220452695</v>
      </c>
    </row>
    <row r="149" ht="15.75" customHeight="1">
      <c r="A149" s="4">
        <f>IF(PRECIOS!A149="","",PRECIOS!A149)</f>
        <v>44627</v>
      </c>
      <c r="B149" s="7">
        <f>IFERROR(IF(OR(PRECIOS!B149="",PRECIOS!B148=""),"",PRECIOS!B149/PRECIOS!B148-1),"")</f>
        <v>0.03603287433</v>
      </c>
      <c r="C149" s="7">
        <f>IFERROR(IF(OR(PRECIOS!C149="",PRECIOS!C148=""),"",PRECIOS!C149/PRECIOS!C148-1),"")</f>
        <v>0.0244138246</v>
      </c>
      <c r="D149" s="7">
        <f>IFERROR(IF(OR(PRECIOS!D149="",PRECIOS!D148=""),"",PRECIOS!D149/PRECIOS!D148-1),"")</f>
        <v>-0.006670637284</v>
      </c>
      <c r="E149" s="7">
        <f>IFERROR(IF(OR(PRECIOS!E149="",PRECIOS!E148=""),"",PRECIOS!E149/PRECIOS!E148-1),"")</f>
        <v>-0.02665192827</v>
      </c>
      <c r="F149" s="7">
        <f>IFERROR(IF(OR(PRECIOS!F149="",PRECIOS!F148=""),"",PRECIOS!F149/PRECIOS!F148-1),"")</f>
        <v>-0.0599078341</v>
      </c>
      <c r="G149" s="7">
        <f>IFERROR(IF(OR(PRECIOS!G149="",PRECIOS!G148=""),"",PRECIOS!G149/PRECIOS!G148-1),"")</f>
        <v>-0.002092030495</v>
      </c>
      <c r="H149" s="7">
        <f>IFERROR(IF(OR(PRECIOS!H149="",PRECIOS!H148=""),"",PRECIOS!H149/PRECIOS!H148-1),"")</f>
        <v>0.01476481237</v>
      </c>
      <c r="I149" s="7">
        <f>IFERROR(IF(OR(PRECIOS!I149="",PRECIOS!I148=""),"",PRECIOS!I149/PRECIOS!I148-1),"")</f>
        <v>0.01298200555</v>
      </c>
    </row>
    <row r="150" ht="15.75" customHeight="1">
      <c r="A150" s="4">
        <f>IF(PRECIOS!A150="","",PRECIOS!A150)</f>
        <v>44628</v>
      </c>
      <c r="B150" s="7">
        <f>IFERROR(IF(OR(PRECIOS!B150="",PRECIOS!B149=""),"",PRECIOS!B150/PRECIOS!B149-1),"")</f>
        <v>0.007576294072</v>
      </c>
      <c r="C150" s="7">
        <f>IFERROR(IF(OR(PRECIOS!C150="",PRECIOS!C149=""),"",PRECIOS!C150/PRECIOS!C149-1),"")</f>
        <v>-0.020366063</v>
      </c>
      <c r="D150" s="7">
        <f>IFERROR(IF(OR(PRECIOS!D150="",PRECIOS!D149=""),"",PRECIOS!D150/PRECIOS!D149-1),"")</f>
        <v>0.01297886668</v>
      </c>
      <c r="E150" s="7">
        <f>IFERROR(IF(OR(PRECIOS!E150="",PRECIOS!E149=""),"",PRECIOS!E150/PRECIOS!E149-1),"")</f>
        <v>0.002832106555</v>
      </c>
      <c r="F150" s="7">
        <f>IFERROR(IF(OR(PRECIOS!F150="",PRECIOS!F149=""),"",PRECIOS!F150/PRECIOS!F149-1),"")</f>
        <v>0.07352941176</v>
      </c>
      <c r="G150" s="7">
        <f>IFERROR(IF(OR(PRECIOS!G150="",PRECIOS!G149=""),"",PRECIOS!G150/PRECIOS!G149-1),"")</f>
        <v>-0.01616381006</v>
      </c>
      <c r="H150" s="7">
        <f>IFERROR(IF(OR(PRECIOS!H150="",PRECIOS!H149=""),"",PRECIOS!H150/PRECIOS!H149-1),"")</f>
        <v>0.01570805692</v>
      </c>
      <c r="I150" s="7">
        <f>IFERROR(IF(OR(PRECIOS!I150="",PRECIOS!I149=""),"",PRECIOS!I150/PRECIOS!I149-1),"")</f>
        <v>-0.01544859434</v>
      </c>
    </row>
    <row r="151" ht="15.75" customHeight="1">
      <c r="A151" s="4">
        <f>IF(PRECIOS!A151="","",PRECIOS!A151)</f>
        <v>44629</v>
      </c>
      <c r="B151" s="7">
        <f>IFERROR(IF(OR(PRECIOS!B151="",PRECIOS!B150=""),"",PRECIOS!B151/PRECIOS!B150-1),"")</f>
        <v>-0.05684769354</v>
      </c>
      <c r="C151" s="7">
        <f>IFERROR(IF(OR(PRECIOS!C151="",PRECIOS!C150=""),"",PRECIOS!C151/PRECIOS!C150-1),"")</f>
        <v>-0.01032114963</v>
      </c>
      <c r="D151" s="7">
        <f>IFERROR(IF(OR(PRECIOS!D151="",PRECIOS!D150=""),"",PRECIOS!D151/PRECIOS!D150-1),"")</f>
        <v>0.003961243557</v>
      </c>
      <c r="E151" s="7">
        <f>IFERROR(IF(OR(PRECIOS!E151="",PRECIOS!E150=""),"",PRECIOS!E151/PRECIOS!E150-1),"")</f>
        <v>0.01993652747</v>
      </c>
      <c r="F151" s="7">
        <f>IFERROR(IF(OR(PRECIOS!F151="",PRECIOS!F150=""),"",PRECIOS!F151/PRECIOS!F150-1),"")</f>
        <v>0.06164383562</v>
      </c>
      <c r="G151" s="7">
        <f>IFERROR(IF(OR(PRECIOS!G151="",PRECIOS!G150=""),"",PRECIOS!G151/PRECIOS!G150-1),"")</f>
        <v>-0.01094864822</v>
      </c>
      <c r="H151" s="7">
        <f>IFERROR(IF(OR(PRECIOS!H151="",PRECIOS!H150=""),"",PRECIOS!H151/PRECIOS!H150-1),"")</f>
        <v>-0.03055218998</v>
      </c>
      <c r="I151" s="7">
        <f>IFERROR(IF(OR(PRECIOS!I151="",PRECIOS!I150=""),"",PRECIOS!I151/PRECIOS!I150-1),"")</f>
        <v>-0.007077084305</v>
      </c>
    </row>
    <row r="152" ht="15.75" customHeight="1">
      <c r="A152" s="4">
        <f>IF(PRECIOS!A152="","",PRECIOS!A152)</f>
        <v>44630</v>
      </c>
      <c r="B152" s="7">
        <f>IFERROR(IF(OR(PRECIOS!B152="",PRECIOS!B151=""),"",PRECIOS!B152/PRECIOS!B151-1),"")</f>
        <v>0.0310418835</v>
      </c>
      <c r="C152" s="7">
        <f>IFERROR(IF(OR(PRECIOS!C152="",PRECIOS!C151=""),"",PRECIOS!C152/PRECIOS!C151-1),"")</f>
        <v>0.0221989211</v>
      </c>
      <c r="D152" s="7">
        <f>IFERROR(IF(OR(PRECIOS!D152="",PRECIOS!D151=""),"",PRECIOS!D152/PRECIOS!D151-1),"")</f>
        <v>-0.003945614019</v>
      </c>
      <c r="E152" s="7">
        <f>IFERROR(IF(OR(PRECIOS!E152="",PRECIOS!E151=""),"",PRECIOS!E152/PRECIOS!E151-1),"")</f>
        <v>-0.0007402025962</v>
      </c>
      <c r="F152" s="7">
        <f>IFERROR(IF(OR(PRECIOS!F152="",PRECIOS!F151=""),"",PRECIOS!F152/PRECIOS!F151-1),"")</f>
        <v>0.03655913978</v>
      </c>
      <c r="G152" s="7">
        <f>IFERROR(IF(OR(PRECIOS!G152="",PRECIOS!G151=""),"",PRECIOS!G152/PRECIOS!G151-1),"")</f>
        <v>0.01293638881</v>
      </c>
      <c r="H152" s="7">
        <f>IFERROR(IF(OR(PRECIOS!H152="",PRECIOS!H151=""),"",PRECIOS!H152/PRECIOS!H151-1),"")</f>
        <v>0.03058767895</v>
      </c>
      <c r="I152" s="7">
        <f>IFERROR(IF(OR(PRECIOS!I152="",PRECIOS!I151=""),"",PRECIOS!I152/PRECIOS!I151-1),"")</f>
        <v>0.006699553041</v>
      </c>
    </row>
    <row r="153" ht="15.75" customHeight="1">
      <c r="A153" s="4">
        <f>IF(PRECIOS!A153="","",PRECIOS!A153)</f>
        <v>44631</v>
      </c>
      <c r="B153" s="7">
        <f>IFERROR(IF(OR(PRECIOS!B153="",PRECIOS!B152=""),"",PRECIOS!B153/PRECIOS!B152-1),"")</f>
        <v>-0.005153403499</v>
      </c>
      <c r="C153" s="7">
        <f>IFERROR(IF(OR(PRECIOS!C153="",PRECIOS!C152=""),"",PRECIOS!C153/PRECIOS!C152-1),"")</f>
        <v>0.001165249471</v>
      </c>
      <c r="D153" s="7">
        <f>IFERROR(IF(OR(PRECIOS!D153="",PRECIOS!D152=""),"",PRECIOS!D153/PRECIOS!D152-1),"")</f>
        <v>-0.009693663832</v>
      </c>
      <c r="E153" s="7">
        <f>IFERROR(IF(OR(PRECIOS!E153="",PRECIOS!E152=""),"",PRECIOS!E153/PRECIOS!E152-1),"")</f>
        <v>-0.008635235051</v>
      </c>
      <c r="F153" s="7">
        <f>IFERROR(IF(OR(PRECIOS!F153="",PRECIOS!F152=""),"",PRECIOS!F153/PRECIOS!F152-1),"")</f>
        <v>-0.03319502075</v>
      </c>
      <c r="G153" s="7">
        <f>IFERROR(IF(OR(PRECIOS!G153="",PRECIOS!G152=""),"",PRECIOS!G153/PRECIOS!G152-1),"")</f>
        <v>-0.01815557266</v>
      </c>
      <c r="H153" s="7">
        <f>IFERROR(IF(OR(PRECIOS!H153="",PRECIOS!H152=""),"",PRECIOS!H153/PRECIOS!H152-1),"")</f>
        <v>-0.008000238368</v>
      </c>
      <c r="I153" s="7">
        <f>IFERROR(IF(OR(PRECIOS!I153="",PRECIOS!I152=""),"",PRECIOS!I153/PRECIOS!I152-1),"")</f>
        <v>-0.003391412471</v>
      </c>
    </row>
    <row r="154" ht="15.75" customHeight="1">
      <c r="A154" s="4">
        <f>IF(PRECIOS!A154="","",PRECIOS!A154)</f>
        <v>44634</v>
      </c>
      <c r="B154" s="7">
        <f>IFERROR(IF(OR(PRECIOS!B154="",PRECIOS!B153=""),"",PRECIOS!B154/PRECIOS!B153-1),"")</f>
        <v>-0.03579813841</v>
      </c>
      <c r="C154" s="7">
        <f>IFERROR(IF(OR(PRECIOS!C154="",PRECIOS!C153=""),"",PRECIOS!C154/PRECIOS!C153-1),"")</f>
        <v>-0.0004358982425</v>
      </c>
      <c r="D154" s="7">
        <f>IFERROR(IF(OR(PRECIOS!D154="",PRECIOS!D153=""),"",PRECIOS!D154/PRECIOS!D153-1),"")</f>
        <v>-0.0004505767843</v>
      </c>
      <c r="E154" s="7">
        <f>IFERROR(IF(OR(PRECIOS!E154="",PRECIOS!E153=""),"",PRECIOS!E154/PRECIOS!E153-1),"")</f>
        <v>0.01047468157</v>
      </c>
      <c r="F154" s="7">
        <f>IFERROR(IF(OR(PRECIOS!F154="",PRECIOS!F153=""),"",PRECIOS!F154/PRECIOS!F153-1),"")</f>
        <v>-0.03433476395</v>
      </c>
      <c r="G154" s="7">
        <f>IFERROR(IF(OR(PRECIOS!G154="",PRECIOS!G153=""),"",PRECIOS!G154/PRECIOS!G153-1),"")</f>
        <v>-0.02602116822</v>
      </c>
      <c r="H154" s="7">
        <f>IFERROR(IF(OR(PRECIOS!H154="",PRECIOS!H153=""),"",PRECIOS!H154/PRECIOS!H153-1),"")</f>
        <v>-0.0299252095</v>
      </c>
      <c r="I154" s="7">
        <f>IFERROR(IF(OR(PRECIOS!I154="",PRECIOS!I153=""),"",PRECIOS!I154/PRECIOS!I153-1),"")</f>
        <v>-0.001148216096</v>
      </c>
    </row>
    <row r="155" ht="15.75" customHeight="1">
      <c r="A155" s="4">
        <f>IF(PRECIOS!A155="","",PRECIOS!A155)</f>
        <v>44635</v>
      </c>
      <c r="B155" s="7">
        <f>IFERROR(IF(OR(PRECIOS!B155="",PRECIOS!B154=""),"",PRECIOS!B155/PRECIOS!B154-1),"")</f>
        <v>-0.05691275404</v>
      </c>
      <c r="C155" s="7">
        <f>IFERROR(IF(OR(PRECIOS!C155="",PRECIOS!C154=""),"",PRECIOS!C155/PRECIOS!C154-1),"")</f>
        <v>0</v>
      </c>
      <c r="D155" s="7">
        <f>IFERROR(IF(OR(PRECIOS!D155="",PRECIOS!D154=""),"",PRECIOS!D155/PRECIOS!D154-1),"")</f>
        <v>-0.004001821519</v>
      </c>
      <c r="E155" s="7">
        <f>IFERROR(IF(OR(PRECIOS!E155="",PRECIOS!E154=""),"",PRECIOS!E155/PRECIOS!E154-1),"")</f>
        <v>0.0122010503</v>
      </c>
      <c r="F155" s="7">
        <f>IFERROR(IF(OR(PRECIOS!F155="",PRECIOS!F154=""),"",PRECIOS!F155/PRECIOS!F154-1),"")</f>
        <v>-0.03555555556</v>
      </c>
      <c r="G155" s="7">
        <f>IFERROR(IF(OR(PRECIOS!G155="",PRECIOS!G154=""),"",PRECIOS!G155/PRECIOS!G154-1),"")</f>
        <v>-0.0009684680172</v>
      </c>
      <c r="H155" s="7">
        <f>IFERROR(IF(OR(PRECIOS!H155="",PRECIOS!H154=""),"",PRECIOS!H155/PRECIOS!H154-1),"")</f>
        <v>-0.03661364783</v>
      </c>
      <c r="I155" s="7">
        <f>IFERROR(IF(OR(PRECIOS!I155="",PRECIOS!I154=""),"",PRECIOS!I155/PRECIOS!I154-1),"")</f>
        <v>0.01279581286</v>
      </c>
    </row>
    <row r="156" ht="15.75" customHeight="1">
      <c r="A156" s="4">
        <f>IF(PRECIOS!A156="","",PRECIOS!A156)</f>
        <v>44636</v>
      </c>
      <c r="B156" s="7">
        <f>IFERROR(IF(OR(PRECIOS!B156="",PRECIOS!B155=""),"",PRECIOS!B156/PRECIOS!B155-1),"")</f>
        <v>-0.003756474959</v>
      </c>
      <c r="C156" s="7">
        <f>IFERROR(IF(OR(PRECIOS!C156="",PRECIOS!C155=""),"",PRECIOS!C156/PRECIOS!C155-1),"")</f>
        <v>-0.002039574642</v>
      </c>
      <c r="D156" s="7">
        <f>IFERROR(IF(OR(PRECIOS!D156="",PRECIOS!D155=""),"",PRECIOS!D156/PRECIOS!D155-1),"")</f>
        <v>0.01164267472</v>
      </c>
      <c r="E156" s="7">
        <f>IFERROR(IF(OR(PRECIOS!E156="",PRECIOS!E155=""),"",PRECIOS!E156/PRECIOS!E155-1),"")</f>
        <v>0.02042818007</v>
      </c>
      <c r="F156" s="7">
        <f>IFERROR(IF(OR(PRECIOS!F156="",PRECIOS!F155=""),"",PRECIOS!F156/PRECIOS!F155-1),"")</f>
        <v>-0.006912442396</v>
      </c>
      <c r="G156" s="7">
        <f>IFERROR(IF(OR(PRECIOS!G156="",PRECIOS!G155=""),"",PRECIOS!G156/PRECIOS!G155-1),"")</f>
        <v>0.007086698401</v>
      </c>
      <c r="H156" s="7">
        <f>IFERROR(IF(OR(PRECIOS!H156="",PRECIOS!H155=""),"",PRECIOS!H156/PRECIOS!H155-1),"")</f>
        <v>-0.004595972257</v>
      </c>
      <c r="I156" s="7">
        <f>IFERROR(IF(OR(PRECIOS!I156="",PRECIOS!I155=""),"",PRECIOS!I156/PRECIOS!I155-1),"")</f>
        <v>-0.001822995102</v>
      </c>
    </row>
    <row r="157" ht="15.75" customHeight="1">
      <c r="A157" s="4">
        <f>IF(PRECIOS!A157="","",PRECIOS!A157)</f>
        <v>44637</v>
      </c>
      <c r="B157" s="7">
        <f>IFERROR(IF(OR(PRECIOS!B157="",PRECIOS!B156=""),"",PRECIOS!B157/PRECIOS!B156-1),"")</f>
        <v>0.026648435</v>
      </c>
      <c r="C157" s="7">
        <f>IFERROR(IF(OR(PRECIOS!C157="",PRECIOS!C156=""),"",PRECIOS!C157/PRECIOS!C156-1),"")</f>
        <v>-0.001606763423</v>
      </c>
      <c r="D157" s="7">
        <f>IFERROR(IF(OR(PRECIOS!D157="",PRECIOS!D156=""),"",PRECIOS!D157/PRECIOS!D156-1),"")</f>
        <v>-0.01240344758</v>
      </c>
      <c r="E157" s="7">
        <f>IFERROR(IF(OR(PRECIOS!E157="",PRECIOS!E156=""),"",PRECIOS!E157/PRECIOS!E156-1),"")</f>
        <v>0.008803155348</v>
      </c>
      <c r="F157" s="7">
        <f>IFERROR(IF(OR(PRECIOS!F157="",PRECIOS!F156=""),"",PRECIOS!F157/PRECIOS!F156-1),"")</f>
        <v>0.03944315545</v>
      </c>
      <c r="G157" s="7">
        <f>IFERROR(IF(OR(PRECIOS!G157="",PRECIOS!G156=""),"",PRECIOS!G157/PRECIOS!G156-1),"")</f>
        <v>0.008640032927</v>
      </c>
      <c r="H157" s="7">
        <f>IFERROR(IF(OR(PRECIOS!H157="",PRECIOS!H156=""),"",PRECIOS!H157/PRECIOS!H156-1),"")</f>
        <v>0.03439647156</v>
      </c>
      <c r="I157" s="7">
        <f>IFERROR(IF(OR(PRECIOS!I157="",PRECIOS!I156=""),"",PRECIOS!I157/PRECIOS!I156-1),"")</f>
        <v>0.004224367933</v>
      </c>
    </row>
    <row r="158" ht="15.75" customHeight="1">
      <c r="A158" s="4">
        <f>IF(PRECIOS!A158="","",PRECIOS!A158)</f>
        <v>44638</v>
      </c>
      <c r="B158" s="7">
        <f>IFERROR(IF(OR(PRECIOS!B158="",PRECIOS!B157=""),"",PRECIOS!B158/PRECIOS!B157-1),"")</f>
        <v>-0.003925341694</v>
      </c>
      <c r="C158" s="7">
        <f>IFERROR(IF(OR(PRECIOS!C158="",PRECIOS!C157=""),"",PRECIOS!C158/PRECIOS!C157-1),"")</f>
        <v>-0.005554511066</v>
      </c>
      <c r="D158" s="7">
        <f>IFERROR(IF(OR(PRECIOS!D158="",PRECIOS!D157=""),"",PRECIOS!D158/PRECIOS!D157-1),"")</f>
        <v>0.004474541799</v>
      </c>
      <c r="E158" s="7">
        <f>IFERROR(IF(OR(PRECIOS!E158="",PRECIOS!E157=""),"",PRECIOS!E158/PRECIOS!E157-1),"")</f>
        <v>0.005749656663</v>
      </c>
      <c r="F158" s="7">
        <f>IFERROR(IF(OR(PRECIOS!F158="",PRECIOS!F157=""),"",PRECIOS!F158/PRECIOS!F157-1),"")</f>
        <v>-0.02232142857</v>
      </c>
      <c r="G158" s="7">
        <f>IFERROR(IF(OR(PRECIOS!G158="",PRECIOS!G157=""),"",PRECIOS!G158/PRECIOS!G157-1),"")</f>
        <v>-0.002218017277</v>
      </c>
      <c r="H158" s="7">
        <f>IFERROR(IF(OR(PRECIOS!H158="",PRECIOS!H157=""),"",PRECIOS!H158/PRECIOS!H157-1),"")</f>
        <v>-0.000939553322</v>
      </c>
      <c r="I158" s="7">
        <f>IFERROR(IF(OR(PRECIOS!I158="",PRECIOS!I157=""),"",PRECIOS!I158/PRECIOS!I157-1),"")</f>
        <v>-0.008546035361</v>
      </c>
    </row>
    <row r="159" ht="15.75" customHeight="1">
      <c r="A159" s="4">
        <f>IF(PRECIOS!A159="","",PRECIOS!A159)</f>
        <v>44641</v>
      </c>
      <c r="B159" s="7">
        <f>IFERROR(IF(OR(PRECIOS!B159="",PRECIOS!B158=""),"",PRECIOS!B159/PRECIOS!B158-1),"")</f>
        <v>0.04487034537</v>
      </c>
      <c r="C159" s="7">
        <f>IFERROR(IF(OR(PRECIOS!C159="",PRECIOS!C158=""),"",PRECIOS!C159/PRECIOS!C158-1),"")</f>
        <v>0.01264270114</v>
      </c>
      <c r="D159" s="7">
        <f>IFERROR(IF(OR(PRECIOS!D159="",PRECIOS!D158=""),"",PRECIOS!D159/PRECIOS!D158-1),"")</f>
        <v>-0.008541069382</v>
      </c>
      <c r="E159" s="7">
        <f>IFERROR(IF(OR(PRECIOS!E159="",PRECIOS!E158=""),"",PRECIOS!E159/PRECIOS!E158-1),"")</f>
        <v>-0.006298266017</v>
      </c>
      <c r="F159" s="7">
        <f>IFERROR(IF(OR(PRECIOS!F159="",PRECIOS!F158=""),"",PRECIOS!F159/PRECIOS!F158-1),"")</f>
        <v>0.04337899543</v>
      </c>
      <c r="G159" s="7">
        <f>IFERROR(IF(OR(PRECIOS!G159="",PRECIOS!G158=""),"",PRECIOS!G159/PRECIOS!G158-1),"")</f>
        <v>0.03305727883</v>
      </c>
      <c r="H159" s="7">
        <f>IFERROR(IF(OR(PRECIOS!H159="",PRECIOS!H158=""),"",PRECIOS!H159/PRECIOS!H158-1),"")</f>
        <v>0.04031068786</v>
      </c>
      <c r="I159" s="7">
        <f>IFERROR(IF(OR(PRECIOS!I159="",PRECIOS!I158=""),"",PRECIOS!I159/PRECIOS!I158-1),"")</f>
        <v>0.006680107698</v>
      </c>
    </row>
    <row r="160" ht="15.75" customHeight="1">
      <c r="A160" s="4">
        <f>IF(PRECIOS!A160="","",PRECIOS!A160)</f>
        <v>44642</v>
      </c>
      <c r="B160" s="7">
        <f>IFERROR(IF(OR(PRECIOS!B160="",PRECIOS!B159=""),"",PRECIOS!B160/PRECIOS!B159-1),"")</f>
        <v>-0.004378283713</v>
      </c>
      <c r="C160" s="7">
        <f>IFERROR(IF(OR(PRECIOS!C160="",PRECIOS!C159=""),"",PRECIOS!C160/PRECIOS!C159-1),"")</f>
        <v>-0.001015636319</v>
      </c>
      <c r="D160" s="7">
        <f>IFERROR(IF(OR(PRECIOS!D160="",PRECIOS!D159=""),"",PRECIOS!D160/PRECIOS!D159-1),"")</f>
        <v>0.01541910539</v>
      </c>
      <c r="E160" s="7">
        <f>IFERROR(IF(OR(PRECIOS!E160="",PRECIOS!E159=""),"",PRECIOS!E160/PRECIOS!E159-1),"")</f>
        <v>0.004207924047</v>
      </c>
      <c r="F160" s="7">
        <f>IFERROR(IF(OR(PRECIOS!F160="",PRECIOS!F159=""),"",PRECIOS!F160/PRECIOS!F159-1),"")</f>
        <v>-0.00875273523</v>
      </c>
      <c r="G160" s="7">
        <f>IFERROR(IF(OR(PRECIOS!G160="",PRECIOS!G159=""),"",PRECIOS!G160/PRECIOS!G159-1),"")</f>
        <v>-0.01169131356</v>
      </c>
      <c r="H160" s="7">
        <f>IFERROR(IF(OR(PRECIOS!H160="",PRECIOS!H159=""),"",PRECIOS!H160/PRECIOS!H159-1),"")</f>
        <v>-0.007361111945</v>
      </c>
      <c r="I160" s="7">
        <f>IFERROR(IF(OR(PRECIOS!I160="",PRECIOS!I159=""),"",PRECIOS!I160/PRECIOS!I159-1),"")</f>
        <v>0.001410182468</v>
      </c>
    </row>
    <row r="161" ht="15.75" customHeight="1">
      <c r="A161" s="4">
        <f>IF(PRECIOS!A161="","",PRECIOS!A161)</f>
        <v>44643</v>
      </c>
      <c r="B161" s="7">
        <f>IFERROR(IF(OR(PRECIOS!B161="",PRECIOS!B160=""),"",PRECIOS!B161/PRECIOS!B160-1),"")</f>
        <v>0.01576203041</v>
      </c>
      <c r="C161" s="7">
        <f>IFERROR(IF(OR(PRECIOS!C161="",PRECIOS!C160=""),"",PRECIOS!C161/PRECIOS!C160-1),"")</f>
        <v>-0.0004365695798</v>
      </c>
      <c r="D161" s="7">
        <f>IFERROR(IF(OR(PRECIOS!D161="",PRECIOS!D160=""),"",PRECIOS!D161/PRECIOS!D160-1),"")</f>
        <v>-0.02635199686</v>
      </c>
      <c r="E161" s="7">
        <f>IFERROR(IF(OR(PRECIOS!E161="",PRECIOS!E160=""),"",PRECIOS!E161/PRECIOS!E160-1),"")</f>
        <v>-0.01816884256</v>
      </c>
      <c r="F161" s="7">
        <f>IFERROR(IF(OR(PRECIOS!F161="",PRECIOS!F160=""),"",PRECIOS!F161/PRECIOS!F160-1),"")</f>
        <v>0.02649006623</v>
      </c>
      <c r="G161" s="7">
        <f>IFERROR(IF(OR(PRECIOS!G161="",PRECIOS!G160=""),"",PRECIOS!G161/PRECIOS!G160-1),"")</f>
        <v>0.01836465716</v>
      </c>
      <c r="H161" s="7">
        <f>IFERROR(IF(OR(PRECIOS!H161="",PRECIOS!H160=""),"",PRECIOS!H161/PRECIOS!H160-1),"")</f>
        <v>0.0172064808</v>
      </c>
      <c r="I161" s="7">
        <f>IFERROR(IF(OR(PRECIOS!I161="",PRECIOS!I160=""),"",PRECIOS!I161/PRECIOS!I160-1),"")</f>
        <v>0.001414525628</v>
      </c>
    </row>
    <row r="162" ht="15.75" customHeight="1">
      <c r="A162" s="4">
        <f>IF(PRECIOS!A162="","",PRECIOS!A162)</f>
        <v>44644</v>
      </c>
      <c r="B162" s="7">
        <f>IFERROR(IF(OR(PRECIOS!B162="",PRECIOS!B161=""),"",PRECIOS!B162/PRECIOS!B161-1),"")</f>
        <v>0.003007007279</v>
      </c>
      <c r="C162" s="7">
        <f>IFERROR(IF(OR(PRECIOS!C162="",PRECIOS!C161=""),"",PRECIOS!C162/PRECIOS!C161-1),"")</f>
        <v>0.007414454072</v>
      </c>
      <c r="D162" s="7">
        <f>IFERROR(IF(OR(PRECIOS!D162="",PRECIOS!D161=""),"",PRECIOS!D162/PRECIOS!D161-1),"")</f>
        <v>0.01146926818</v>
      </c>
      <c r="E162" s="7">
        <f>IFERROR(IF(OR(PRECIOS!E162="",PRECIOS!E161=""),"",PRECIOS!E162/PRECIOS!E161-1),"")</f>
        <v>0.005054714955</v>
      </c>
      <c r="F162" s="7">
        <f>IFERROR(IF(OR(PRECIOS!F162="",PRECIOS!F161=""),"",PRECIOS!F162/PRECIOS!F161-1),"")</f>
        <v>0.03010752688</v>
      </c>
      <c r="G162" s="7">
        <f>IFERROR(IF(OR(PRECIOS!G162="",PRECIOS!G161=""),"",PRECIOS!G162/PRECIOS!G161-1),"")</f>
        <v>0.006728057682</v>
      </c>
      <c r="H162" s="7">
        <f>IFERROR(IF(OR(PRECIOS!H162="",PRECIOS!H161=""),"",PRECIOS!H162/PRECIOS!H161-1),"")</f>
        <v>0.002471728306</v>
      </c>
      <c r="I162" s="7">
        <f>IFERROR(IF(OR(PRECIOS!I162="",PRECIOS!I161=""),"",PRECIOS!I162/PRECIOS!I161-1),"")</f>
        <v>0.0102795351</v>
      </c>
    </row>
    <row r="163" ht="15.75" customHeight="1">
      <c r="A163" s="4">
        <f>IF(PRECIOS!A163="","",PRECIOS!A163)</f>
        <v>44645</v>
      </c>
      <c r="B163" s="7">
        <f>IFERROR(IF(OR(PRECIOS!B163="",PRECIOS!B162=""),"",PRECIOS!B163/PRECIOS!B162-1),"")</f>
        <v>0.02182824501</v>
      </c>
      <c r="C163" s="7">
        <f>IFERROR(IF(OR(PRECIOS!C163="",PRECIOS!C162=""),"",PRECIOS!C163/PRECIOS!C162-1),"")</f>
        <v>0.02351985699</v>
      </c>
      <c r="D163" s="7">
        <f>IFERROR(IF(OR(PRECIOS!D163="",PRECIOS!D162=""),"",PRECIOS!D163/PRECIOS!D162-1),"")</f>
        <v>0.03129307904</v>
      </c>
      <c r="E163" s="7">
        <f>IFERROR(IF(OR(PRECIOS!E163="",PRECIOS!E162=""),"",PRECIOS!E163/PRECIOS!E162-1),"")</f>
        <v>0.00639609334</v>
      </c>
      <c r="F163" s="7">
        <f>IFERROR(IF(OR(PRECIOS!F163="",PRECIOS!F162=""),"",PRECIOS!F163/PRECIOS!F162-1),"")</f>
        <v>0</v>
      </c>
      <c r="G163" s="7">
        <f>IFERROR(IF(OR(PRECIOS!G163="",PRECIOS!G162=""),"",PRECIOS!G163/PRECIOS!G162-1),"")</f>
        <v>0.02884978952</v>
      </c>
      <c r="H163" s="7">
        <f>IFERROR(IF(OR(PRECIOS!H163="",PRECIOS!H162=""),"",PRECIOS!H163/PRECIOS!H162-1),"")</f>
        <v>0.02192960333</v>
      </c>
      <c r="I163" s="7">
        <f>IFERROR(IF(OR(PRECIOS!I163="",PRECIOS!I162=""),"",PRECIOS!I163/PRECIOS!I162-1),"")</f>
        <v>0.01449139368</v>
      </c>
    </row>
    <row r="164" ht="15.75" customHeight="1">
      <c r="A164" s="4">
        <f>IF(PRECIOS!A164="","",PRECIOS!A164)</f>
        <v>44648</v>
      </c>
      <c r="B164" s="7">
        <f>IFERROR(IF(OR(PRECIOS!B164="",PRECIOS!B163=""),"",PRECIOS!B164/PRECIOS!B163-1),"")</f>
        <v>-0.02805174178</v>
      </c>
      <c r="C164" s="7">
        <f>IFERROR(IF(OR(PRECIOS!C164="",PRECIOS!C163=""),"",PRECIOS!C164/PRECIOS!C163-1),"")</f>
        <v>0.0009878771087</v>
      </c>
      <c r="D164" s="7">
        <f>IFERROR(IF(OR(PRECIOS!D164="",PRECIOS!D163=""),"",PRECIOS!D164/PRECIOS!D163-1),"")</f>
        <v>0.01626993235</v>
      </c>
      <c r="E164" s="7">
        <f>IFERROR(IF(OR(PRECIOS!E164="",PRECIOS!E163=""),"",PRECIOS!E164/PRECIOS!E163-1),"")</f>
        <v>0.0001911907226</v>
      </c>
      <c r="F164" s="7">
        <f>IFERROR(IF(OR(PRECIOS!F164="",PRECIOS!F163=""),"",PRECIOS!F164/PRECIOS!F163-1),"")</f>
        <v>-0.006263048017</v>
      </c>
      <c r="G164" s="7">
        <f>IFERROR(IF(OR(PRECIOS!G164="",PRECIOS!G163=""),"",PRECIOS!G164/PRECIOS!G163-1),"")</f>
        <v>-0.01711972167</v>
      </c>
      <c r="H164" s="7">
        <f>IFERROR(IF(OR(PRECIOS!H164="",PRECIOS!H163=""),"",PRECIOS!H164/PRECIOS!H163-1),"")</f>
        <v>-0.02476308271</v>
      </c>
      <c r="I164" s="7">
        <f>IFERROR(IF(OR(PRECIOS!I164="",PRECIOS!I163=""),"",PRECIOS!I164/PRECIOS!I163-1),"")</f>
        <v>0.006465437504</v>
      </c>
    </row>
    <row r="165" ht="15.75" customHeight="1">
      <c r="A165" s="4">
        <f>IF(PRECIOS!A165="","",PRECIOS!A165)</f>
        <v>44649</v>
      </c>
      <c r="B165" s="7">
        <f>IFERROR(IF(OR(PRECIOS!B165="",PRECIOS!B164=""),"",PRECIOS!B165/PRECIOS!B164-1),"")</f>
        <v>-0.005314571736</v>
      </c>
      <c r="C165" s="7">
        <f>IFERROR(IF(OR(PRECIOS!C165="",PRECIOS!C164=""),"",PRECIOS!C165/PRECIOS!C164-1),"")</f>
        <v>0.01492961257</v>
      </c>
      <c r="D165" s="7">
        <f>IFERROR(IF(OR(PRECIOS!D165="",PRECIOS!D164=""),"",PRECIOS!D165/PRECIOS!D164-1),"")</f>
        <v>0.001731590229</v>
      </c>
      <c r="E165" s="7">
        <f>IFERROR(IF(OR(PRECIOS!E165="",PRECIOS!E164=""),"",PRECIOS!E165/PRECIOS!E164-1),"")</f>
        <v>0.0215279151</v>
      </c>
      <c r="F165" s="7">
        <f>IFERROR(IF(OR(PRECIOS!F165="",PRECIOS!F164=""),"",PRECIOS!F165/PRECIOS!F164-1),"")</f>
        <v>0.01050420168</v>
      </c>
      <c r="G165" s="7">
        <f>IFERROR(IF(OR(PRECIOS!G165="",PRECIOS!G164=""),"",PRECIOS!G165/PRECIOS!G164-1),"")</f>
        <v>0.004203356453</v>
      </c>
      <c r="H165" s="7">
        <f>IFERROR(IF(OR(PRECIOS!H165="",PRECIOS!H164=""),"",PRECIOS!H165/PRECIOS!H164-1),"")</f>
        <v>-0.002604980723</v>
      </c>
      <c r="I165" s="7">
        <f>IFERROR(IF(OR(PRECIOS!I165="",PRECIOS!I164=""),"",PRECIOS!I165/PRECIOS!I164-1),"")</f>
        <v>0.009278972665</v>
      </c>
    </row>
    <row r="166" ht="15.75" customHeight="1">
      <c r="A166" s="4">
        <f>IF(PRECIOS!A166="","",PRECIOS!A166)</f>
        <v>44650</v>
      </c>
      <c r="B166" s="7">
        <f>IFERROR(IF(OR(PRECIOS!B166="",PRECIOS!B165=""),"",PRECIOS!B166/PRECIOS!B165-1),"")</f>
        <v>0.01711871749</v>
      </c>
      <c r="C166" s="7">
        <f>IFERROR(IF(OR(PRECIOS!C166="",PRECIOS!C165=""),"",PRECIOS!C166/PRECIOS!C165-1),"")</f>
        <v>0.006104177971</v>
      </c>
      <c r="D166" s="7">
        <f>IFERROR(IF(OR(PRECIOS!D166="",PRECIOS!D165=""),"",PRECIOS!D166/PRECIOS!D165-1),"")</f>
        <v>-0.0021618515</v>
      </c>
      <c r="E166" s="7">
        <f>IFERROR(IF(OR(PRECIOS!E166="",PRECIOS!E165=""),"",PRECIOS!E166/PRECIOS!E165-1),"")</f>
        <v>-0.01313106546</v>
      </c>
      <c r="F166" s="7">
        <f>IFERROR(IF(OR(PRECIOS!F166="",PRECIOS!F165=""),"",PRECIOS!F166/PRECIOS!F165-1),"")</f>
        <v>0.01455301455</v>
      </c>
      <c r="G166" s="7">
        <f>IFERROR(IF(OR(PRECIOS!G166="",PRECIOS!G165=""),"",PRECIOS!G166/PRECIOS!G165-1),"")</f>
        <v>0.006280194736</v>
      </c>
      <c r="H166" s="7">
        <f>IFERROR(IF(OR(PRECIOS!H166="",PRECIOS!H165=""),"",PRECIOS!H166/PRECIOS!H165-1),"")</f>
        <v>0.01162020178</v>
      </c>
      <c r="I166" s="7">
        <f>IFERROR(IF(OR(PRECIOS!I166="",PRECIOS!I165=""),"",PRECIOS!I166/PRECIOS!I165-1),"")</f>
        <v>0.008255783601</v>
      </c>
    </row>
    <row r="167" ht="15.75" customHeight="1">
      <c r="A167" s="4">
        <f>IF(PRECIOS!A167="","",PRECIOS!A167)</f>
        <v>44651</v>
      </c>
      <c r="B167" s="7">
        <f>IFERROR(IF(OR(PRECIOS!B167="",PRECIOS!B166=""),"",PRECIOS!B167/PRECIOS!B166-1),"")</f>
        <v>-0.01420407823</v>
      </c>
      <c r="C167" s="7">
        <f>IFERROR(IF(OR(PRECIOS!C167="",PRECIOS!C166=""),"",PRECIOS!C167/PRECIOS!C166-1),"")</f>
        <v>0.0001390830454</v>
      </c>
      <c r="D167" s="7">
        <f>IFERROR(IF(OR(PRECIOS!D167="",PRECIOS!D166=""),"",PRECIOS!D167/PRECIOS!D166-1),"")</f>
        <v>0.006490744597</v>
      </c>
      <c r="E167" s="7">
        <f>IFERROR(IF(OR(PRECIOS!E167="",PRECIOS!E166=""),"",PRECIOS!E167/PRECIOS!E166-1),"")</f>
        <v>-0.02380002746</v>
      </c>
      <c r="F167" s="7">
        <f>IFERROR(IF(OR(PRECIOS!F167="",PRECIOS!F166=""),"",PRECIOS!F167/PRECIOS!F166-1),"")</f>
        <v>-0.01024590164</v>
      </c>
      <c r="G167" s="7">
        <f>IFERROR(IF(OR(PRECIOS!G167="",PRECIOS!G166=""),"",PRECIOS!G167/PRECIOS!G166-1),"")</f>
        <v>-0.007132130975</v>
      </c>
      <c r="H167" s="7">
        <f>IFERROR(IF(OR(PRECIOS!H167="",PRECIOS!H166=""),"",PRECIOS!H167/PRECIOS!H166-1),"")</f>
        <v>-0.01355215055</v>
      </c>
      <c r="I167" s="7">
        <f>IFERROR(IF(OR(PRECIOS!I167="",PRECIOS!I166=""),"",PRECIOS!I167/PRECIOS!I166-1),"")</f>
        <v>-0.001077709476</v>
      </c>
    </row>
    <row r="168" ht="15.75" customHeight="1">
      <c r="A168" s="4">
        <f>IF(PRECIOS!A168="","",PRECIOS!A168)</f>
        <v>44652</v>
      </c>
      <c r="B168" s="7">
        <f>IFERROR(IF(OR(PRECIOS!B168="",PRECIOS!B167=""),"",PRECIOS!B168/PRECIOS!B167-1),"")</f>
        <v>0.006418133624</v>
      </c>
      <c r="C168" s="7">
        <f>IFERROR(IF(OR(PRECIOS!C168="",PRECIOS!C167=""),"",PRECIOS!C168/PRECIOS!C167-1),"")</f>
        <v>0.02220336506</v>
      </c>
      <c r="D168" s="7">
        <f>IFERROR(IF(OR(PRECIOS!D168="",PRECIOS!D167=""),"",PRECIOS!D168/PRECIOS!D167-1),"")</f>
        <v>0.008174458888</v>
      </c>
      <c r="E168" s="7">
        <f>IFERROR(IF(OR(PRECIOS!E168="",PRECIOS!E167=""),"",PRECIOS!E168/PRECIOS!E167-1),"")</f>
        <v>0.0003214981815</v>
      </c>
      <c r="F168" s="7">
        <f>IFERROR(IF(OR(PRECIOS!F168="",PRECIOS!F167=""),"",PRECIOS!F168/PRECIOS!F167-1),"")</f>
        <v>0.04554865424</v>
      </c>
      <c r="G168" s="7">
        <f>IFERROR(IF(OR(PRECIOS!G168="",PRECIOS!G167=""),"",PRECIOS!G168/PRECIOS!G167-1),"")</f>
        <v>0.01257166283</v>
      </c>
      <c r="H168" s="7">
        <f>IFERROR(IF(OR(PRECIOS!H168="",PRECIOS!H167=""),"",PRECIOS!H168/PRECIOS!H167-1),"")</f>
        <v>0.00811497966</v>
      </c>
      <c r="I168" s="7">
        <f>IFERROR(IF(OR(PRECIOS!I168="",PRECIOS!I167=""),"",PRECIOS!I168/PRECIOS!I167-1),"")</f>
        <v>0.01397109346</v>
      </c>
    </row>
    <row r="169" ht="15.75" customHeight="1">
      <c r="A169" s="4">
        <f>IF(PRECIOS!A169="","",PRECIOS!A169)</f>
        <v>44655</v>
      </c>
      <c r="B169" s="7">
        <f>IFERROR(IF(OR(PRECIOS!B169="",PRECIOS!B168=""),"",PRECIOS!B169/PRECIOS!B168-1),"")</f>
        <v>0.0004799912909</v>
      </c>
      <c r="C169" s="7">
        <f>IFERROR(IF(OR(PRECIOS!C169="",PRECIOS!C168=""),"",PRECIOS!C169/PRECIOS!C168-1),"")</f>
        <v>-0.01349047698</v>
      </c>
      <c r="D169" s="7">
        <f>IFERROR(IF(OR(PRECIOS!D169="",PRECIOS!D168=""),"",PRECIOS!D169/PRECIOS!D168-1),"")</f>
        <v>-0.004693749236</v>
      </c>
      <c r="E169" s="7">
        <f>IFERROR(IF(OR(PRECIOS!E169="",PRECIOS!E168=""),"",PRECIOS!E169/PRECIOS!E168-1),"")</f>
        <v>-0.005858760353</v>
      </c>
      <c r="F169" s="7">
        <f>IFERROR(IF(OR(PRECIOS!F169="",PRECIOS!F168=""),"",PRECIOS!F169/PRECIOS!F168-1),"")</f>
        <v>0.05148514851</v>
      </c>
      <c r="G169" s="7">
        <f>IFERROR(IF(OR(PRECIOS!G169="",PRECIOS!G168=""),"",PRECIOS!G169/PRECIOS!G168-1),"")</f>
        <v>-0.002956674293</v>
      </c>
      <c r="H169" s="7">
        <f>IFERROR(IF(OR(PRECIOS!H169="",PRECIOS!H168=""),"",PRECIOS!H169/PRECIOS!H168-1),"")</f>
        <v>0.001293641869</v>
      </c>
      <c r="I169" s="7">
        <f>IFERROR(IF(OR(PRECIOS!I169="",PRECIOS!I168=""),"",PRECIOS!I169/PRECIOS!I168-1),"")</f>
        <v>-0.007685814827</v>
      </c>
    </row>
    <row r="170" ht="15.75" customHeight="1">
      <c r="A170" s="4">
        <f>IF(PRECIOS!A170="","",PRECIOS!A170)</f>
        <v>44656</v>
      </c>
      <c r="B170" s="7">
        <f>IFERROR(IF(OR(PRECIOS!B170="",PRECIOS!B169=""),"",PRECIOS!B170/PRECIOS!B169-1),"")</f>
        <v>-0.00516979583</v>
      </c>
      <c r="C170" s="7">
        <f>IFERROR(IF(OR(PRECIOS!C170="",PRECIOS!C169=""),"",PRECIOS!C170/PRECIOS!C169-1),"")</f>
        <v>0.0168200022</v>
      </c>
      <c r="D170" s="7">
        <f>IFERROR(IF(OR(PRECIOS!D170="",PRECIOS!D169=""),"",PRECIOS!D170/PRECIOS!D169-1),"")</f>
        <v>0.01071712151</v>
      </c>
      <c r="E170" s="7">
        <f>IFERROR(IF(OR(PRECIOS!E170="",PRECIOS!E169=""),"",PRECIOS!E170/PRECIOS!E169-1),"")</f>
        <v>-0.02855718846</v>
      </c>
      <c r="F170" s="7">
        <f>IFERROR(IF(OR(PRECIOS!F170="",PRECIOS!F169=""),"",PRECIOS!F170/PRECIOS!F169-1),"")</f>
        <v>-0.02259887006</v>
      </c>
      <c r="G170" s="7">
        <f>IFERROR(IF(OR(PRECIOS!G170="",PRECIOS!G169=""),"",PRECIOS!G170/PRECIOS!G169-1),"")</f>
        <v>-0.02223773987</v>
      </c>
      <c r="H170" s="7">
        <f>IFERROR(IF(OR(PRECIOS!H170="",PRECIOS!H169=""),"",PRECIOS!H170/PRECIOS!H169-1),"")</f>
        <v>-0.01567847713</v>
      </c>
      <c r="I170" s="7">
        <f>IFERROR(IF(OR(PRECIOS!I170="",PRECIOS!I169=""),"",PRECIOS!I170/PRECIOS!I169-1),"")</f>
        <v>0.006271751957</v>
      </c>
    </row>
    <row r="171" ht="15.75" customHeight="1">
      <c r="A171" s="4">
        <f>IF(PRECIOS!A171="","",PRECIOS!A171)</f>
        <v>44657</v>
      </c>
      <c r="B171" s="7">
        <f>IFERROR(IF(OR(PRECIOS!B171="",PRECIOS!B170=""),"",PRECIOS!B171/PRECIOS!B170-1),"")</f>
        <v>0.01111919011</v>
      </c>
      <c r="C171" s="7">
        <f>IFERROR(IF(OR(PRECIOS!C171="",PRECIOS!C170=""),"",PRECIOS!C171/PRECIOS!C170-1),"")</f>
        <v>0.02905361925</v>
      </c>
      <c r="D171" s="7">
        <f>IFERROR(IF(OR(PRECIOS!D171="",PRECIOS!D170=""),"",PRECIOS!D171/PRECIOS!D170-1),"")</f>
        <v>0.01781280925</v>
      </c>
      <c r="E171" s="7">
        <f>IFERROR(IF(OR(PRECIOS!E171="",PRECIOS!E170=""),"",PRECIOS!E171/PRECIOS!E170-1),"")</f>
        <v>-0.01193199939</v>
      </c>
      <c r="F171" s="7">
        <f>IFERROR(IF(OR(PRECIOS!F171="",PRECIOS!F170=""),"",PRECIOS!F171/PRECIOS!F170-1),"")</f>
        <v>-0.02312138728</v>
      </c>
      <c r="G171" s="7">
        <f>IFERROR(IF(OR(PRECIOS!G171="",PRECIOS!G170=""),"",PRECIOS!G171/PRECIOS!G170-1),"")</f>
        <v>0.01273875331</v>
      </c>
      <c r="H171" s="7">
        <f>IFERROR(IF(OR(PRECIOS!H171="",PRECIOS!H170=""),"",PRECIOS!H171/PRECIOS!H170-1),"")</f>
        <v>0.005921524002</v>
      </c>
      <c r="I171" s="7">
        <f>IFERROR(IF(OR(PRECIOS!I171="",PRECIOS!I170=""),"",PRECIOS!I171/PRECIOS!I170-1),"")</f>
        <v>0.0199004679</v>
      </c>
    </row>
    <row r="172" ht="15.75" customHeight="1">
      <c r="A172" s="4">
        <f>IF(PRECIOS!A172="","",PRECIOS!A172)</f>
        <v>44658</v>
      </c>
      <c r="B172" s="7">
        <f>IFERROR(IF(OR(PRECIOS!B172="",PRECIOS!B171=""),"",PRECIOS!B172/PRECIOS!B171-1),"")</f>
        <v>0.01673753321</v>
      </c>
      <c r="C172" s="7">
        <f>IFERROR(IF(OR(PRECIOS!C172="",PRECIOS!C171=""),"",PRECIOS!C172/PRECIOS!C171-1),"")</f>
        <v>-0.009802458078</v>
      </c>
      <c r="D172" s="7">
        <f>IFERROR(IF(OR(PRECIOS!D172="",PRECIOS!D171=""),"",PRECIOS!D172/PRECIOS!D171-1),"")</f>
        <v>0.004997867804</v>
      </c>
      <c r="E172" s="7">
        <f>IFERROR(IF(OR(PRECIOS!E172="",PRECIOS!E171=""),"",PRECIOS!E172/PRECIOS!E171-1),"")</f>
        <v>0.006960768491</v>
      </c>
      <c r="F172" s="7">
        <f>IFERROR(IF(OR(PRECIOS!F172="",PRECIOS!F171=""),"",PRECIOS!F172/PRECIOS!F171-1),"")</f>
        <v>0.01183431953</v>
      </c>
      <c r="G172" s="7">
        <f>IFERROR(IF(OR(PRECIOS!G172="",PRECIOS!G171=""),"",PRECIOS!G172/PRECIOS!G171-1),"")</f>
        <v>0.007483737084</v>
      </c>
      <c r="H172" s="7">
        <f>IFERROR(IF(OR(PRECIOS!H172="",PRECIOS!H171=""),"",PRECIOS!H172/PRECIOS!H171-1),"")</f>
        <v>0.01309311826</v>
      </c>
      <c r="I172" s="7">
        <f>IFERROR(IF(OR(PRECIOS!I172="",PRECIOS!I171=""),"",PRECIOS!I172/PRECIOS!I171-1),"")</f>
        <v>-0.002474770763</v>
      </c>
    </row>
    <row r="173" ht="15.75" customHeight="1">
      <c r="A173" s="4">
        <f>IF(PRECIOS!A173="","",PRECIOS!A173)</f>
        <v>44659</v>
      </c>
      <c r="B173" s="7">
        <f>IFERROR(IF(OR(PRECIOS!B173="",PRECIOS!B172=""),"",PRECIOS!B173/PRECIOS!B172-1),"")</f>
        <v>0.02104539019</v>
      </c>
      <c r="C173" s="7">
        <f>IFERROR(IF(OR(PRECIOS!C173="",PRECIOS!C172=""),"",PRECIOS!C173/PRECIOS!C172-1),"")</f>
        <v>0.009634659785</v>
      </c>
      <c r="D173" s="7">
        <f>IFERROR(IF(OR(PRECIOS!D173="",PRECIOS!D172=""),"",PRECIOS!D173/PRECIOS!D172-1),"")</f>
        <v>0.01617077973</v>
      </c>
      <c r="E173" s="7">
        <f>IFERROR(IF(OR(PRECIOS!E173="",PRECIOS!E172=""),"",PRECIOS!E173/PRECIOS!E172-1),"")</f>
        <v>-0.004724574057</v>
      </c>
      <c r="F173" s="7">
        <f>IFERROR(IF(OR(PRECIOS!F173="",PRECIOS!F172=""),"",PRECIOS!F173/PRECIOS!F172-1),"")</f>
        <v>0.001949317739</v>
      </c>
      <c r="G173" s="7">
        <f>IFERROR(IF(OR(PRECIOS!G173="",PRECIOS!G172=""),"",PRECIOS!G173/PRECIOS!G172-1),"")</f>
        <v>0.02288263898</v>
      </c>
      <c r="H173" s="7">
        <f>IFERROR(IF(OR(PRECIOS!H173="",PRECIOS!H172=""),"",PRECIOS!H173/PRECIOS!H172-1),"")</f>
        <v>0.02752274607</v>
      </c>
      <c r="I173" s="7">
        <f>IFERROR(IF(OR(PRECIOS!I173="",PRECIOS!I172=""),"",PRECIOS!I173/PRECIOS!I172-1),"")</f>
        <v>0.003390772651</v>
      </c>
    </row>
    <row r="174" ht="15.75" customHeight="1">
      <c r="A174" s="4">
        <f>IF(PRECIOS!A174="","",PRECIOS!A174)</f>
        <v>44662</v>
      </c>
      <c r="B174" s="7">
        <f>IFERROR(IF(OR(PRECIOS!B174="",PRECIOS!B173=""),"",PRECIOS!B174/PRECIOS!B173-1),"")</f>
        <v>-0.0344312299</v>
      </c>
      <c r="C174" s="7">
        <f>IFERROR(IF(OR(PRECIOS!C174="",PRECIOS!C173=""),"",PRECIOS!C174/PRECIOS!C173-1),"")</f>
        <v>-0.02627812439</v>
      </c>
      <c r="D174" s="7">
        <f>IFERROR(IF(OR(PRECIOS!D174="",PRECIOS!D173=""),"",PRECIOS!D174/PRECIOS!D173-1),"")</f>
        <v>-0.02080732244</v>
      </c>
      <c r="E174" s="7">
        <f>IFERROR(IF(OR(PRECIOS!E174="",PRECIOS!E173=""),"",PRECIOS!E174/PRECIOS!E173-1),"")</f>
        <v>-0.02003822807</v>
      </c>
      <c r="F174" s="7">
        <f>IFERROR(IF(OR(PRECIOS!F174="",PRECIOS!F173=""),"",PRECIOS!F174/PRECIOS!F173-1),"")</f>
        <v>-0.02140077821</v>
      </c>
      <c r="G174" s="7">
        <f>IFERROR(IF(OR(PRECIOS!G174="",PRECIOS!G173=""),"",PRECIOS!G174/PRECIOS!G173-1),"")</f>
        <v>-0.0005818019582</v>
      </c>
      <c r="H174" s="7">
        <f>IFERROR(IF(OR(PRECIOS!H174="",PRECIOS!H173=""),"",PRECIOS!H174/PRECIOS!H173-1),"")</f>
        <v>-0.03005430705</v>
      </c>
      <c r="I174" s="7">
        <f>IFERROR(IF(OR(PRECIOS!I174="",PRECIOS!I173=""),"",PRECIOS!I174/PRECIOS!I173-1),"")</f>
        <v>-0.01364263242</v>
      </c>
    </row>
    <row r="175" ht="15.75" customHeight="1">
      <c r="A175" s="4">
        <f>IF(PRECIOS!A175="","",PRECIOS!A175)</f>
        <v>44663</v>
      </c>
      <c r="B175" s="7">
        <f>IFERROR(IF(OR(PRECIOS!B175="",PRECIOS!B174=""),"",PRECIOS!B175/PRECIOS!B174-1),"")</f>
        <v>0.02087078727</v>
      </c>
      <c r="C175" s="7">
        <f>IFERROR(IF(OR(PRECIOS!C175="",PRECIOS!C174=""),"",PRECIOS!C175/PRECIOS!C174-1),"")</f>
        <v>0.01423343496</v>
      </c>
      <c r="D175" s="7">
        <f>IFERROR(IF(OR(PRECIOS!D175="",PRECIOS!D174=""),"",PRECIOS!D175/PRECIOS!D174-1),"")</f>
        <v>0.002081023454</v>
      </c>
      <c r="E175" s="7">
        <f>IFERROR(IF(OR(PRECIOS!E175="",PRECIOS!E174=""),"",PRECIOS!E175/PRECIOS!E174-1),"")</f>
        <v>-0.01019540599</v>
      </c>
      <c r="F175" s="7">
        <f>IFERROR(IF(OR(PRECIOS!F175="",PRECIOS!F174=""),"",PRECIOS!F175/PRECIOS!F174-1),"")</f>
        <v>0.007952286282</v>
      </c>
      <c r="G175" s="7">
        <f>IFERROR(IF(OR(PRECIOS!G175="",PRECIOS!G174=""),"",PRECIOS!G175/PRECIOS!G174-1),"")</f>
        <v>0.01133816942</v>
      </c>
      <c r="H175" s="7">
        <f>IFERROR(IF(OR(PRECIOS!H175="",PRECIOS!H174=""),"",PRECIOS!H175/PRECIOS!H174-1),"")</f>
        <v>0.01658945471</v>
      </c>
      <c r="I175" s="7">
        <f>IFERROR(IF(OR(PRECIOS!I175="",PRECIOS!I174=""),"",PRECIOS!I175/PRECIOS!I174-1),"")</f>
        <v>0.003822164415</v>
      </c>
    </row>
    <row r="176" ht="15.75" customHeight="1">
      <c r="A176" s="4">
        <f>IF(PRECIOS!A176="","",PRECIOS!A176)</f>
        <v>44664</v>
      </c>
      <c r="B176" s="7">
        <f>IFERROR(IF(OR(PRECIOS!B176="",PRECIOS!B175=""),"",PRECIOS!B176/PRECIOS!B175-1),"")</f>
        <v>0.01413633006</v>
      </c>
      <c r="C176" s="7">
        <f>IFERROR(IF(OR(PRECIOS!C176="",PRECIOS!C175=""),"",PRECIOS!C176/PRECIOS!C175-1),"")</f>
        <v>-0.002383670089</v>
      </c>
      <c r="D176" s="7">
        <f>IFERROR(IF(OR(PRECIOS!D176="",PRECIOS!D175=""),"",PRECIOS!D176/PRECIOS!D175-1),"")</f>
        <v>-0.01039627555</v>
      </c>
      <c r="E176" s="7">
        <f>IFERROR(IF(OR(PRECIOS!E176="",PRECIOS!E175=""),"",PRECIOS!E176/PRECIOS!E175-1),"")</f>
        <v>0.00673461433</v>
      </c>
      <c r="F176" s="7">
        <f>IFERROR(IF(OR(PRECIOS!F176="",PRECIOS!F175=""),"",PRECIOS!F176/PRECIOS!F175-1),"")</f>
        <v>0.01380670611</v>
      </c>
      <c r="G176" s="7">
        <f>IFERROR(IF(OR(PRECIOS!G176="",PRECIOS!G175=""),"",PRECIOS!G176/PRECIOS!G175-1),"")</f>
        <v>0.00747403771</v>
      </c>
      <c r="H176" s="7">
        <f>IFERROR(IF(OR(PRECIOS!H176="",PRECIOS!H175=""),"",PRECIOS!H176/PRECIOS!H175-1),"")</f>
        <v>0.01492506852</v>
      </c>
      <c r="I176" s="7">
        <f>IFERROR(IF(OR(PRECIOS!I176="",PRECIOS!I175=""),"",PRECIOS!I176/PRECIOS!I175-1),"")</f>
        <v>-0.001967118495</v>
      </c>
    </row>
    <row r="177" ht="15.75" customHeight="1">
      <c r="A177" s="4">
        <f>IF(PRECIOS!A177="","",PRECIOS!A177)</f>
        <v>44665</v>
      </c>
      <c r="B177" s="7">
        <f>IFERROR(IF(OR(PRECIOS!B177="",PRECIOS!B176=""),"",PRECIOS!B177/PRECIOS!B176-1),"")</f>
        <v>0.01175031064</v>
      </c>
      <c r="C177" s="7">
        <f>IFERROR(IF(OR(PRECIOS!C177="",PRECIOS!C176=""),"",PRECIOS!C177/PRECIOS!C176-1),"")</f>
        <v>0.008360048716</v>
      </c>
      <c r="D177" s="7">
        <f>IFERROR(IF(OR(PRECIOS!D177="",PRECIOS!D176=""),"",PRECIOS!D177/PRECIOS!D176-1),"")</f>
        <v>0.009666946182</v>
      </c>
      <c r="E177" s="7">
        <f>IFERROR(IF(OR(PRECIOS!E177="",PRECIOS!E176=""),"",PRECIOS!E177/PRECIOS!E176-1),"")</f>
        <v>-0.01310666734</v>
      </c>
      <c r="F177" s="7">
        <f>IFERROR(IF(OR(PRECIOS!F177="",PRECIOS!F176=""),"",PRECIOS!F177/PRECIOS!F176-1),"")</f>
        <v>0.007782101167</v>
      </c>
      <c r="G177" s="7">
        <f>IFERROR(IF(OR(PRECIOS!G177="",PRECIOS!G176=""),"",PRECIOS!G177/PRECIOS!G176-1),"")</f>
        <v>0.01340734162</v>
      </c>
      <c r="H177" s="7">
        <f>IFERROR(IF(OR(PRECIOS!H177="",PRECIOS!H176=""),"",PRECIOS!H177/PRECIOS!H176-1),"")</f>
        <v>0.003263439424</v>
      </c>
      <c r="I177" s="7">
        <f>IFERROR(IF(OR(PRECIOS!I177="",PRECIOS!I176=""),"",PRECIOS!I177/PRECIOS!I176-1),"")</f>
        <v>0.0005281560273</v>
      </c>
    </row>
    <row r="178" ht="15.75" customHeight="1">
      <c r="A178" s="4">
        <f>IF(PRECIOS!A178="","",PRECIOS!A178)</f>
        <v>44669</v>
      </c>
      <c r="B178" s="7">
        <f>IFERROR(IF(OR(PRECIOS!B178="",PRECIOS!B177=""),"",PRECIOS!B178/PRECIOS!B177-1),"")</f>
        <v>0.008196423826</v>
      </c>
      <c r="C178" s="7">
        <f>IFERROR(IF(OR(PRECIOS!C178="",PRECIOS!C177=""),"",PRECIOS!C178/PRECIOS!C177-1),"")</f>
        <v>-0.002106873743</v>
      </c>
      <c r="D178" s="7">
        <f>IFERROR(IF(OR(PRECIOS!D178="",PRECIOS!D177=""),"",PRECIOS!D178/PRECIOS!D177-1),"")</f>
        <v>0.03370628596</v>
      </c>
      <c r="E178" s="7">
        <f>IFERROR(IF(OR(PRECIOS!E178="",PRECIOS!E177=""),"",PRECIOS!E178/PRECIOS!E177-1),"")</f>
        <v>0.005354431391</v>
      </c>
      <c r="F178" s="7">
        <f>IFERROR(IF(OR(PRECIOS!F178="",PRECIOS!F177=""),"",PRECIOS!F178/PRECIOS!F177-1),"")</f>
        <v>0.009652509653</v>
      </c>
      <c r="G178" s="7">
        <f>IFERROR(IF(OR(PRECIOS!G178="",PRECIOS!G177=""),"",PRECIOS!G178/PRECIOS!G177-1),"")</f>
        <v>-0.005912440956</v>
      </c>
      <c r="H178" s="7">
        <f>IFERROR(IF(OR(PRECIOS!H178="",PRECIOS!H177=""),"",PRECIOS!H178/PRECIOS!H177-1),"")</f>
        <v>0.01465488854</v>
      </c>
      <c r="I178" s="7">
        <f>IFERROR(IF(OR(PRECIOS!I178="",PRECIOS!I177=""),"",PRECIOS!I178/PRECIOS!I177-1),"")</f>
        <v>-0.005393784614</v>
      </c>
    </row>
    <row r="179" ht="15.75" customHeight="1">
      <c r="A179" s="4">
        <f>IF(PRECIOS!A179="","",PRECIOS!A179)</f>
        <v>44670</v>
      </c>
      <c r="B179" s="7">
        <f>IFERROR(IF(OR(PRECIOS!B179="",PRECIOS!B178=""),"",PRECIOS!B179/PRECIOS!B178-1),"")</f>
        <v>-0.008920587955</v>
      </c>
      <c r="C179" s="7">
        <f>IFERROR(IF(OR(PRECIOS!C179="",PRECIOS!C178=""),"",PRECIOS!C179/PRECIOS!C178-1),"")</f>
        <v>0.005803421807</v>
      </c>
      <c r="D179" s="7">
        <f>IFERROR(IF(OR(PRECIOS!D179="",PRECIOS!D178=""),"",PRECIOS!D179/PRECIOS!D178-1),"")</f>
        <v>-0.0007993176958</v>
      </c>
      <c r="E179" s="7">
        <f>IFERROR(IF(OR(PRECIOS!E179="",PRECIOS!E178=""),"",PRECIOS!E179/PRECIOS!E178-1),"")</f>
        <v>0.03632750397</v>
      </c>
      <c r="F179" s="7">
        <f>IFERROR(IF(OR(PRECIOS!F179="",PRECIOS!F178=""),"",PRECIOS!F179/PRECIOS!F178-1),"")</f>
        <v>-0.017208413</v>
      </c>
      <c r="G179" s="7">
        <f>IFERROR(IF(OR(PRECIOS!G179="",PRECIOS!G178=""),"",PRECIOS!G179/PRECIOS!G178-1),"")</f>
        <v>0.002835691512</v>
      </c>
      <c r="H179" s="7">
        <f>IFERROR(IF(OR(PRECIOS!H179="",PRECIOS!H178=""),"",PRECIOS!H179/PRECIOS!H178-1),"")</f>
        <v>-0.008147243003</v>
      </c>
      <c r="I179" s="7">
        <f>IFERROR(IF(OR(PRECIOS!I179="",PRECIOS!I178=""),"",PRECIOS!I179/PRECIOS!I178-1),"")</f>
        <v>0.006472655034</v>
      </c>
    </row>
    <row r="180" ht="15.75" customHeight="1">
      <c r="A180" s="4">
        <f>IF(PRECIOS!A180="","",PRECIOS!A180)</f>
        <v>44671</v>
      </c>
      <c r="B180" s="7">
        <f>IFERROR(IF(OR(PRECIOS!B180="",PRECIOS!B179=""),"",PRECIOS!B180/PRECIOS!B179-1),"")</f>
        <v>0.002278926549</v>
      </c>
      <c r="C180" s="7">
        <f>IFERROR(IF(OR(PRECIOS!C180="",PRECIOS!C179=""),"",PRECIOS!C180/PRECIOS!C179-1),"")</f>
        <v>0.003016501721</v>
      </c>
      <c r="D180" s="7">
        <f>IFERROR(IF(OR(PRECIOS!D180="",PRECIOS!D179=""),"",PRECIOS!D180/PRECIOS!D179-1),"")</f>
        <v>0.05801338485</v>
      </c>
      <c r="E180" s="7">
        <f>IFERROR(IF(OR(PRECIOS!E180="",PRECIOS!E179=""),"",PRECIOS!E180/PRECIOS!E179-1),"")</f>
        <v>0.02476866541</v>
      </c>
      <c r="F180" s="7">
        <f>IFERROR(IF(OR(PRECIOS!F180="",PRECIOS!F179=""),"",PRECIOS!F180/PRECIOS!F179-1),"")</f>
        <v>-0.01361867704</v>
      </c>
      <c r="G180" s="7">
        <f>IFERROR(IF(OR(PRECIOS!G180="",PRECIOS!G179=""),"",PRECIOS!G180/PRECIOS!G179-1),"")</f>
        <v>0.01439915609</v>
      </c>
      <c r="H180" s="7">
        <f>IFERROR(IF(OR(PRECIOS!H180="",PRECIOS!H179=""),"",PRECIOS!H180/PRECIOS!H179-1),"")</f>
        <v>0.003852435228</v>
      </c>
      <c r="I180" s="7">
        <f>IFERROR(IF(OR(PRECIOS!I180="",PRECIOS!I179=""),"",PRECIOS!I180/PRECIOS!I179-1),"")</f>
        <v>0.008142631567</v>
      </c>
    </row>
    <row r="181" ht="15.75" customHeight="1">
      <c r="A181" s="4">
        <f>IF(PRECIOS!A181="","",PRECIOS!A181)</f>
        <v>44672</v>
      </c>
      <c r="B181" s="7">
        <f>IFERROR(IF(OR(PRECIOS!B181="",PRECIOS!B180=""),"",PRECIOS!B181/PRECIOS!B180-1),"")</f>
        <v>-0.01057379033</v>
      </c>
      <c r="C181" s="7">
        <f>IFERROR(IF(OR(PRECIOS!C181="",PRECIOS!C180=""),"",PRECIOS!C181/PRECIOS!C180-1),"")</f>
        <v>-0.0005232067057</v>
      </c>
      <c r="D181" s="7">
        <f>IFERROR(IF(OR(PRECIOS!D181="",PRECIOS!D180=""),"",PRECIOS!D181/PRECIOS!D180-1),"")</f>
        <v>-0.01980263619</v>
      </c>
      <c r="E181" s="7">
        <f>IFERROR(IF(OR(PRECIOS!E181="",PRECIOS!E180=""),"",PRECIOS!E181/PRECIOS!E180-1),"")</f>
        <v>0.003810586626</v>
      </c>
      <c r="F181" s="7">
        <f>IFERROR(IF(OR(PRECIOS!F181="",PRECIOS!F180=""),"",PRECIOS!F181/PRECIOS!F180-1),"")</f>
        <v>-0.05917159763</v>
      </c>
      <c r="G181" s="7">
        <f>IFERROR(IF(OR(PRECIOS!G181="",PRECIOS!G180=""),"",PRECIOS!G181/PRECIOS!G180-1),"")</f>
        <v>-0.006678529337</v>
      </c>
      <c r="H181" s="7">
        <f>IFERROR(IF(OR(PRECIOS!H181="",PRECIOS!H180=""),"",PRECIOS!H181/PRECIOS!H180-1),"")</f>
        <v>-0.03172722635</v>
      </c>
      <c r="I181" s="7">
        <f>IFERROR(IF(OR(PRECIOS!I181="",PRECIOS!I180=""),"",PRECIOS!I181/PRECIOS!I180-1),"")</f>
        <v>-0.01653653291</v>
      </c>
    </row>
    <row r="182" ht="15.75" customHeight="1">
      <c r="A182" s="4">
        <f>IF(PRECIOS!A182="","",PRECIOS!A182)</f>
        <v>44673</v>
      </c>
      <c r="B182" s="7">
        <f>IFERROR(IF(OR(PRECIOS!B182="",PRECIOS!B181=""),"",PRECIOS!B182/PRECIOS!B181-1),"")</f>
        <v>-0.02183200768</v>
      </c>
      <c r="C182" s="7">
        <f>IFERROR(IF(OR(PRECIOS!C182="",PRECIOS!C181=""),"",PRECIOS!C182/PRECIOS!C181-1),"")</f>
        <v>-0.007192811764</v>
      </c>
      <c r="D182" s="7">
        <f>IFERROR(IF(OR(PRECIOS!D182="",PRECIOS!D181=""),"",PRECIOS!D182/PRECIOS!D181-1),"")</f>
        <v>-0.01514904513</v>
      </c>
      <c r="E182" s="7">
        <f>IFERROR(IF(OR(PRECIOS!E182="",PRECIOS!E181=""),"",PRECIOS!E182/PRECIOS!E181-1),"")</f>
        <v>-0.02607121794</v>
      </c>
      <c r="F182" s="7">
        <f>IFERROR(IF(OR(PRECIOS!F182="",PRECIOS!F181=""),"",PRECIOS!F182/PRECIOS!F181-1),"")</f>
        <v>-0.02725366876</v>
      </c>
      <c r="G182" s="7">
        <f>IFERROR(IF(OR(PRECIOS!G182="",PRECIOS!G181=""),"",PRECIOS!G182/PRECIOS!G181-1),"")</f>
        <v>-0.01625604876</v>
      </c>
      <c r="H182" s="7">
        <f>IFERROR(IF(OR(PRECIOS!H182="",PRECIOS!H181=""),"",PRECIOS!H182/PRECIOS!H181-1),"")</f>
        <v>-0.02445656946</v>
      </c>
      <c r="I182" s="7">
        <f>IFERROR(IF(OR(PRECIOS!I182="",PRECIOS!I181=""),"",PRECIOS!I182/PRECIOS!I181-1),"")</f>
        <v>-0.0168235018</v>
      </c>
    </row>
    <row r="183" ht="15.75" customHeight="1">
      <c r="A183" s="4">
        <f>IF(PRECIOS!A183="","",PRECIOS!A183)</f>
        <v>44676</v>
      </c>
      <c r="B183" s="7">
        <f>IFERROR(IF(OR(PRECIOS!B183="",PRECIOS!B182=""),"",PRECIOS!B183/PRECIOS!B182-1),"")</f>
        <v>-0.03371204526</v>
      </c>
      <c r="C183" s="7">
        <f>IFERROR(IF(OR(PRECIOS!C183="",PRECIOS!C182=""),"",PRECIOS!C183/PRECIOS!C182-1),"")</f>
        <v>-0.01238481995</v>
      </c>
      <c r="D183" s="7">
        <f>IFERROR(IF(OR(PRECIOS!D183="",PRECIOS!D182=""),"",PRECIOS!D183/PRECIOS!D182-1),"")</f>
        <v>-0.01341187205</v>
      </c>
      <c r="E183" s="7">
        <f>IFERROR(IF(OR(PRECIOS!E183="",PRECIOS!E182=""),"",PRECIOS!E183/PRECIOS!E182-1),"")</f>
        <v>0.007050733262</v>
      </c>
      <c r="F183" s="7">
        <f>IFERROR(IF(OR(PRECIOS!F183="",PRECIOS!F182=""),"",PRECIOS!F183/PRECIOS!F182-1),"")</f>
        <v>-0.03663793103</v>
      </c>
      <c r="G183" s="7">
        <f>IFERROR(IF(OR(PRECIOS!G183="",PRECIOS!G182=""),"",PRECIOS!G183/PRECIOS!G182-1),"")</f>
        <v>-0.03419040919</v>
      </c>
      <c r="H183" s="7">
        <f>IFERROR(IF(OR(PRECIOS!H183="",PRECIOS!H182=""),"",PRECIOS!H183/PRECIOS!H182-1),"")</f>
        <v>-0.0330721845</v>
      </c>
      <c r="I183" s="7">
        <f>IFERROR(IF(OR(PRECIOS!I183="",PRECIOS!I182=""),"",PRECIOS!I183/PRECIOS!I182-1),"")</f>
        <v>-0.006869331593</v>
      </c>
    </row>
    <row r="184" ht="15.75" customHeight="1">
      <c r="A184" s="4">
        <f>IF(PRECIOS!A184="","",PRECIOS!A184)</f>
        <v>44677</v>
      </c>
      <c r="B184" s="7">
        <f>IFERROR(IF(OR(PRECIOS!B184="",PRECIOS!B183=""),"",PRECIOS!B184/PRECIOS!B183-1),"")</f>
        <v>0.0003650073001</v>
      </c>
      <c r="C184" s="7">
        <f>IFERROR(IF(OR(PRECIOS!C184="",PRECIOS!C183=""),"",PRECIOS!C184/PRECIOS!C183-1),"")</f>
        <v>-0.01640633471</v>
      </c>
      <c r="D184" s="7">
        <f>IFERROR(IF(OR(PRECIOS!D184="",PRECIOS!D183=""),"",PRECIOS!D184/PRECIOS!D183-1),"")</f>
        <v>-0.004403177162</v>
      </c>
      <c r="E184" s="7">
        <f>IFERROR(IF(OR(PRECIOS!E184="",PRECIOS!E183=""),"",PRECIOS!E184/PRECIOS!E183-1),"")</f>
        <v>-0.02236567463</v>
      </c>
      <c r="F184" s="7">
        <f>IFERROR(IF(OR(PRECIOS!F184="",PRECIOS!F183=""),"",PRECIOS!F184/PRECIOS!F183-1),"")</f>
        <v>-0.07158836689</v>
      </c>
      <c r="G184" s="7">
        <f>IFERROR(IF(OR(PRECIOS!G184="",PRECIOS!G183=""),"",PRECIOS!G184/PRECIOS!G183-1),"")</f>
        <v>0.01209307166</v>
      </c>
      <c r="H184" s="7">
        <f>IFERROR(IF(OR(PRECIOS!H184="",PRECIOS!H183=""),"",PRECIOS!H184/PRECIOS!H183-1),"")</f>
        <v>0.001359197391</v>
      </c>
      <c r="I184" s="7">
        <f>IFERROR(IF(OR(PRECIOS!I184="",PRECIOS!I183=""),"",PRECIOS!I184/PRECIOS!I183-1),"")</f>
        <v>-0.01002683967</v>
      </c>
    </row>
    <row r="185" ht="15.75" customHeight="1">
      <c r="A185" s="4">
        <f>IF(PRECIOS!A185="","",PRECIOS!A185)</f>
        <v>44678</v>
      </c>
      <c r="B185" s="7">
        <f>IFERROR(IF(OR(PRECIOS!B185="",PRECIOS!B184=""),"",PRECIOS!B185/PRECIOS!B184-1),"")</f>
        <v>0.02855764761</v>
      </c>
      <c r="C185" s="7">
        <f>IFERROR(IF(OR(PRECIOS!C185="",PRECIOS!C184=""),"",PRECIOS!C185/PRECIOS!C184-1),"")</f>
        <v>-0.003524649523</v>
      </c>
      <c r="D185" s="7">
        <f>IFERROR(IF(OR(PRECIOS!D185="",PRECIOS!D184=""),"",PRECIOS!D185/PRECIOS!D184-1),"")</f>
        <v>-0.0008015027148</v>
      </c>
      <c r="E185" s="7">
        <f>IFERROR(IF(OR(PRECIOS!E185="",PRECIOS!E184=""),"",PRECIOS!E185/PRECIOS!E184-1),"")</f>
        <v>0.01341816896</v>
      </c>
      <c r="F185" s="7">
        <f>IFERROR(IF(OR(PRECIOS!F185="",PRECIOS!F184=""),"",PRECIOS!F185/PRECIOS!F184-1),"")</f>
        <v>0.009638554217</v>
      </c>
      <c r="G185" s="7">
        <f>IFERROR(IF(OR(PRECIOS!G185="",PRECIOS!G184=""),"",PRECIOS!G185/PRECIOS!G184-1),"")</f>
        <v>0.0002933464785</v>
      </c>
      <c r="H185" s="7">
        <f>IFERROR(IF(OR(PRECIOS!H185="",PRECIOS!H184=""),"",PRECIOS!H185/PRECIOS!H184-1),"")</f>
        <v>0.01463957333</v>
      </c>
      <c r="I185" s="7">
        <f>IFERROR(IF(OR(PRECIOS!I185="",PRECIOS!I184=""),"",PRECIOS!I185/PRECIOS!I184-1),"")</f>
        <v>-0.004795234275</v>
      </c>
    </row>
    <row r="186" ht="15.75" customHeight="1">
      <c r="A186" s="4">
        <f>IF(PRECIOS!A186="","",PRECIOS!A186)</f>
        <v>44679</v>
      </c>
      <c r="B186" s="7">
        <f>IFERROR(IF(OR(PRECIOS!B186="",PRECIOS!B185=""),"",PRECIOS!B186/PRECIOS!B185-1),"")</f>
        <v>0.03024431135</v>
      </c>
      <c r="C186" s="7">
        <f>IFERROR(IF(OR(PRECIOS!C186="",PRECIOS!C185=""),"",PRECIOS!C186/PRECIOS!C185-1),"")</f>
        <v>0.02857838998</v>
      </c>
      <c r="D186" s="7">
        <f>IFERROR(IF(OR(PRECIOS!D186="",PRECIOS!D185=""),"",PRECIOS!D186/PRECIOS!D185-1),"")</f>
        <v>0.01004533151</v>
      </c>
      <c r="E186" s="7">
        <f>IFERROR(IF(OR(PRECIOS!E186="",PRECIOS!E185=""),"",PRECIOS!E186/PRECIOS!E185-1),"")</f>
        <v>0.01489382482</v>
      </c>
      <c r="F186" s="7">
        <f>IFERROR(IF(OR(PRECIOS!F186="",PRECIOS!F185=""),"",PRECIOS!F186/PRECIOS!F185-1),"")</f>
        <v>0.03341288783</v>
      </c>
      <c r="G186" s="7">
        <f>IFERROR(IF(OR(PRECIOS!G186="",PRECIOS!G185=""),"",PRECIOS!G186/PRECIOS!G185-1),"")</f>
        <v>0.01486256062</v>
      </c>
      <c r="H186" s="7">
        <f>IFERROR(IF(OR(PRECIOS!H186="",PRECIOS!H185=""),"",PRECIOS!H186/PRECIOS!H185-1),"")</f>
        <v>0.03032579846</v>
      </c>
      <c r="I186" s="7">
        <f>IFERROR(IF(OR(PRECIOS!I186="",PRECIOS!I185=""),"",PRECIOS!I186/PRECIOS!I185-1),"")</f>
        <v>0.01114704274</v>
      </c>
    </row>
    <row r="187" ht="15.75" customHeight="1">
      <c r="A187" s="4">
        <f>IF(PRECIOS!A187="","",PRECIOS!A187)</f>
        <v>44680</v>
      </c>
      <c r="B187" s="7">
        <f>IFERROR(IF(OR(PRECIOS!B187="",PRECIOS!B186=""),"",PRECIOS!B187/PRECIOS!B186-1),"")</f>
        <v>-0.02236136906</v>
      </c>
      <c r="C187" s="7">
        <f>IFERROR(IF(OR(PRECIOS!C187="",PRECIOS!C186=""),"",PRECIOS!C187/PRECIOS!C186-1),"")</f>
        <v>-0.02897692465</v>
      </c>
      <c r="D187" s="7">
        <f>IFERROR(IF(OR(PRECIOS!D187="",PRECIOS!D186=""),"",PRECIOS!D187/PRECIOS!D186-1),"")</f>
        <v>-0.004374032744</v>
      </c>
      <c r="E187" s="7">
        <f>IFERROR(IF(OR(PRECIOS!E187="",PRECIOS!E186=""),"",PRECIOS!E187/PRECIOS!E186-1),"")</f>
        <v>-0.01933559247</v>
      </c>
      <c r="F187" s="7">
        <f>IFERROR(IF(OR(PRECIOS!F187="",PRECIOS!F186=""),"",PRECIOS!F187/PRECIOS!F186-1),"")</f>
        <v>-0.0207852194</v>
      </c>
      <c r="G187" s="7">
        <f>IFERROR(IF(OR(PRECIOS!G187="",PRECIOS!G186=""),"",PRECIOS!G187/PRECIOS!G186-1),"")</f>
        <v>-0.01550583889</v>
      </c>
      <c r="H187" s="7">
        <f>IFERROR(IF(OR(PRECIOS!H187="",PRECIOS!H186=""),"",PRECIOS!H187/PRECIOS!H186-1),"")</f>
        <v>-0.02567439379</v>
      </c>
      <c r="I187" s="7">
        <f>IFERROR(IF(OR(PRECIOS!I187="",PRECIOS!I186=""),"",PRECIOS!I187/PRECIOS!I186-1),"")</f>
        <v>-0.02994758257</v>
      </c>
    </row>
    <row r="188" ht="15.75" customHeight="1">
      <c r="A188" s="4">
        <f>IF(PRECIOS!A188="","",PRECIOS!A188)</f>
        <v>44683</v>
      </c>
      <c r="B188" s="7">
        <f>IFERROR(IF(OR(PRECIOS!B188="",PRECIOS!B187=""),"",PRECIOS!B188/PRECIOS!B187-1),"")</f>
        <v>0.01360694375</v>
      </c>
      <c r="C188" s="7">
        <f>IFERROR(IF(OR(PRECIOS!C188="",PRECIOS!C187=""),"",PRECIOS!C188/PRECIOS!C187-1),"")</f>
        <v>-0.002452104057</v>
      </c>
      <c r="D188" s="7">
        <f>IFERROR(IF(OR(PRECIOS!D188="",PRECIOS!D187=""),"",PRECIOS!D188/PRECIOS!D187-1),"")</f>
        <v>-0.01318792797</v>
      </c>
      <c r="E188" s="7">
        <f>IFERROR(IF(OR(PRECIOS!E188="",PRECIOS!E187=""),"",PRECIOS!E188/PRECIOS!E187-1),"")</f>
        <v>0.01019835985</v>
      </c>
      <c r="F188" s="7">
        <f>IFERROR(IF(OR(PRECIOS!F188="",PRECIOS!F187=""),"",PRECIOS!F188/PRECIOS!F187-1),"")</f>
        <v>-0.02358490566</v>
      </c>
      <c r="G188" s="7">
        <f>IFERROR(IF(OR(PRECIOS!G188="",PRECIOS!G187=""),"",PRECIOS!G188/PRECIOS!G187-1),"")</f>
        <v>0.00320750435</v>
      </c>
      <c r="H188" s="7">
        <f>IFERROR(IF(OR(PRECIOS!H188="",PRECIOS!H187=""),"",PRECIOS!H188/PRECIOS!H187-1),"")</f>
        <v>0.01596390399</v>
      </c>
      <c r="I188" s="7">
        <f>IFERROR(IF(OR(PRECIOS!I188="",PRECIOS!I187=""),"",PRECIOS!I188/PRECIOS!I187-1),"")</f>
        <v>-0.01024662435</v>
      </c>
    </row>
    <row r="189" ht="15.75" customHeight="1">
      <c r="A189" s="4">
        <f>IF(PRECIOS!A189="","",PRECIOS!A189)</f>
        <v>44684</v>
      </c>
      <c r="B189" s="7">
        <f>IFERROR(IF(OR(PRECIOS!B189="",PRECIOS!B188=""),"",PRECIOS!B189/PRECIOS!B188-1),"")</f>
        <v>0.0205999217</v>
      </c>
      <c r="C189" s="7">
        <f>IFERROR(IF(OR(PRECIOS!C189="",PRECIOS!C188=""),"",PRECIOS!C189/PRECIOS!C188-1),"")</f>
        <v>-0.001228363101</v>
      </c>
      <c r="D189" s="7">
        <f>IFERROR(IF(OR(PRECIOS!D189="",PRECIOS!D188=""),"",PRECIOS!D189/PRECIOS!D188-1),"")</f>
        <v>0.02268261745</v>
      </c>
      <c r="E189" s="7">
        <f>IFERROR(IF(OR(PRECIOS!E189="",PRECIOS!E188=""),"",PRECIOS!E189/PRECIOS!E188-1),"")</f>
        <v>0.0005550737207</v>
      </c>
      <c r="F189" s="7">
        <f>IFERROR(IF(OR(PRECIOS!F189="",PRECIOS!F188=""),"",PRECIOS!F189/PRECIOS!F188-1),"")</f>
        <v>0.02898550725</v>
      </c>
      <c r="G189" s="7">
        <f>IFERROR(IF(OR(PRECIOS!G189="",PRECIOS!G188=""),"",PRECIOS!G189/PRECIOS!G188-1),"")</f>
        <v>0.02645271238</v>
      </c>
      <c r="H189" s="7">
        <f>IFERROR(IF(OR(PRECIOS!H189="",PRECIOS!H188=""),"",PRECIOS!H189/PRECIOS!H188-1),"")</f>
        <v>0.02803615172</v>
      </c>
      <c r="I189" s="7">
        <f>IFERROR(IF(OR(PRECIOS!I189="",PRECIOS!I188=""),"",PRECIOS!I189/PRECIOS!I188-1),"")</f>
        <v>0.00383056434</v>
      </c>
    </row>
    <row r="190" ht="15.75" customHeight="1">
      <c r="A190" s="4">
        <f>IF(PRECIOS!A190="","",PRECIOS!A190)</f>
        <v>44685</v>
      </c>
      <c r="B190" s="7">
        <f>IFERROR(IF(OR(PRECIOS!B190="",PRECIOS!B189=""),"",PRECIOS!B190/PRECIOS!B189-1),"")</f>
        <v>0.03979926637</v>
      </c>
      <c r="C190" s="7">
        <f>IFERROR(IF(OR(PRECIOS!C190="",PRECIOS!C189=""),"",PRECIOS!C190/PRECIOS!C189-1),"")</f>
        <v>0.0198285494</v>
      </c>
      <c r="D190" s="7">
        <f>IFERROR(IF(OR(PRECIOS!D190="",PRECIOS!D189=""),"",PRECIOS!D190/PRECIOS!D189-1),"")</f>
        <v>0.02653274642</v>
      </c>
      <c r="E190" s="7">
        <f>IFERROR(IF(OR(PRECIOS!E190="",PRECIOS!E189=""),"",PRECIOS!E190/PRECIOS!E189-1),"")</f>
        <v>0.02284941576</v>
      </c>
      <c r="F190" s="7">
        <f>IFERROR(IF(OR(PRECIOS!F190="",PRECIOS!F189=""),"",PRECIOS!F190/PRECIOS!F189-1),"")</f>
        <v>0.03286384977</v>
      </c>
      <c r="G190" s="7">
        <f>IFERROR(IF(OR(PRECIOS!G190="",PRECIOS!G189=""),"",PRECIOS!G190/PRECIOS!G189-1),"")</f>
        <v>0.04474809362</v>
      </c>
      <c r="H190" s="7">
        <f>IFERROR(IF(OR(PRECIOS!H190="",PRECIOS!H189=""),"",PRECIOS!H190/PRECIOS!H189-1),"")</f>
        <v>0.04153072639</v>
      </c>
      <c r="I190" s="7">
        <f>IFERROR(IF(OR(PRECIOS!I190="",PRECIOS!I189=""),"",PRECIOS!I190/PRECIOS!I189-1),"")</f>
        <v>0.02231568405</v>
      </c>
    </row>
    <row r="191" ht="15.75" customHeight="1">
      <c r="A191" s="4">
        <f>IF(PRECIOS!A191="","",PRECIOS!A191)</f>
        <v>44686</v>
      </c>
      <c r="B191" s="7">
        <f>IFERROR(IF(OR(PRECIOS!B191="",PRECIOS!B190=""),"",PRECIOS!B191/PRECIOS!B190-1),"")</f>
        <v>-0.01515718983</v>
      </c>
      <c r="C191" s="7">
        <f>IFERROR(IF(OR(PRECIOS!C191="",PRECIOS!C190=""),"",PRECIOS!C191/PRECIOS!C190-1),"")</f>
        <v>-0.006837000661</v>
      </c>
      <c r="D191" s="7">
        <f>IFERROR(IF(OR(PRECIOS!D191="",PRECIOS!D190=""),"",PRECIOS!D191/PRECIOS!D190-1),"")</f>
        <v>-0.01967938087</v>
      </c>
      <c r="E191" s="7">
        <f>IFERROR(IF(OR(PRECIOS!E191="",PRECIOS!E190=""),"",PRECIOS!E191/PRECIOS!E190-1),"")</f>
        <v>-0.01033898305</v>
      </c>
      <c r="F191" s="7">
        <f>IFERROR(IF(OR(PRECIOS!F191="",PRECIOS!F190=""),"",PRECIOS!F191/PRECIOS!F190-1),"")</f>
        <v>-0.05909090909</v>
      </c>
      <c r="G191" s="7">
        <f>IFERROR(IF(OR(PRECIOS!G191="",PRECIOS!G190=""),"",PRECIOS!G191/PRECIOS!G190-1),"")</f>
        <v>-0.02656574776</v>
      </c>
      <c r="H191" s="7">
        <f>IFERROR(IF(OR(PRECIOS!H191="",PRECIOS!H190=""),"",PRECIOS!H191/PRECIOS!H190-1),"")</f>
        <v>-0.01504426016</v>
      </c>
      <c r="I191" s="7">
        <f>IFERROR(IF(OR(PRECIOS!I191="",PRECIOS!I190=""),"",PRECIOS!I191/PRECIOS!I190-1),"")</f>
        <v>-0.01022138585</v>
      </c>
    </row>
    <row r="192" ht="15.75" customHeight="1">
      <c r="A192" s="4">
        <f>IF(PRECIOS!A192="","",PRECIOS!A192)</f>
        <v>44687</v>
      </c>
      <c r="B192" s="7">
        <f>IFERROR(IF(OR(PRECIOS!B192="",PRECIOS!B191=""),"",PRECIOS!B192/PRECIOS!B191-1),"")</f>
        <v>0.01528002177</v>
      </c>
      <c r="C192" s="7">
        <f>IFERROR(IF(OR(PRECIOS!C192="",PRECIOS!C191=""),"",PRECIOS!C192/PRECIOS!C191-1),"")</f>
        <v>0.008235872727</v>
      </c>
      <c r="D192" s="7">
        <f>IFERROR(IF(OR(PRECIOS!D192="",PRECIOS!D191=""),"",PRECIOS!D192/PRECIOS!D191-1),"")</f>
        <v>0.04762039021</v>
      </c>
      <c r="E192" s="7">
        <f>IFERROR(IF(OR(PRECIOS!E192="",PRECIOS!E191=""),"",PRECIOS!E192/PRECIOS!E191-1),"")</f>
        <v>-0.00734372324</v>
      </c>
      <c r="F192" s="7">
        <f>IFERROR(IF(OR(PRECIOS!F192="",PRECIOS!F191=""),"",PRECIOS!F192/PRECIOS!F191-1),"")</f>
        <v>-0.004830917874</v>
      </c>
      <c r="G192" s="7">
        <f>IFERROR(IF(OR(PRECIOS!G192="",PRECIOS!G191=""),"",PRECIOS!G192/PRECIOS!G191-1),"")</f>
        <v>0.02116513719</v>
      </c>
      <c r="H192" s="7">
        <f>IFERROR(IF(OR(PRECIOS!H192="",PRECIOS!H191=""),"",PRECIOS!H192/PRECIOS!H191-1),"")</f>
        <v>0.02980412646</v>
      </c>
      <c r="I192" s="7">
        <f>IFERROR(IF(OR(PRECIOS!I192="",PRECIOS!I191=""),"",PRECIOS!I192/PRECIOS!I191-1),"")</f>
        <v>0.007952715951</v>
      </c>
    </row>
    <row r="193" ht="15.75" customHeight="1">
      <c r="A193" s="4">
        <f>IF(PRECIOS!A193="","",PRECIOS!A193)</f>
        <v>44690</v>
      </c>
      <c r="B193" s="7">
        <f>IFERROR(IF(OR(PRECIOS!B193="",PRECIOS!B192=""),"",PRECIOS!B193/PRECIOS!B192-1),"")</f>
        <v>-0.07885242758</v>
      </c>
      <c r="C193" s="7">
        <f>IFERROR(IF(OR(PRECIOS!C193="",PRECIOS!C192=""),"",PRECIOS!C193/PRECIOS!C192-1),"")</f>
        <v>-0.005893571226</v>
      </c>
      <c r="D193" s="7">
        <f>IFERROR(IF(OR(PRECIOS!D193="",PRECIOS!D192=""),"",PRECIOS!D193/PRECIOS!D192-1),"")</f>
        <v>-0.09353746074</v>
      </c>
      <c r="E193" s="7">
        <f>IFERROR(IF(OR(PRECIOS!E193="",PRECIOS!E192=""),"",PRECIOS!E193/PRECIOS!E192-1),"")</f>
        <v>0.004547869954</v>
      </c>
      <c r="F193" s="7">
        <f>IFERROR(IF(OR(PRECIOS!F193="",PRECIOS!F192=""),"",PRECIOS!F193/PRECIOS!F192-1),"")</f>
        <v>-0.05825242718</v>
      </c>
      <c r="G193" s="7">
        <f>IFERROR(IF(OR(PRECIOS!G193="",PRECIOS!G192=""),"",PRECIOS!G193/PRECIOS!G192-1),"")</f>
        <v>-0.05263247249</v>
      </c>
      <c r="H193" s="7">
        <f>IFERROR(IF(OR(PRECIOS!H193="",PRECIOS!H192=""),"",PRECIOS!H193/PRECIOS!H192-1),"")</f>
        <v>-0.08273268222</v>
      </c>
      <c r="I193" s="7">
        <f>IFERROR(IF(OR(PRECIOS!I193="",PRECIOS!I192=""),"",PRECIOS!I193/PRECIOS!I192-1),"")</f>
        <v>-0.007473562854</v>
      </c>
    </row>
    <row r="194" ht="15.75" customHeight="1">
      <c r="A194" s="4">
        <f>IF(PRECIOS!A194="","",PRECIOS!A194)</f>
        <v>44691</v>
      </c>
      <c r="B194" s="7">
        <f>IFERROR(IF(OR(PRECIOS!B194="",PRECIOS!B193=""),"",PRECIOS!B194/PRECIOS!B193-1),"")</f>
        <v>0.006630313168</v>
      </c>
      <c r="C194" s="7">
        <f>IFERROR(IF(OR(PRECIOS!C194="",PRECIOS!C193=""),"",PRECIOS!C194/PRECIOS!C193-1),"")</f>
        <v>-0.01387523928</v>
      </c>
      <c r="D194" s="7">
        <f>IFERROR(IF(OR(PRECIOS!D194="",PRECIOS!D193=""),"",PRECIOS!D194/PRECIOS!D193-1),"")</f>
        <v>0.01285150783</v>
      </c>
      <c r="E194" s="7">
        <f>IFERROR(IF(OR(PRECIOS!E194="",PRECIOS!E193=""),"",PRECIOS!E194/PRECIOS!E193-1),"")</f>
        <v>-0.0471757739</v>
      </c>
      <c r="F194" s="7">
        <f>IFERROR(IF(OR(PRECIOS!F194="",PRECIOS!F193=""),"",PRECIOS!F194/PRECIOS!F193-1),"")</f>
        <v>0.01030927835</v>
      </c>
      <c r="G194" s="7">
        <f>IFERROR(IF(OR(PRECIOS!G194="",PRECIOS!G193=""),"",PRECIOS!G194/PRECIOS!G193-1),"")</f>
        <v>-0.01611949392</v>
      </c>
      <c r="H194" s="7">
        <f>IFERROR(IF(OR(PRECIOS!H194="",PRECIOS!H193=""),"",PRECIOS!H194/PRECIOS!H193-1),"")</f>
        <v>0.009072380643</v>
      </c>
      <c r="I194" s="7">
        <f>IFERROR(IF(OR(PRECIOS!I194="",PRECIOS!I193=""),"",PRECIOS!I194/PRECIOS!I193-1),"")</f>
        <v>-0.0121416674</v>
      </c>
    </row>
    <row r="195" ht="15.75" customHeight="1">
      <c r="A195" s="4">
        <f>IF(PRECIOS!A195="","",PRECIOS!A195)</f>
        <v>44692</v>
      </c>
      <c r="B195" s="7">
        <f>IFERROR(IF(OR(PRECIOS!B195="",PRECIOS!B194=""),"",PRECIOS!B195/PRECIOS!B194-1),"")</f>
        <v>0.02081819006</v>
      </c>
      <c r="C195" s="7">
        <f>IFERROR(IF(OR(PRECIOS!C195="",PRECIOS!C194=""),"",PRECIOS!C195/PRECIOS!C194-1),"")</f>
        <v>0.01065476182</v>
      </c>
      <c r="D195" s="7">
        <f>IFERROR(IF(OR(PRECIOS!D195="",PRECIOS!D194=""),"",PRECIOS!D195/PRECIOS!D194-1),"")</f>
        <v>-0.00614321608</v>
      </c>
      <c r="E195" s="7">
        <f>IFERROR(IF(OR(PRECIOS!E195="",PRECIOS!E194=""),"",PRECIOS!E195/PRECIOS!E194-1),"")</f>
        <v>-0.001204080897</v>
      </c>
      <c r="F195" s="7">
        <f>IFERROR(IF(OR(PRECIOS!F195="",PRECIOS!F194=""),"",PRECIOS!F195/PRECIOS!F194-1),"")</f>
        <v>0.03571428571</v>
      </c>
      <c r="G195" s="7">
        <f>IFERROR(IF(OR(PRECIOS!G195="",PRECIOS!G194=""),"",PRECIOS!G195/PRECIOS!G194-1),"")</f>
        <v>0.008193312387</v>
      </c>
      <c r="H195" s="7">
        <f>IFERROR(IF(OR(PRECIOS!H195="",PRECIOS!H194=""),"",PRECIOS!H195/PRECIOS!H194-1),"")</f>
        <v>0.01342365853</v>
      </c>
      <c r="I195" s="7">
        <f>IFERROR(IF(OR(PRECIOS!I195="",PRECIOS!I194=""),"",PRECIOS!I195/PRECIOS!I194-1),"")</f>
        <v>0.007200857003</v>
      </c>
    </row>
    <row r="196" ht="15.75" customHeight="1">
      <c r="A196" s="4">
        <f>IF(PRECIOS!A196="","",PRECIOS!A196)</f>
        <v>44693</v>
      </c>
      <c r="B196" s="7">
        <f>IFERROR(IF(OR(PRECIOS!B196="",PRECIOS!B195=""),"",PRECIOS!B196/PRECIOS!B195-1),"")</f>
        <v>0.004540079949</v>
      </c>
      <c r="C196" s="7">
        <f>IFERROR(IF(OR(PRECIOS!C196="",PRECIOS!C195=""),"",PRECIOS!C196/PRECIOS!C195-1),"")</f>
        <v>0.001353270311</v>
      </c>
      <c r="D196" s="7">
        <f>IFERROR(IF(OR(PRECIOS!D196="",PRECIOS!D195=""),"",PRECIOS!D196/PRECIOS!D195-1),"")</f>
        <v>-0.03622757897</v>
      </c>
      <c r="E196" s="7">
        <f>IFERROR(IF(OR(PRECIOS!E196="",PRECIOS!E195=""),"",PRECIOS!E196/PRECIOS!E195-1),"")</f>
        <v>0.01249566875</v>
      </c>
      <c r="F196" s="7">
        <f>IFERROR(IF(OR(PRECIOS!F196="",PRECIOS!F195=""),"",PRECIOS!F196/PRECIOS!F195-1),"")</f>
        <v>-0.004926108374</v>
      </c>
      <c r="G196" s="7">
        <f>IFERROR(IF(OR(PRECIOS!G196="",PRECIOS!G195=""),"",PRECIOS!G196/PRECIOS!G195-1),"")</f>
        <v>0.004639973021</v>
      </c>
      <c r="H196" s="7">
        <f>IFERROR(IF(OR(PRECIOS!H196="",PRECIOS!H195=""),"",PRECIOS!H196/PRECIOS!H195-1),"")</f>
        <v>0.004244786614</v>
      </c>
      <c r="I196" s="7">
        <f>IFERROR(IF(OR(PRECIOS!I196="",PRECIOS!I195=""),"",PRECIOS!I196/PRECIOS!I195-1),"")</f>
        <v>-0.01009471664</v>
      </c>
    </row>
    <row r="197" ht="15.75" customHeight="1">
      <c r="A197" s="4">
        <f>IF(PRECIOS!A197="","",PRECIOS!A197)</f>
        <v>44694</v>
      </c>
      <c r="B197" s="7">
        <f>IFERROR(IF(OR(PRECIOS!B197="",PRECIOS!B196=""),"",PRECIOS!B197/PRECIOS!B196-1),"")</f>
        <v>0.02966374562</v>
      </c>
      <c r="C197" s="7">
        <f>IFERROR(IF(OR(PRECIOS!C197="",PRECIOS!C196=""),"",PRECIOS!C197/PRECIOS!C196-1),"")</f>
        <v>0.003405687999</v>
      </c>
      <c r="D197" s="7">
        <f>IFERROR(IF(OR(PRECIOS!D197="",PRECIOS!D196=""),"",PRECIOS!D197/PRECIOS!D196-1),"")</f>
        <v>0.04997923361</v>
      </c>
      <c r="E197" s="7">
        <f>IFERROR(IF(OR(PRECIOS!E197="",PRECIOS!E196=""),"",PRECIOS!E197/PRECIOS!E196-1),"")</f>
        <v>-0.00296594158</v>
      </c>
      <c r="F197" s="7">
        <f>IFERROR(IF(OR(PRECIOS!F197="",PRECIOS!F196=""),"",PRECIOS!F197/PRECIOS!F196-1),"")</f>
        <v>0.05198019802</v>
      </c>
      <c r="G197" s="7">
        <f>IFERROR(IF(OR(PRECIOS!G197="",PRECIOS!G196=""),"",PRECIOS!G197/PRECIOS!G196-1),"")</f>
        <v>0.004912259669</v>
      </c>
      <c r="H197" s="7">
        <f>IFERROR(IF(OR(PRECIOS!H197="",PRECIOS!H196=""),"",PRECIOS!H197/PRECIOS!H196-1),"")</f>
        <v>0.03417772652</v>
      </c>
      <c r="I197" s="7">
        <f>IFERROR(IF(OR(PRECIOS!I197="",PRECIOS!I196=""),"",PRECIOS!I197/PRECIOS!I196-1),"")</f>
        <v>0.0119015074</v>
      </c>
    </row>
    <row r="198" ht="15.75" customHeight="1">
      <c r="A198" s="4">
        <f>IF(PRECIOS!A198="","",PRECIOS!A198)</f>
        <v>44697</v>
      </c>
      <c r="B198" s="7">
        <f>IFERROR(IF(OR(PRECIOS!B198="",PRECIOS!B197=""),"",PRECIOS!B198/PRECIOS!B197-1),"")</f>
        <v>0.02352062551</v>
      </c>
      <c r="C198" s="7">
        <f>IFERROR(IF(OR(PRECIOS!C198="",PRECIOS!C197=""),"",PRECIOS!C198/PRECIOS!C197-1),"")</f>
        <v>0.008147569848</v>
      </c>
      <c r="D198" s="7">
        <f>IFERROR(IF(OR(PRECIOS!D198="",PRECIOS!D197=""),"",PRECIOS!D198/PRECIOS!D197-1),"")</f>
        <v>0.01708810952</v>
      </c>
      <c r="E198" s="7">
        <f>IFERROR(IF(OR(PRECIOS!E198="",PRECIOS!E197=""),"",PRECIOS!E198/PRECIOS!E197-1),"")</f>
        <v>-0.01662578749</v>
      </c>
      <c r="F198" s="7">
        <f>IFERROR(IF(OR(PRECIOS!F198="",PRECIOS!F197=""),"",PRECIOS!F198/PRECIOS!F197-1),"")</f>
        <v>0.04</v>
      </c>
      <c r="G198" s="7">
        <f>IFERROR(IF(OR(PRECIOS!G198="",PRECIOS!G197=""),"",PRECIOS!G198/PRECIOS!G197-1),"")</f>
        <v>0.01868211182</v>
      </c>
      <c r="H198" s="7">
        <f>IFERROR(IF(OR(PRECIOS!H198="",PRECIOS!H197=""),"",PRECIOS!H198/PRECIOS!H197-1),"")</f>
        <v>0.0263712065</v>
      </c>
      <c r="I198" s="7">
        <f>IFERROR(IF(OR(PRECIOS!I198="",PRECIOS!I197=""),"",PRECIOS!I198/PRECIOS!I197-1),"")</f>
        <v>0.003075463519</v>
      </c>
    </row>
    <row r="199" ht="15.75" customHeight="1">
      <c r="A199" s="4">
        <f>IF(PRECIOS!A199="","",PRECIOS!A199)</f>
        <v>44698</v>
      </c>
      <c r="B199" s="7">
        <f>IFERROR(IF(OR(PRECIOS!B199="",PRECIOS!B198=""),"",PRECIOS!B199/PRECIOS!B198-1),"")</f>
        <v>0.01275355182</v>
      </c>
      <c r="C199" s="7">
        <f>IFERROR(IF(OR(PRECIOS!C199="",PRECIOS!C198=""),"",PRECIOS!C199/PRECIOS!C198-1),"")</f>
        <v>-0.001348326949</v>
      </c>
      <c r="D199" s="7">
        <f>IFERROR(IF(OR(PRECIOS!D199="",PRECIOS!D198=""),"",PRECIOS!D199/PRECIOS!D198-1),"")</f>
        <v>0.01000118721</v>
      </c>
      <c r="E199" s="7">
        <f>IFERROR(IF(OR(PRECIOS!E199="",PRECIOS!E198=""),"",PRECIOS!E199/PRECIOS!E198-1),"")</f>
        <v>0.03166130979</v>
      </c>
      <c r="F199" s="7">
        <f>IFERROR(IF(OR(PRECIOS!F199="",PRECIOS!F198=""),"",PRECIOS!F199/PRECIOS!F198-1),"")</f>
        <v>0.01583710407</v>
      </c>
      <c r="G199" s="7">
        <f>IFERROR(IF(OR(PRECIOS!G199="",PRECIOS!G198=""),"",PRECIOS!G199/PRECIOS!G198-1),"")</f>
        <v>0.01298168979</v>
      </c>
      <c r="H199" s="7">
        <f>IFERROR(IF(OR(PRECIOS!H199="",PRECIOS!H198=""),"",PRECIOS!H199/PRECIOS!H198-1),"")</f>
        <v>0.01157688924</v>
      </c>
      <c r="I199" s="7">
        <f>IFERROR(IF(OR(PRECIOS!I199="",PRECIOS!I198=""),"",PRECIOS!I199/PRECIOS!I198-1),"")</f>
        <v>0.01033181441</v>
      </c>
    </row>
    <row r="200" ht="15.75" customHeight="1">
      <c r="A200" s="4">
        <f>IF(PRECIOS!A200="","",PRECIOS!A200)</f>
        <v>44699</v>
      </c>
      <c r="B200" s="7">
        <f>IFERROR(IF(OR(PRECIOS!B200="",PRECIOS!B199=""),"",PRECIOS!B200/PRECIOS!B199-1),"")</f>
        <v>-0.01585058197</v>
      </c>
      <c r="C200" s="7">
        <f>IFERROR(IF(OR(PRECIOS!C200="",PRECIOS!C199=""),"",PRECIOS!C200/PRECIOS!C199-1),"")</f>
        <v>-0.004450536759</v>
      </c>
      <c r="D200" s="7">
        <f>IFERROR(IF(OR(PRECIOS!D200="",PRECIOS!D199=""),"",PRECIOS!D200/PRECIOS!D199-1),"")</f>
        <v>-0.0007984954239</v>
      </c>
      <c r="E200" s="7">
        <f>IFERROR(IF(OR(PRECIOS!E200="",PRECIOS!E199=""),"",PRECIOS!E200/PRECIOS!E199-1),"")</f>
        <v>-0.04783889703</v>
      </c>
      <c r="F200" s="7">
        <f>IFERROR(IF(OR(PRECIOS!F200="",PRECIOS!F199=""),"",PRECIOS!F200/PRECIOS!F199-1),"")</f>
        <v>-0.05122494432</v>
      </c>
      <c r="G200" s="7">
        <f>IFERROR(IF(OR(PRECIOS!G200="",PRECIOS!G199=""),"",PRECIOS!G200/PRECIOS!G199-1),"")</f>
        <v>-0.01866517145</v>
      </c>
      <c r="H200" s="7">
        <f>IFERROR(IF(OR(PRECIOS!H200="",PRECIOS!H199=""),"",PRECIOS!H200/PRECIOS!H199-1),"")</f>
        <v>-0.02563676165</v>
      </c>
      <c r="I200" s="7">
        <f>IFERROR(IF(OR(PRECIOS!I200="",PRECIOS!I199=""),"",PRECIOS!I200/PRECIOS!I199-1),"")</f>
        <v>-0.009674399573</v>
      </c>
    </row>
    <row r="201" ht="15.75" customHeight="1">
      <c r="A201" s="4">
        <f>IF(PRECIOS!A201="","",PRECIOS!A201)</f>
        <v>44700</v>
      </c>
      <c r="B201" s="7">
        <f>IFERROR(IF(OR(PRECIOS!B201="",PRECIOS!B200=""),"",PRECIOS!B201/PRECIOS!B200-1),"")</f>
        <v>0.005406425056</v>
      </c>
      <c r="C201" s="7">
        <f>IFERROR(IF(OR(PRECIOS!C201="",PRECIOS!C200=""),"",PRECIOS!C201/PRECIOS!C200-1),"")</f>
        <v>-0.006637287302</v>
      </c>
      <c r="D201" s="7">
        <f>IFERROR(IF(OR(PRECIOS!D201="",PRECIOS!D200=""),"",PRECIOS!D201/PRECIOS!D200-1),"")</f>
        <v>0.03369341668</v>
      </c>
      <c r="E201" s="7">
        <f>IFERROR(IF(OR(PRECIOS!E201="",PRECIOS!E200=""),"",PRECIOS!E201/PRECIOS!E200-1),"")</f>
        <v>-0.003227597439</v>
      </c>
      <c r="F201" s="7">
        <f>IFERROR(IF(OR(PRECIOS!F201="",PRECIOS!F200=""),"",PRECIOS!F201/PRECIOS!F200-1),"")</f>
        <v>0.02582159624</v>
      </c>
      <c r="G201" s="7">
        <f>IFERROR(IF(OR(PRECIOS!G201="",PRECIOS!G200=""),"",PRECIOS!G201/PRECIOS!G200-1),"")</f>
        <v>-0.005958166192</v>
      </c>
      <c r="H201" s="7">
        <f>IFERROR(IF(OR(PRECIOS!H201="",PRECIOS!H200=""),"",PRECIOS!H201/PRECIOS!H200-1),"")</f>
        <v>-0.003668025506</v>
      </c>
      <c r="I201" s="7">
        <f>IFERROR(IF(OR(PRECIOS!I201="",PRECIOS!I200=""),"",PRECIOS!I201/PRECIOS!I200-1),"")</f>
        <v>-0.002087748018</v>
      </c>
    </row>
    <row r="202" ht="15.75" customHeight="1">
      <c r="A202" s="4">
        <f>IF(PRECIOS!A202="","",PRECIOS!A202)</f>
        <v>44701</v>
      </c>
      <c r="B202" s="7">
        <f>IFERROR(IF(OR(PRECIOS!B202="",PRECIOS!B201=""),"",PRECIOS!B202/PRECIOS!B201-1),"")</f>
        <v>0.007900185611</v>
      </c>
      <c r="C202" s="7">
        <f>IFERROR(IF(OR(PRECIOS!C202="",PRECIOS!C201=""),"",PRECIOS!C202/PRECIOS!C201-1),"")</f>
        <v>0.00109136156</v>
      </c>
      <c r="D202" s="7">
        <f>IFERROR(IF(OR(PRECIOS!D202="",PRECIOS!D201=""),"",PRECIOS!D202/PRECIOS!D201-1),"")</f>
        <v>-0.03259517391</v>
      </c>
      <c r="E202" s="7">
        <f>IFERROR(IF(OR(PRECIOS!E202="",PRECIOS!E201=""),"",PRECIOS!E202/PRECIOS!E201-1),"")</f>
        <v>-0.01425929639</v>
      </c>
      <c r="F202" s="7">
        <f>IFERROR(IF(OR(PRECIOS!F202="",PRECIOS!F201=""),"",PRECIOS!F202/PRECIOS!F201-1),"")</f>
        <v>-0.006864988558</v>
      </c>
      <c r="G202" s="7">
        <f>IFERROR(IF(OR(PRECIOS!G202="",PRECIOS!G201=""),"",PRECIOS!G202/PRECIOS!G201-1),"")</f>
        <v>0.01027818353</v>
      </c>
      <c r="H202" s="7">
        <f>IFERROR(IF(OR(PRECIOS!H202="",PRECIOS!H201=""),"",PRECIOS!H202/PRECIOS!H201-1),"")</f>
        <v>0.004293713599</v>
      </c>
      <c r="I202" s="7">
        <f>IFERROR(IF(OR(PRECIOS!I202="",PRECIOS!I201=""),"",PRECIOS!I202/PRECIOS!I201-1),"")</f>
        <v>0.002794715447</v>
      </c>
    </row>
    <row r="203" ht="15.75" customHeight="1">
      <c r="A203" s="4">
        <f>IF(PRECIOS!A203="","",PRECIOS!A203)</f>
        <v>44704</v>
      </c>
      <c r="B203" s="7">
        <f>IFERROR(IF(OR(PRECIOS!B203="",PRECIOS!B202=""),"",PRECIOS!B203/PRECIOS!B202-1),"")</f>
        <v>0.02209760486</v>
      </c>
      <c r="C203" s="7">
        <f>IFERROR(IF(OR(PRECIOS!C203="",PRECIOS!C202=""),"",PRECIOS!C203/PRECIOS!C202-1),"")</f>
        <v>0.0100795756</v>
      </c>
      <c r="D203" s="7">
        <f>IFERROR(IF(OR(PRECIOS!D203="",PRECIOS!D202=""),"",PRECIOS!D203/PRECIOS!D202-1),"")</f>
        <v>0.01982419062</v>
      </c>
      <c r="E203" s="7">
        <f>IFERROR(IF(OR(PRECIOS!E203="",PRECIOS!E202=""),"",PRECIOS!E203/PRECIOS!E202-1),"")</f>
        <v>0.01953604713</v>
      </c>
      <c r="F203" s="7">
        <f>IFERROR(IF(OR(PRECIOS!F203="",PRECIOS!F202=""),"",PRECIOS!F203/PRECIOS!F202-1),"")</f>
        <v>0.03686635945</v>
      </c>
      <c r="G203" s="7">
        <f>IFERROR(IF(OR(PRECIOS!G203="",PRECIOS!G202=""),"",PRECIOS!G203/PRECIOS!G202-1),"")</f>
        <v>0.0180919702</v>
      </c>
      <c r="H203" s="7">
        <f>IFERROR(IF(OR(PRECIOS!H203="",PRECIOS!H202=""),"",PRECIOS!H203/PRECIOS!H202-1),"")</f>
        <v>0.02642388384</v>
      </c>
      <c r="I203" s="7">
        <f>IFERROR(IF(OR(PRECIOS!I203="",PRECIOS!I202=""),"",PRECIOS!I203/PRECIOS!I202-1),"")</f>
        <v>0.01198597466</v>
      </c>
    </row>
    <row r="204" ht="15.75" customHeight="1">
      <c r="A204" s="4">
        <f>IF(PRECIOS!A204="","",PRECIOS!A204)</f>
        <v>44705</v>
      </c>
      <c r="B204" s="7">
        <f>IFERROR(IF(OR(PRECIOS!B204="",PRECIOS!B203=""),"",PRECIOS!B204/PRECIOS!B203-1),"")</f>
        <v>0.005432337531</v>
      </c>
      <c r="C204" s="7">
        <f>IFERROR(IF(OR(PRECIOS!C204="",PRECIOS!C203=""),"",PRECIOS!C204/PRECIOS!C203-1),"")</f>
        <v>0.02076917154</v>
      </c>
      <c r="D204" s="7">
        <f>IFERROR(IF(OR(PRECIOS!D204="",PRECIOS!D203=""),"",PRECIOS!D204/PRECIOS!D203-1),"")</f>
        <v>-0.00971742693</v>
      </c>
      <c r="E204" s="7">
        <f>IFERROR(IF(OR(PRECIOS!E204="",PRECIOS!E203=""),"",PRECIOS!E204/PRECIOS!E203-1),"")</f>
        <v>-0.02143036609</v>
      </c>
      <c r="F204" s="7">
        <f>IFERROR(IF(OR(PRECIOS!F204="",PRECIOS!F203=""),"",PRECIOS!F204/PRECIOS!F203-1),"")</f>
        <v>-0.01555555556</v>
      </c>
      <c r="G204" s="7">
        <f>IFERROR(IF(OR(PRECIOS!G204="",PRECIOS!G203=""),"",PRECIOS!G204/PRECIOS!G203-1),"")</f>
        <v>0.005274392264</v>
      </c>
      <c r="H204" s="7">
        <f>IFERROR(IF(OR(PRECIOS!H204="",PRECIOS!H203=""),"",PRECIOS!H204/PRECIOS!H203-1),"")</f>
        <v>0.003808423754</v>
      </c>
      <c r="I204" s="7">
        <f>IFERROR(IF(OR(PRECIOS!I204="",PRECIOS!I203=""),"",PRECIOS!I204/PRECIOS!I203-1),"")</f>
        <v>0.01997286262</v>
      </c>
    </row>
    <row r="205" ht="15.75" customHeight="1">
      <c r="A205" s="4">
        <f>IF(PRECIOS!A205="","",PRECIOS!A205)</f>
        <v>44706</v>
      </c>
      <c r="B205" s="7">
        <f>IFERROR(IF(OR(PRECIOS!B205="",PRECIOS!B204=""),"",PRECIOS!B205/PRECIOS!B204-1),"")</f>
        <v>0.02012723058</v>
      </c>
      <c r="C205" s="7">
        <f>IFERROR(IF(OR(PRECIOS!C205="",PRECIOS!C204=""),"",PRECIOS!C205/PRECIOS!C204-1),"")</f>
        <v>0</v>
      </c>
      <c r="D205" s="7">
        <f>IFERROR(IF(OR(PRECIOS!D205="",PRECIOS!D204=""),"",PRECIOS!D205/PRECIOS!D204-1),"")</f>
        <v>0.02432911179</v>
      </c>
      <c r="E205" s="7">
        <f>IFERROR(IF(OR(PRECIOS!E205="",PRECIOS!E204=""),"",PRECIOS!E205/PRECIOS!E204-1),"")</f>
        <v>0.001872800592</v>
      </c>
      <c r="F205" s="7">
        <f>IFERROR(IF(OR(PRECIOS!F205="",PRECIOS!F204=""),"",PRECIOS!F205/PRECIOS!F204-1),"")</f>
        <v>0.0158013544</v>
      </c>
      <c r="G205" s="7">
        <f>IFERROR(IF(OR(PRECIOS!G205="",PRECIOS!G204=""),"",PRECIOS!G205/PRECIOS!G204-1),"")</f>
        <v>0.01325577397</v>
      </c>
      <c r="H205" s="7">
        <f>IFERROR(IF(OR(PRECIOS!H205="",PRECIOS!H204=""),"",PRECIOS!H205/PRECIOS!H204-1),"")</f>
        <v>0.02065246595</v>
      </c>
      <c r="I205" s="7">
        <f>IFERROR(IF(OR(PRECIOS!I205="",PRECIOS!I204=""),"",PRECIOS!I205/PRECIOS!I204-1),"")</f>
        <v>-0.0006727252342</v>
      </c>
    </row>
    <row r="206" ht="15.75" customHeight="1">
      <c r="A206" s="4">
        <f>IF(PRECIOS!A206="","",PRECIOS!A206)</f>
        <v>44707</v>
      </c>
      <c r="B206" s="7">
        <f>IFERROR(IF(OR(PRECIOS!B206="",PRECIOS!B205=""),"",PRECIOS!B206/PRECIOS!B205-1),"")</f>
        <v>0.00353127573</v>
      </c>
      <c r="C206" s="7">
        <f>IFERROR(IF(OR(PRECIOS!C206="",PRECIOS!C205=""),"",PRECIOS!C206/PRECIOS!C205-1),"")</f>
        <v>-0.00528397137</v>
      </c>
      <c r="D206" s="7">
        <f>IFERROR(IF(OR(PRECIOS!D206="",PRECIOS!D205=""),"",PRECIOS!D206/PRECIOS!D205-1),"")</f>
        <v>-0.00651326573</v>
      </c>
      <c r="E206" s="7">
        <f>IFERROR(IF(OR(PRECIOS!E206="",PRECIOS!E205=""),"",PRECIOS!E206/PRECIOS!E205-1),"")</f>
        <v>0.01640913545</v>
      </c>
      <c r="F206" s="7">
        <f>IFERROR(IF(OR(PRECIOS!F206="",PRECIOS!F205=""),"",PRECIOS!F206/PRECIOS!F205-1),"")</f>
        <v>0.008888888889</v>
      </c>
      <c r="G206" s="7">
        <f>IFERROR(IF(OR(PRECIOS!G206="",PRECIOS!G205=""),"",PRECIOS!G206/PRECIOS!G205-1),"")</f>
        <v>0.006269689994</v>
      </c>
      <c r="H206" s="7">
        <f>IFERROR(IF(OR(PRECIOS!H206="",PRECIOS!H205=""),"",PRECIOS!H206/PRECIOS!H205-1),"")</f>
        <v>0.0110452579</v>
      </c>
      <c r="I206" s="7">
        <f>IFERROR(IF(OR(PRECIOS!I206="",PRECIOS!I205=""),"",PRECIOS!I206/PRECIOS!I205-1),"")</f>
        <v>0.002838264413</v>
      </c>
    </row>
    <row r="207" ht="15.75" customHeight="1">
      <c r="A207" s="4">
        <f>IF(PRECIOS!A207="","",PRECIOS!A207)</f>
        <v>44708</v>
      </c>
      <c r="B207" s="7">
        <f>IFERROR(IF(OR(PRECIOS!B207="",PRECIOS!B206=""),"",PRECIOS!B207/PRECIOS!B206-1),"")</f>
        <v>0.009828765464</v>
      </c>
      <c r="C207" s="7">
        <f>IFERROR(IF(OR(PRECIOS!C207="",PRECIOS!C206=""),"",PRECIOS!C207/PRECIOS!C206-1),"")</f>
        <v>0.01036003526</v>
      </c>
      <c r="D207" s="7">
        <f>IFERROR(IF(OR(PRECIOS!D207="",PRECIOS!D206=""),"",PRECIOS!D207/PRECIOS!D206-1),"")</f>
        <v>0.01465520984</v>
      </c>
      <c r="E207" s="7">
        <f>IFERROR(IF(OR(PRECIOS!E207="",PRECIOS!E206=""),"",PRECIOS!E207/PRECIOS!E206-1),"")</f>
        <v>0.02597758942</v>
      </c>
      <c r="F207" s="7">
        <f>IFERROR(IF(OR(PRECIOS!F207="",PRECIOS!F206=""),"",PRECIOS!F207/PRECIOS!F206-1),"")</f>
        <v>0.02643171806</v>
      </c>
      <c r="G207" s="7">
        <f>IFERROR(IF(OR(PRECIOS!G207="",PRECIOS!G206=""),"",PRECIOS!G207/PRECIOS!G206-1),"")</f>
        <v>0.01462243868</v>
      </c>
      <c r="H207" s="7">
        <f>IFERROR(IF(OR(PRECIOS!H207="",PRECIOS!H206=""),"",PRECIOS!H207/PRECIOS!H206-1),"")</f>
        <v>0.01829093501</v>
      </c>
      <c r="I207" s="7">
        <f>IFERROR(IF(OR(PRECIOS!I207="",PRECIOS!I206=""),"",PRECIOS!I207/PRECIOS!I206-1),"")</f>
        <v>0.01562977186</v>
      </c>
    </row>
    <row r="208" ht="15.75" customHeight="1">
      <c r="A208" s="4">
        <f>IF(PRECIOS!A208="","",PRECIOS!A208)</f>
        <v>44712</v>
      </c>
      <c r="B208" s="7">
        <f>IFERROR(IF(OR(PRECIOS!B208="",PRECIOS!B207=""),"",PRECIOS!B208/PRECIOS!B207-1),"")</f>
        <v>-0.01629241023</v>
      </c>
      <c r="C208" s="7">
        <f>IFERROR(IF(OR(PRECIOS!C208="",PRECIOS!C207=""),"",PRECIOS!C208/PRECIOS!C207-1),"")</f>
        <v>-0.005390250375</v>
      </c>
      <c r="D208" s="7">
        <f>IFERROR(IF(OR(PRECIOS!D208="",PRECIOS!D207=""),"",PRECIOS!D208/PRECIOS!D207-1),"")</f>
        <v>0.002279534757</v>
      </c>
      <c r="E208" s="7">
        <f>IFERROR(IF(OR(PRECIOS!E208="",PRECIOS!E207=""),"",PRECIOS!E208/PRECIOS!E207-1),"")</f>
        <v>-0.008731478135</v>
      </c>
      <c r="F208" s="7">
        <f>IFERROR(IF(OR(PRECIOS!F208="",PRECIOS!F207=""),"",PRECIOS!F208/PRECIOS!F207-1),"")</f>
        <v>-0.03433476395</v>
      </c>
      <c r="G208" s="7">
        <f>IFERROR(IF(OR(PRECIOS!G208="",PRECIOS!G207=""),"",PRECIOS!G208/PRECIOS!G207-1),"")</f>
        <v>-0.01067790131</v>
      </c>
      <c r="H208" s="7">
        <f>IFERROR(IF(OR(PRECIOS!H208="",PRECIOS!H207=""),"",PRECIOS!H208/PRECIOS!H207-1),"")</f>
        <v>-0.0150233214</v>
      </c>
      <c r="I208" s="7">
        <f>IFERROR(IF(OR(PRECIOS!I208="",PRECIOS!I207=""),"",PRECIOS!I208/PRECIOS!I207-1),"")</f>
        <v>-0.01379642972</v>
      </c>
    </row>
    <row r="209" ht="15.75" customHeight="1">
      <c r="A209" s="4">
        <f>IF(PRECIOS!A209="","",PRECIOS!A209)</f>
        <v>44713</v>
      </c>
      <c r="B209" s="7">
        <f>IFERROR(IF(OR(PRECIOS!B209="",PRECIOS!B208=""),"",PRECIOS!B209/PRECIOS!B208-1),"")</f>
        <v>0.01916729664</v>
      </c>
      <c r="C209" s="7">
        <f>IFERROR(IF(OR(PRECIOS!C209="",PRECIOS!C208=""),"",PRECIOS!C209/PRECIOS!C208-1),"")</f>
        <v>-0.001453903576</v>
      </c>
      <c r="D209" s="7">
        <f>IFERROR(IF(OR(PRECIOS!D209="",PRECIOS!D208=""),"",PRECIOS!D209/PRECIOS!D208-1),"")</f>
        <v>-0.01782221256</v>
      </c>
      <c r="E209" s="7">
        <f>IFERROR(IF(OR(PRECIOS!E209="",PRECIOS!E208=""),"",PRECIOS!E209/PRECIOS!E208-1),"")</f>
        <v>-0.006343789649</v>
      </c>
      <c r="F209" s="7">
        <f>IFERROR(IF(OR(PRECIOS!F209="",PRECIOS!F208=""),"",PRECIOS!F209/PRECIOS!F208-1),"")</f>
        <v>-0.02222222222</v>
      </c>
      <c r="G209" s="7">
        <f>IFERROR(IF(OR(PRECIOS!G209="",PRECIOS!G208=""),"",PRECIOS!G209/PRECIOS!G208-1),"")</f>
        <v>0.009986813039</v>
      </c>
      <c r="H209" s="7">
        <f>IFERROR(IF(OR(PRECIOS!H209="",PRECIOS!H208=""),"",PRECIOS!H209/PRECIOS!H208-1),"")</f>
        <v>0.01628555172</v>
      </c>
      <c r="I209" s="7">
        <f>IFERROR(IF(OR(PRECIOS!I209="",PRECIOS!I208=""),"",PRECIOS!I209/PRECIOS!I208-1),"")</f>
        <v>-0.00161509434</v>
      </c>
    </row>
    <row r="210" ht="15.75" customHeight="1">
      <c r="A210" s="4">
        <f>IF(PRECIOS!A210="","",PRECIOS!A210)</f>
        <v>44714</v>
      </c>
      <c r="B210" s="7">
        <f>IFERROR(IF(OR(PRECIOS!B210="",PRECIOS!B209=""),"",PRECIOS!B210/PRECIOS!B209-1),"")</f>
        <v>-0.001738366934</v>
      </c>
      <c r="C210" s="7">
        <f>IFERROR(IF(OR(PRECIOS!C210="",PRECIOS!C209=""),"",PRECIOS!C210/PRECIOS!C209-1),"")</f>
        <v>0.005293761242</v>
      </c>
      <c r="D210" s="7">
        <f>IFERROR(IF(OR(PRECIOS!D210="",PRECIOS!D209=""),"",PRECIOS!D210/PRECIOS!D209-1),"")</f>
        <v>0.003090127399</v>
      </c>
      <c r="E210" s="7">
        <f>IFERROR(IF(OR(PRECIOS!E210="",PRECIOS!E209=""),"",PRECIOS!E210/PRECIOS!E209-1),"")</f>
        <v>0.02250645767</v>
      </c>
      <c r="F210" s="7">
        <f>IFERROR(IF(OR(PRECIOS!F210="",PRECIOS!F209=""),"",PRECIOS!F210/PRECIOS!F209-1),"")</f>
        <v>-0.006818181818</v>
      </c>
      <c r="G210" s="7">
        <f>IFERROR(IF(OR(PRECIOS!G210="",PRECIOS!G209=""),"",PRECIOS!G210/PRECIOS!G209-1),"")</f>
        <v>0.008283019809</v>
      </c>
      <c r="H210" s="7">
        <f>IFERROR(IF(OR(PRECIOS!H210="",PRECIOS!H209=""),"",PRECIOS!H210/PRECIOS!H209-1),"")</f>
        <v>-0.003163119982</v>
      </c>
      <c r="I210" s="7">
        <f>IFERROR(IF(OR(PRECIOS!I210="",PRECIOS!I209=""),"",PRECIOS!I210/PRECIOS!I209-1),"")</f>
        <v>0.006733894743</v>
      </c>
    </row>
    <row r="211" ht="15.75" customHeight="1">
      <c r="A211" s="4">
        <f>IF(PRECIOS!A211="","",PRECIOS!A211)</f>
        <v>44715</v>
      </c>
      <c r="B211" s="7">
        <f>IFERROR(IF(OR(PRECIOS!B211="",PRECIOS!B210=""),"",PRECIOS!B211/PRECIOS!B210-1),"")</f>
        <v>0.01453975506</v>
      </c>
      <c r="C211" s="7">
        <f>IFERROR(IF(OR(PRECIOS!C211="",PRECIOS!C210=""),"",PRECIOS!C211/PRECIOS!C210-1),"")</f>
        <v>-0.009084758867</v>
      </c>
      <c r="D211" s="7">
        <f>IFERROR(IF(OR(PRECIOS!D211="",PRECIOS!D210=""),"",PRECIOS!D211/PRECIOS!D210-1),"")</f>
        <v>-0.005006972731</v>
      </c>
      <c r="E211" s="7">
        <f>IFERROR(IF(OR(PRECIOS!E211="",PRECIOS!E210=""),"",PRECIOS!E211/PRECIOS!E210-1),"")</f>
        <v>-0.003337184851</v>
      </c>
      <c r="F211" s="7">
        <f>IFERROR(IF(OR(PRECIOS!F211="",PRECIOS!F210=""),"",PRECIOS!F211/PRECIOS!F210-1),"")</f>
        <v>0.01601830664</v>
      </c>
      <c r="G211" s="7">
        <f>IFERROR(IF(OR(PRECIOS!G211="",PRECIOS!G210=""),"",PRECIOS!G211/PRECIOS!G210-1),"")</f>
        <v>-0.006095247521</v>
      </c>
      <c r="H211" s="7">
        <f>IFERROR(IF(OR(PRECIOS!H211="",PRECIOS!H210=""),"",PRECIOS!H211/PRECIOS!H210-1),"")</f>
        <v>0.01324909542</v>
      </c>
      <c r="I211" s="7">
        <f>IFERROR(IF(OR(PRECIOS!I211="",PRECIOS!I210=""),"",PRECIOS!I211/PRECIOS!I210-1),"")</f>
        <v>-0.004817655928</v>
      </c>
    </row>
    <row r="212" ht="15.75" customHeight="1">
      <c r="A212" s="4">
        <f>IF(PRECIOS!A212="","",PRECIOS!A212)</f>
        <v>44718</v>
      </c>
      <c r="B212" s="7">
        <f>IFERROR(IF(OR(PRECIOS!B212="",PRECIOS!B211=""),"",PRECIOS!B212/PRECIOS!B211-1),"")</f>
        <v>-0.002522783115</v>
      </c>
      <c r="C212" s="7">
        <f>IFERROR(IF(OR(PRECIOS!C212="",PRECIOS!C211=""),"",PRECIOS!C212/PRECIOS!C211-1),"")</f>
        <v>0.001196126879</v>
      </c>
      <c r="D212" s="7">
        <f>IFERROR(IF(OR(PRECIOS!D212="",PRECIOS!D211=""),"",PRECIOS!D212/PRECIOS!D211-1),"")</f>
        <v>0.02476492131</v>
      </c>
      <c r="E212" s="7">
        <f>IFERROR(IF(OR(PRECIOS!E212="",PRECIOS!E211=""),"",PRECIOS!E212/PRECIOS!E211-1),"")</f>
        <v>0.007193571151</v>
      </c>
      <c r="F212" s="7">
        <f>IFERROR(IF(OR(PRECIOS!F212="",PRECIOS!F211=""),"",PRECIOS!F212/PRECIOS!F211-1),"")</f>
        <v>-0.01801801802</v>
      </c>
      <c r="G212" s="7">
        <f>IFERROR(IF(OR(PRECIOS!G212="",PRECIOS!G211=""),"",PRECIOS!G212/PRECIOS!G211-1),"")</f>
        <v>-0.002669366461</v>
      </c>
      <c r="H212" s="7">
        <f>IFERROR(IF(OR(PRECIOS!H212="",PRECIOS!H211=""),"",PRECIOS!H212/PRECIOS!H211-1),"")</f>
        <v>-0.001121371189</v>
      </c>
      <c r="I212" s="7">
        <f>IFERROR(IF(OR(PRECIOS!I212="",PRECIOS!I211=""),"",PRECIOS!I212/PRECIOS!I211-1),"")</f>
        <v>0.004439575298</v>
      </c>
    </row>
    <row r="213" ht="15.75" customHeight="1">
      <c r="A213" s="4">
        <f>IF(PRECIOS!A213="","",PRECIOS!A213)</f>
        <v>44719</v>
      </c>
      <c r="B213" s="7">
        <f>IFERROR(IF(OR(PRECIOS!B213="",PRECIOS!B212=""),"",PRECIOS!B213/PRECIOS!B212-1),"")</f>
        <v>0.04582358466</v>
      </c>
      <c r="C213" s="7">
        <f>IFERROR(IF(OR(PRECIOS!C213="",PRECIOS!C212=""),"",PRECIOS!C213/PRECIOS!C212-1),"")</f>
        <v>0.004512250727</v>
      </c>
      <c r="D213" s="7">
        <f>IFERROR(IF(OR(PRECIOS!D213="",PRECIOS!D212=""),"",PRECIOS!D213/PRECIOS!D212-1),"")</f>
        <v>0.03397210524</v>
      </c>
      <c r="E213" s="7">
        <f>IFERROR(IF(OR(PRECIOS!E213="",PRECIOS!E212=""),"",PRECIOS!E213/PRECIOS!E212-1),"")</f>
        <v>0.02864741587</v>
      </c>
      <c r="F213" s="7">
        <f>IFERROR(IF(OR(PRECIOS!F213="",PRECIOS!F212=""),"",PRECIOS!F213/PRECIOS!F212-1),"")</f>
        <v>0.004587155963</v>
      </c>
      <c r="G213" s="7">
        <f>IFERROR(IF(OR(PRECIOS!G213="",PRECIOS!G212=""),"",PRECIOS!G213/PRECIOS!G212-1),"")</f>
        <v>0.01096121417</v>
      </c>
      <c r="H213" s="7">
        <f>IFERROR(IF(OR(PRECIOS!H213="",PRECIOS!H212=""),"",PRECIOS!H213/PRECIOS!H212-1),"")</f>
        <v>0.02986605156</v>
      </c>
      <c r="I213" s="7">
        <f>IFERROR(IF(OR(PRECIOS!I213="",PRECIOS!I212=""),"",PRECIOS!I213/PRECIOS!I212-1),"")</f>
        <v>0.006024476502</v>
      </c>
    </row>
    <row r="214" ht="15.75" customHeight="1">
      <c r="A214" s="4">
        <f>IF(PRECIOS!A214="","",PRECIOS!A214)</f>
        <v>44720</v>
      </c>
      <c r="B214" s="7">
        <f>IFERROR(IF(OR(PRECIOS!B214="",PRECIOS!B213=""),"",PRECIOS!B214/PRECIOS!B213-1),"")</f>
        <v>0.0118160245</v>
      </c>
      <c r="C214" s="7">
        <f>IFERROR(IF(OR(PRECIOS!C214="",PRECIOS!C213=""),"",PRECIOS!C214/PRECIOS!C213-1),"")</f>
        <v>-0.01400528532</v>
      </c>
      <c r="D214" s="7">
        <f>IFERROR(IF(OR(PRECIOS!D214="",PRECIOS!D213=""),"",PRECIOS!D214/PRECIOS!D213-1),"")</f>
        <v>-0.02008048636</v>
      </c>
      <c r="E214" s="7">
        <f>IFERROR(IF(OR(PRECIOS!E214="",PRECIOS!E213=""),"",PRECIOS!E214/PRECIOS!E213-1),"")</f>
        <v>-0.006394217403</v>
      </c>
      <c r="F214" s="7">
        <f>IFERROR(IF(OR(PRECIOS!F214="",PRECIOS!F213=""),"",PRECIOS!F214/PRECIOS!F213-1),"")</f>
        <v>0.002283105023</v>
      </c>
      <c r="G214" s="7">
        <f>IFERROR(IF(OR(PRECIOS!G214="",PRECIOS!G213=""),"",PRECIOS!G214/PRECIOS!G213-1),"")</f>
        <v>-0.008724375576</v>
      </c>
      <c r="H214" s="7">
        <f>IFERROR(IF(OR(PRECIOS!H214="",PRECIOS!H213=""),"",PRECIOS!H214/PRECIOS!H213-1),"")</f>
        <v>0.002170215408</v>
      </c>
      <c r="I214" s="7">
        <f>IFERROR(IF(OR(PRECIOS!I214="",PRECIOS!I213=""),"",PRECIOS!I214/PRECIOS!I213-1),"")</f>
        <v>-0.01956310071</v>
      </c>
    </row>
    <row r="215" ht="15.75" customHeight="1">
      <c r="A215" s="4">
        <f>IF(PRECIOS!A215="","",PRECIOS!A215)</f>
        <v>44721</v>
      </c>
      <c r="B215" s="7">
        <f>IFERROR(IF(OR(PRECIOS!B215="",PRECIOS!B214=""),"",PRECIOS!B215/PRECIOS!B214-1),"")</f>
        <v>-0.02161409928</v>
      </c>
      <c r="C215" s="7">
        <f>IFERROR(IF(OR(PRECIOS!C215="",PRECIOS!C214=""),"",PRECIOS!C215/PRECIOS!C214-1),"")</f>
        <v>-0.02331442716</v>
      </c>
      <c r="D215" s="7">
        <f>IFERROR(IF(OR(PRECIOS!D215="",PRECIOS!D214=""),"",PRECIOS!D215/PRECIOS!D214-1),"")</f>
        <v>-0.02384375155</v>
      </c>
      <c r="E215" s="7">
        <f>IFERROR(IF(OR(PRECIOS!E215="",PRECIOS!E214=""),"",PRECIOS!E215/PRECIOS!E214-1),"")</f>
        <v>-0.01370313374</v>
      </c>
      <c r="F215" s="7">
        <f>IFERROR(IF(OR(PRECIOS!F215="",PRECIOS!F214=""),"",PRECIOS!F215/PRECIOS!F214-1),"")</f>
        <v>-0.0569476082</v>
      </c>
      <c r="G215" s="7">
        <f>IFERROR(IF(OR(PRECIOS!G215="",PRECIOS!G214=""),"",PRECIOS!G215/PRECIOS!G214-1),"")</f>
        <v>-0.03979618949</v>
      </c>
      <c r="H215" s="7">
        <f>IFERROR(IF(OR(PRECIOS!H215="",PRECIOS!H214=""),"",PRECIOS!H215/PRECIOS!H214-1),"")</f>
        <v>-0.02210610036</v>
      </c>
      <c r="I215" s="7">
        <f>IFERROR(IF(OR(PRECIOS!I215="",PRECIOS!I214=""),"",PRECIOS!I215/PRECIOS!I214-1),"")</f>
        <v>-0.02403248605</v>
      </c>
    </row>
    <row r="216" ht="15.75" customHeight="1">
      <c r="A216" s="4">
        <f>IF(PRECIOS!A216="","",PRECIOS!A216)</f>
        <v>44722</v>
      </c>
      <c r="B216" s="7">
        <f>IFERROR(IF(OR(PRECIOS!B216="",PRECIOS!B215=""),"",PRECIOS!B216/PRECIOS!B215-1),"")</f>
        <v>-0.01827405109</v>
      </c>
      <c r="C216" s="7">
        <f>IFERROR(IF(OR(PRECIOS!C216="",PRECIOS!C215=""),"",PRECIOS!C216/PRECIOS!C215-1),"")</f>
        <v>-0.01028855797</v>
      </c>
      <c r="D216" s="7">
        <f>IFERROR(IF(OR(PRECIOS!D216="",PRECIOS!D215=""),"",PRECIOS!D216/PRECIOS!D215-1),"")</f>
        <v>-0.02900826575</v>
      </c>
      <c r="E216" s="7">
        <f>IFERROR(IF(OR(PRECIOS!E216="",PRECIOS!E215=""),"",PRECIOS!E216/PRECIOS!E215-1),"")</f>
        <v>-0.03838270651</v>
      </c>
      <c r="F216" s="7">
        <f>IFERROR(IF(OR(PRECIOS!F216="",PRECIOS!F215=""),"",PRECIOS!F216/PRECIOS!F215-1),"")</f>
        <v>-0.02173913043</v>
      </c>
      <c r="G216" s="7">
        <f>IFERROR(IF(OR(PRECIOS!G216="",PRECIOS!G215=""),"",PRECIOS!G216/PRECIOS!G215-1),"")</f>
        <v>-0.01966639476</v>
      </c>
      <c r="H216" s="7">
        <f>IFERROR(IF(OR(PRECIOS!H216="",PRECIOS!H215=""),"",PRECIOS!H216/PRECIOS!H215-1),"")</f>
        <v>-0.01695563714</v>
      </c>
      <c r="I216" s="7">
        <f>IFERROR(IF(OR(PRECIOS!I216="",PRECIOS!I215=""),"",PRECIOS!I216/PRECIOS!I215-1),"")</f>
        <v>-0.007653531018</v>
      </c>
    </row>
    <row r="217" ht="15.75" customHeight="1">
      <c r="A217" s="4">
        <f>IF(PRECIOS!A217="","",PRECIOS!A217)</f>
        <v>44725</v>
      </c>
      <c r="B217" s="7">
        <f>IFERROR(IF(OR(PRECIOS!B217="",PRECIOS!B216=""),"",PRECIOS!B217/PRECIOS!B216-1),"")</f>
        <v>-0.04588910909</v>
      </c>
      <c r="C217" s="7">
        <f>IFERROR(IF(OR(PRECIOS!C217="",PRECIOS!C216=""),"",PRECIOS!C217/PRECIOS!C216-1),"")</f>
        <v>-0.04699178788</v>
      </c>
      <c r="D217" s="7">
        <f>IFERROR(IF(OR(PRECIOS!D217="",PRECIOS!D216=""),"",PRECIOS!D217/PRECIOS!D216-1),"")</f>
        <v>-0.07625618538</v>
      </c>
      <c r="E217" s="7">
        <f>IFERROR(IF(OR(PRECIOS!E217="",PRECIOS!E216=""),"",PRECIOS!E217/PRECIOS!E216-1),"")</f>
        <v>-0.03051132466</v>
      </c>
      <c r="F217" s="7">
        <f>IFERROR(IF(OR(PRECIOS!F217="",PRECIOS!F216=""),"",PRECIOS!F217/PRECIOS!F216-1),"")</f>
        <v>-0.04197530864</v>
      </c>
      <c r="G217" s="7">
        <f>IFERROR(IF(OR(PRECIOS!G217="",PRECIOS!G216=""),"",PRECIOS!G217/PRECIOS!G216-1),"")</f>
        <v>-0.05073298953</v>
      </c>
      <c r="H217" s="7">
        <f>IFERROR(IF(OR(PRECIOS!H217="",PRECIOS!H216=""),"",PRECIOS!H217/PRECIOS!H216-1),"")</f>
        <v>-0.05219273941</v>
      </c>
      <c r="I217" s="7">
        <f>IFERROR(IF(OR(PRECIOS!I217="",PRECIOS!I216=""),"",PRECIOS!I217/PRECIOS!I216-1),"")</f>
        <v>-0.04597654149</v>
      </c>
    </row>
    <row r="218" ht="15.75" customHeight="1">
      <c r="A218" s="4">
        <f>IF(PRECIOS!A218="","",PRECIOS!A218)</f>
        <v>44726</v>
      </c>
      <c r="B218" s="7">
        <f>IFERROR(IF(OR(PRECIOS!B218="",PRECIOS!B217=""),"",PRECIOS!B218/PRECIOS!B217-1),"")</f>
        <v>0.002608060351</v>
      </c>
      <c r="C218" s="7">
        <f>IFERROR(IF(OR(PRECIOS!C218="",PRECIOS!C217=""),"",PRECIOS!C218/PRECIOS!C217-1),"")</f>
        <v>-0.02865527514</v>
      </c>
      <c r="D218" s="7">
        <f>IFERROR(IF(OR(PRECIOS!D218="",PRECIOS!D217=""),"",PRECIOS!D218/PRECIOS!D217-1),"")</f>
        <v>-0.02298194804</v>
      </c>
      <c r="E218" s="7">
        <f>IFERROR(IF(OR(PRECIOS!E218="",PRECIOS!E217=""),"",PRECIOS!E218/PRECIOS!E217-1),"")</f>
        <v>-0.01753491769</v>
      </c>
      <c r="F218" s="7">
        <f>IFERROR(IF(OR(PRECIOS!F218="",PRECIOS!F217=""),"",PRECIOS!F218/PRECIOS!F217-1),"")</f>
        <v>-0.0412371134</v>
      </c>
      <c r="G218" s="7">
        <f>IFERROR(IF(OR(PRECIOS!G218="",PRECIOS!G217=""),"",PRECIOS!G218/PRECIOS!G217-1),"")</f>
        <v>-0.02355207691</v>
      </c>
      <c r="H218" s="7">
        <f>IFERROR(IF(OR(PRECIOS!H218="",PRECIOS!H217=""),"",PRECIOS!H218/PRECIOS!H217-1),"")</f>
        <v>0.001903544672</v>
      </c>
      <c r="I218" s="7">
        <f>IFERROR(IF(OR(PRECIOS!I218="",PRECIOS!I217=""),"",PRECIOS!I218/PRECIOS!I217-1),"")</f>
        <v>-0.02526821098</v>
      </c>
    </row>
    <row r="219" ht="15.75" customHeight="1">
      <c r="A219" s="4">
        <f>IF(PRECIOS!A219="","",PRECIOS!A219)</f>
        <v>44727</v>
      </c>
      <c r="B219" s="7">
        <f>IFERROR(IF(OR(PRECIOS!B219="",PRECIOS!B218=""),"",PRECIOS!B219/PRECIOS!B218-1),"")</f>
        <v>-0.01259119294</v>
      </c>
      <c r="C219" s="7">
        <f>IFERROR(IF(OR(PRECIOS!C219="",PRECIOS!C218=""),"",PRECIOS!C219/PRECIOS!C218-1),"")</f>
        <v>-0.003144860519</v>
      </c>
      <c r="D219" s="7">
        <f>IFERROR(IF(OR(PRECIOS!D219="",PRECIOS!D218=""),"",PRECIOS!D219/PRECIOS!D218-1),"")</f>
        <v>0.02352254188</v>
      </c>
      <c r="E219" s="7">
        <f>IFERROR(IF(OR(PRECIOS!E219="",PRECIOS!E218=""),"",PRECIOS!E219/PRECIOS!E218-1),"")</f>
        <v>0.003755410501</v>
      </c>
      <c r="F219" s="7">
        <f>IFERROR(IF(OR(PRECIOS!F219="",PRECIOS!F218=""),"",PRECIOS!F219/PRECIOS!F218-1),"")</f>
        <v>0.008064516129</v>
      </c>
      <c r="G219" s="7">
        <f>IFERROR(IF(OR(PRECIOS!G219="",PRECIOS!G218=""),"",PRECIOS!G219/PRECIOS!G218-1),"")</f>
        <v>-0.01823920318</v>
      </c>
      <c r="H219" s="7">
        <f>IFERROR(IF(OR(PRECIOS!H219="",PRECIOS!H218=""),"",PRECIOS!H219/PRECIOS!H218-1),"")</f>
        <v>-0.02208259259</v>
      </c>
      <c r="I219" s="7">
        <f>IFERROR(IF(OR(PRECIOS!I219="",PRECIOS!I218=""),"",PRECIOS!I219/PRECIOS!I218-1),"")</f>
        <v>0.006480811251</v>
      </c>
    </row>
    <row r="220" ht="15.75" customHeight="1">
      <c r="A220" s="4">
        <f>IF(PRECIOS!A220="","",PRECIOS!A220)</f>
        <v>44728</v>
      </c>
      <c r="B220" s="7">
        <f>IFERROR(IF(OR(PRECIOS!B220="",PRECIOS!B219=""),"",PRECIOS!B220/PRECIOS!B219-1),"")</f>
        <v>-0.03688440184</v>
      </c>
      <c r="C220" s="7">
        <f>IFERROR(IF(OR(PRECIOS!C220="",PRECIOS!C219=""),"",PRECIOS!C220/PRECIOS!C219-1),"")</f>
        <v>-0.004356968163</v>
      </c>
      <c r="D220" s="7">
        <f>IFERROR(IF(OR(PRECIOS!D220="",PRECIOS!D219=""),"",PRECIOS!D220/PRECIOS!D219-1),"")</f>
        <v>-0.04170894759</v>
      </c>
      <c r="E220" s="7">
        <f>IFERROR(IF(OR(PRECIOS!E220="",PRECIOS!E219=""),"",PRECIOS!E220/PRECIOS!E219-1),"")</f>
        <v>-0.03739817329</v>
      </c>
      <c r="F220" s="7">
        <f>IFERROR(IF(OR(PRECIOS!F220="",PRECIOS!F219=""),"",PRECIOS!F220/PRECIOS!F219-1),"")</f>
        <v>-0.06133333333</v>
      </c>
      <c r="G220" s="7">
        <f>IFERROR(IF(OR(PRECIOS!G220="",PRECIOS!G219=""),"",PRECIOS!G220/PRECIOS!G219-1),"")</f>
        <v>-0.04094602672</v>
      </c>
      <c r="H220" s="7">
        <f>IFERROR(IF(OR(PRECIOS!H220="",PRECIOS!H219=""),"",PRECIOS!H220/PRECIOS!H219-1),"")</f>
        <v>-0.05631988987</v>
      </c>
      <c r="I220" s="7">
        <f>IFERROR(IF(OR(PRECIOS!I220="",PRECIOS!I219=""),"",PRECIOS!I220/PRECIOS!I219-1),"")</f>
        <v>-0.01932396373</v>
      </c>
    </row>
    <row r="221" ht="15.75" customHeight="1">
      <c r="A221" s="4">
        <f>IF(PRECIOS!A221="","",PRECIOS!A221)</f>
        <v>44729</v>
      </c>
      <c r="B221" s="7">
        <f>IFERROR(IF(OR(PRECIOS!B221="",PRECIOS!B220=""),"",PRECIOS!B221/PRECIOS!B220-1),"")</f>
        <v>-0.05766484979</v>
      </c>
      <c r="C221" s="7">
        <f>IFERROR(IF(OR(PRECIOS!C221="",PRECIOS!C220=""),"",PRECIOS!C221/PRECIOS!C220-1),"")</f>
        <v>-0.01342650416</v>
      </c>
      <c r="D221" s="7">
        <f>IFERROR(IF(OR(PRECIOS!D221="",PRECIOS!D220=""),"",PRECIOS!D221/PRECIOS!D220-1),"")</f>
        <v>-0.004435597488</v>
      </c>
      <c r="E221" s="7">
        <f>IFERROR(IF(OR(PRECIOS!E221="",PRECIOS!E220=""),"",PRECIOS!E221/PRECIOS!E220-1),"")</f>
        <v>-0.004680087191</v>
      </c>
      <c r="F221" s="7">
        <f>IFERROR(IF(OR(PRECIOS!F221="",PRECIOS!F220=""),"",PRECIOS!F221/PRECIOS!F220-1),"")</f>
        <v>-0.02840909091</v>
      </c>
      <c r="G221" s="7">
        <f>IFERROR(IF(OR(PRECIOS!G221="",PRECIOS!G220=""),"",PRECIOS!G221/PRECIOS!G220-1),"")</f>
        <v>-0.02331958818</v>
      </c>
      <c r="H221" s="7">
        <f>IFERROR(IF(OR(PRECIOS!H221="",PRECIOS!H220=""),"",PRECIOS!H221/PRECIOS!H220-1),"")</f>
        <v>-0.0546724038</v>
      </c>
      <c r="I221" s="7">
        <f>IFERROR(IF(OR(PRECIOS!I221="",PRECIOS!I220=""),"",PRECIOS!I221/PRECIOS!I220-1),"")</f>
        <v>-0.009310916767</v>
      </c>
    </row>
    <row r="222" ht="15.75" customHeight="1">
      <c r="A222" s="4">
        <f>IF(PRECIOS!A222="","",PRECIOS!A222)</f>
        <v>44733</v>
      </c>
      <c r="B222" s="7">
        <f>IFERROR(IF(OR(PRECIOS!B222="",PRECIOS!B221=""),"",PRECIOS!B222/PRECIOS!B221-1),"")</f>
        <v>0.06223835897</v>
      </c>
      <c r="C222" s="7">
        <f>IFERROR(IF(OR(PRECIOS!C222="",PRECIOS!C221=""),"",PRECIOS!C222/PRECIOS!C221-1),"")</f>
        <v>0.02691443601</v>
      </c>
      <c r="D222" s="7">
        <f>IFERROR(IF(OR(PRECIOS!D222="",PRECIOS!D221=""),"",PRECIOS!D222/PRECIOS!D221-1),"")</f>
        <v>0.02369192283</v>
      </c>
      <c r="E222" s="7">
        <f>IFERROR(IF(OR(PRECIOS!E222="",PRECIOS!E221=""),"",PRECIOS!E222/PRECIOS!E221-1),"")</f>
        <v>0.004943639291</v>
      </c>
      <c r="F222" s="7">
        <f>IFERROR(IF(OR(PRECIOS!F222="",PRECIOS!F221=""),"",PRECIOS!F222/PRECIOS!F221-1),"")</f>
        <v>0.0350877193</v>
      </c>
      <c r="G222" s="7">
        <f>IFERROR(IF(OR(PRECIOS!G222="",PRECIOS!G221=""),"",PRECIOS!G222/PRECIOS!G221-1),"")</f>
        <v>0.04001241765</v>
      </c>
      <c r="H222" s="7">
        <f>IFERROR(IF(OR(PRECIOS!H222="",PRECIOS!H221=""),"",PRECIOS!H222/PRECIOS!H221-1),"")</f>
        <v>0.05180481491</v>
      </c>
      <c r="I222" s="7">
        <f>IFERROR(IF(OR(PRECIOS!I222="",PRECIOS!I221=""),"",PRECIOS!I222/PRECIOS!I221-1),"")</f>
        <v>0.01903206949</v>
      </c>
    </row>
    <row r="223" ht="15.75" customHeight="1">
      <c r="A223" s="4">
        <f>IF(PRECIOS!A223="","",PRECIOS!A223)</f>
        <v>44734</v>
      </c>
      <c r="B223" s="7">
        <f>IFERROR(IF(OR(PRECIOS!B223="",PRECIOS!B222=""),"",PRECIOS!B223/PRECIOS!B222-1),"")</f>
        <v>-0.03957221155</v>
      </c>
      <c r="C223" s="7">
        <f>IFERROR(IF(OR(PRECIOS!C223="",PRECIOS!C222=""),"",PRECIOS!C223/PRECIOS!C222-1),"")</f>
        <v>0.008042012188</v>
      </c>
      <c r="D223" s="7">
        <f>IFERROR(IF(OR(PRECIOS!D223="",PRECIOS!D222=""),"",PRECIOS!D223/PRECIOS!D222-1),"")</f>
        <v>-0.002635428001</v>
      </c>
      <c r="E223" s="7">
        <f>IFERROR(IF(OR(PRECIOS!E223="",PRECIOS!E222=""),"",PRECIOS!E223/PRECIOS!E222-1),"")</f>
        <v>0.0006249298957</v>
      </c>
      <c r="F223" s="7">
        <f>IFERROR(IF(OR(PRECIOS!F223="",PRECIOS!F222=""),"",PRECIOS!F223/PRECIOS!F222-1),"")</f>
        <v>-0.0197740113</v>
      </c>
      <c r="G223" s="7">
        <f>IFERROR(IF(OR(PRECIOS!G223="",PRECIOS!G222=""),"",PRECIOS!G223/PRECIOS!G222-1),"")</f>
        <v>-0.01163808829</v>
      </c>
      <c r="H223" s="7">
        <f>IFERROR(IF(OR(PRECIOS!H223="",PRECIOS!H222=""),"",PRECIOS!H223/PRECIOS!H222-1),"")</f>
        <v>-0.0400273317</v>
      </c>
      <c r="I223" s="7">
        <f>IFERROR(IF(OR(PRECIOS!I223="",PRECIOS!I222=""),"",PRECIOS!I223/PRECIOS!I222-1),"")</f>
        <v>0.01052638725</v>
      </c>
    </row>
    <row r="224" ht="15.75" customHeight="1">
      <c r="A224" s="4">
        <f>IF(PRECIOS!A224="","",PRECIOS!A224)</f>
        <v>44735</v>
      </c>
      <c r="B224" s="7">
        <f>IFERROR(IF(OR(PRECIOS!B224="",PRECIOS!B223=""),"",PRECIOS!B224/PRECIOS!B223-1),"")</f>
        <v>-0.03016116849</v>
      </c>
      <c r="C224" s="7">
        <f>IFERROR(IF(OR(PRECIOS!C224="",PRECIOS!C223=""),"",PRECIOS!C224/PRECIOS!C223-1),"")</f>
        <v>0.0234892607</v>
      </c>
      <c r="D224" s="7">
        <f>IFERROR(IF(OR(PRECIOS!D224="",PRECIOS!D223=""),"",PRECIOS!D224/PRECIOS!D223-1),"")</f>
        <v>0.03082343368</v>
      </c>
      <c r="E224" s="7">
        <f>IFERROR(IF(OR(PRECIOS!E224="",PRECIOS!E223=""),"",PRECIOS!E224/PRECIOS!E223-1),"")</f>
        <v>0.005316593537</v>
      </c>
      <c r="F224" s="7">
        <f>IFERROR(IF(OR(PRECIOS!F224="",PRECIOS!F223=""),"",PRECIOS!F224/PRECIOS!F223-1),"")</f>
        <v>-0.06916426513</v>
      </c>
      <c r="G224" s="7">
        <f>IFERROR(IF(OR(PRECIOS!G224="",PRECIOS!G223=""),"",PRECIOS!G224/PRECIOS!G223-1),"")</f>
        <v>-0.005231526069</v>
      </c>
      <c r="H224" s="7">
        <f>IFERROR(IF(OR(PRECIOS!H224="",PRECIOS!H223=""),"",PRECIOS!H224/PRECIOS!H223-1),"")</f>
        <v>-0.03706511122</v>
      </c>
      <c r="I224" s="7">
        <f>IFERROR(IF(OR(PRECIOS!I224="",PRECIOS!I223=""),"",PRECIOS!I224/PRECIOS!I223-1),"")</f>
        <v>0.02353759229</v>
      </c>
    </row>
    <row r="225" ht="15.75" customHeight="1">
      <c r="A225" s="4">
        <f>IF(PRECIOS!A225="","",PRECIOS!A225)</f>
        <v>44736</v>
      </c>
      <c r="B225" s="7">
        <f>IFERROR(IF(OR(PRECIOS!B225="",PRECIOS!B224=""),"",PRECIOS!B225/PRECIOS!B224-1),"")</f>
        <v>0.01983369985</v>
      </c>
      <c r="C225" s="7">
        <f>IFERROR(IF(OR(PRECIOS!C225="",PRECIOS!C224=""),"",PRECIOS!C225/PRECIOS!C224-1),"")</f>
        <v>0.007938972186</v>
      </c>
      <c r="D225" s="7">
        <f>IFERROR(IF(OR(PRECIOS!D225="",PRECIOS!D224=""),"",PRECIOS!D225/PRECIOS!D224-1),"")</f>
        <v>-0.0008544598903</v>
      </c>
      <c r="E225" s="7">
        <f>IFERROR(IF(OR(PRECIOS!E225="",PRECIOS!E224=""),"",PRECIOS!E225/PRECIOS!E224-1),"")</f>
        <v>0.03893083564</v>
      </c>
      <c r="F225" s="7">
        <f>IFERROR(IF(OR(PRECIOS!F225="",PRECIOS!F224=""),"",PRECIOS!F225/PRECIOS!F224-1),"")</f>
        <v>-0.003095975232</v>
      </c>
      <c r="G225" s="7">
        <f>IFERROR(IF(OR(PRECIOS!G225="",PRECIOS!G224=""),"",PRECIOS!G225/PRECIOS!G224-1),"")</f>
        <v>-0.01183705413</v>
      </c>
      <c r="H225" s="7">
        <f>IFERROR(IF(OR(PRECIOS!H225="",PRECIOS!H224=""),"",PRECIOS!H225/PRECIOS!H224-1),"")</f>
        <v>0.01315806315</v>
      </c>
      <c r="I225" s="7">
        <f>IFERROR(IF(OR(PRECIOS!I225="",PRECIOS!I224=""),"",PRECIOS!I225/PRECIOS!I224-1),"")</f>
        <v>0.01739738301</v>
      </c>
    </row>
    <row r="226" ht="15.75" customHeight="1">
      <c r="A226" s="4">
        <f>IF(PRECIOS!A226="","",PRECIOS!A226)</f>
        <v>44739</v>
      </c>
      <c r="B226" s="7">
        <f>IFERROR(IF(OR(PRECIOS!B226="",PRECIOS!B225=""),"",PRECIOS!B226/PRECIOS!B225-1),"")</f>
        <v>0.02451142879</v>
      </c>
      <c r="C226" s="7">
        <f>IFERROR(IF(OR(PRECIOS!C226="",PRECIOS!C225=""),"",PRECIOS!C226/PRECIOS!C225-1),"")</f>
        <v>0.007731906084</v>
      </c>
      <c r="D226" s="7">
        <f>IFERROR(IF(OR(PRECIOS!D226="",PRECIOS!D225=""),"",PRECIOS!D226/PRECIOS!D225-1),"")</f>
        <v>0.01538909003</v>
      </c>
      <c r="E226" s="7">
        <f>IFERROR(IF(OR(PRECIOS!E226="",PRECIOS!E225=""),"",PRECIOS!E226/PRECIOS!E225-1),"")</f>
        <v>0.003181441845</v>
      </c>
      <c r="F226" s="7">
        <f>IFERROR(IF(OR(PRECIOS!F226="",PRECIOS!F225=""),"",PRECIOS!F226/PRECIOS!F225-1),"")</f>
        <v>0.04968944099</v>
      </c>
      <c r="G226" s="7">
        <f>IFERROR(IF(OR(PRECIOS!G226="",PRECIOS!G225=""),"",PRECIOS!G226/PRECIOS!G225-1),"")</f>
        <v>0.01796997948</v>
      </c>
      <c r="H226" s="7">
        <f>IFERROR(IF(OR(PRECIOS!H226="",PRECIOS!H225=""),"",PRECIOS!H226/PRECIOS!H225-1),"")</f>
        <v>0.02933484935</v>
      </c>
      <c r="I226" s="7">
        <f>IFERROR(IF(OR(PRECIOS!I226="",PRECIOS!I225=""),"",PRECIOS!I226/PRECIOS!I225-1),"")</f>
        <v>0.008112850885</v>
      </c>
    </row>
    <row r="227" ht="15.75" customHeight="1">
      <c r="A227" s="4">
        <f>IF(PRECIOS!A227="","",PRECIOS!A227)</f>
        <v>44740</v>
      </c>
      <c r="B227" s="7">
        <f>IFERROR(IF(OR(PRECIOS!B227="",PRECIOS!B226=""),"",PRECIOS!B227/PRECIOS!B226-1),"")</f>
        <v>0.02774233673</v>
      </c>
      <c r="C227" s="7">
        <f>IFERROR(IF(OR(PRECIOS!C227="",PRECIOS!C226=""),"",PRECIOS!C227/PRECIOS!C226-1),"")</f>
        <v>0.003553784861</v>
      </c>
      <c r="D227" s="7">
        <f>IFERROR(IF(OR(PRECIOS!D227="",PRECIOS!D226=""),"",PRECIOS!D227/PRECIOS!D226-1),"")</f>
        <v>-0.0210514615</v>
      </c>
      <c r="E227" s="7">
        <f>IFERROR(IF(OR(PRECIOS!E227="",PRECIOS!E226=""),"",PRECIOS!E227/PRECIOS!E226-1),"")</f>
        <v>-0.02215361572</v>
      </c>
      <c r="F227" s="7">
        <f>IFERROR(IF(OR(PRECIOS!F227="",PRECIOS!F226=""),"",PRECIOS!F227/PRECIOS!F226-1),"")</f>
        <v>0.01479289941</v>
      </c>
      <c r="G227" s="7">
        <f>IFERROR(IF(OR(PRECIOS!G227="",PRECIOS!G226=""),"",PRECIOS!G227/PRECIOS!G226-1),"")</f>
        <v>0.03759259818</v>
      </c>
      <c r="H227" s="7">
        <f>IFERROR(IF(OR(PRECIOS!H227="",PRECIOS!H226=""),"",PRECIOS!H227/PRECIOS!H226-1),"")</f>
        <v>0.02700455343</v>
      </c>
      <c r="I227" s="7">
        <f>IFERROR(IF(OR(PRECIOS!I227="",PRECIOS!I226=""),"",PRECIOS!I227/PRECIOS!I226-1),"")</f>
        <v>-0.00373419686</v>
      </c>
    </row>
    <row r="228" ht="15.75" customHeight="1">
      <c r="A228" s="4">
        <f>IF(PRECIOS!A228="","",PRECIOS!A228)</f>
        <v>44741</v>
      </c>
      <c r="B228" s="7">
        <f>IFERROR(IF(OR(PRECIOS!B228="",PRECIOS!B227=""),"",PRECIOS!B228/PRECIOS!B227-1),"")</f>
        <v>-0.03694054672</v>
      </c>
      <c r="C228" s="7">
        <f>IFERROR(IF(OR(PRECIOS!C228="",PRECIOS!C227=""),"",PRECIOS!C228/PRECIOS!C227-1),"")</f>
        <v>0.0007073738673</v>
      </c>
      <c r="D228" s="7">
        <f>IFERROR(IF(OR(PRECIOS!D228="",PRECIOS!D227=""),"",PRECIOS!D228/PRECIOS!D227-1),"")</f>
        <v>-0.01548176907</v>
      </c>
      <c r="E228" s="7">
        <f>IFERROR(IF(OR(PRECIOS!E228="",PRECIOS!E227=""),"",PRECIOS!E228/PRECIOS!E227-1),"")</f>
        <v>-0.01584870272</v>
      </c>
      <c r="F228" s="7">
        <f>IFERROR(IF(OR(PRECIOS!F228="",PRECIOS!F227=""),"",PRECIOS!F228/PRECIOS!F227-1),"")</f>
        <v>-0.02623906706</v>
      </c>
      <c r="G228" s="7">
        <f>IFERROR(IF(OR(PRECIOS!G228="",PRECIOS!G227=""),"",PRECIOS!G228/PRECIOS!G227-1),"")</f>
        <v>-0.007249351178</v>
      </c>
      <c r="H228" s="7">
        <f>IFERROR(IF(OR(PRECIOS!H228="",PRECIOS!H227=""),"",PRECIOS!H228/PRECIOS!H227-1),"")</f>
        <v>-0.03474958845</v>
      </c>
      <c r="I228" s="7">
        <f>IFERROR(IF(OR(PRECIOS!I228="",PRECIOS!I227=""),"",PRECIOS!I228/PRECIOS!I227-1),"")</f>
        <v>0.0007162357476</v>
      </c>
    </row>
    <row r="229" ht="15.75" customHeight="1">
      <c r="A229" s="4">
        <f>IF(PRECIOS!A229="","",PRECIOS!A229)</f>
        <v>44742</v>
      </c>
      <c r="B229" s="7">
        <f>IFERROR(IF(OR(PRECIOS!B229="",PRECIOS!B228=""),"",PRECIOS!B229/PRECIOS!B228-1),"")</f>
        <v>-0.02814207335</v>
      </c>
      <c r="C229" s="7">
        <f>IFERROR(IF(OR(PRECIOS!C229="",PRECIOS!C228=""),"",PRECIOS!C229/PRECIOS!C228-1),"")</f>
        <v>0.009056640791</v>
      </c>
      <c r="D229" s="7">
        <f>IFERROR(IF(OR(PRECIOS!D229="",PRECIOS!D228=""),"",PRECIOS!D229/PRECIOS!D228-1),"")</f>
        <v>-0.001747739915</v>
      </c>
      <c r="E229" s="7">
        <f>IFERROR(IF(OR(PRECIOS!E229="",PRECIOS!E228=""),"",PRECIOS!E229/PRECIOS!E228-1),"")</f>
        <v>-0.01006098529</v>
      </c>
      <c r="F229" s="7">
        <f>IFERROR(IF(OR(PRECIOS!F229="",PRECIOS!F228=""),"",PRECIOS!F229/PRECIOS!F228-1),"")</f>
        <v>-0.02395209581</v>
      </c>
      <c r="G229" s="7">
        <f>IFERROR(IF(OR(PRECIOS!G229="",PRECIOS!G228=""),"",PRECIOS!G229/PRECIOS!G228-1),"")</f>
        <v>-0.009516089125</v>
      </c>
      <c r="H229" s="7">
        <f>IFERROR(IF(OR(PRECIOS!H229="",PRECIOS!H228=""),"",PRECIOS!H229/PRECIOS!H228-1),"")</f>
        <v>-0.02108469162</v>
      </c>
      <c r="I229" s="7">
        <f>IFERROR(IF(OR(PRECIOS!I229="",PRECIOS!I228=""),"",PRECIOS!I229/PRECIOS!I228-1),"")</f>
        <v>0.01110173218</v>
      </c>
    </row>
    <row r="230" ht="15.75" customHeight="1">
      <c r="A230" s="4">
        <f>IF(PRECIOS!A230="","",PRECIOS!A230)</f>
        <v>44743</v>
      </c>
      <c r="B230" s="7">
        <f>IFERROR(IF(OR(PRECIOS!B230="",PRECIOS!B229=""),"",PRECIOS!B230/PRECIOS!B229-1),"")</f>
        <v>0.02230248661</v>
      </c>
      <c r="C230" s="7">
        <f>IFERROR(IF(OR(PRECIOS!C230="",PRECIOS!C229=""),"",PRECIOS!C230/PRECIOS!C229-1),"")</f>
        <v>0.02566368012</v>
      </c>
      <c r="D230" s="7">
        <f>IFERROR(IF(OR(PRECIOS!D230="",PRECIOS!D229=""),"",PRECIOS!D230/PRECIOS!D229-1),"")</f>
        <v>0.02188055457</v>
      </c>
      <c r="E230" s="7">
        <f>IFERROR(IF(OR(PRECIOS!E230="",PRECIOS!E229=""),"",PRECIOS!E230/PRECIOS!E229-1),"")</f>
        <v>0.01094934424</v>
      </c>
      <c r="F230" s="7">
        <f>IFERROR(IF(OR(PRECIOS!F230="",PRECIOS!F229=""),"",PRECIOS!F230/PRECIOS!F229-1),"")</f>
        <v>0.01840490798</v>
      </c>
      <c r="G230" s="7">
        <f>IFERROR(IF(OR(PRECIOS!G230="",PRECIOS!G229=""),"",PRECIOS!G230/PRECIOS!G229-1),"")</f>
        <v>0.002560470154</v>
      </c>
      <c r="H230" s="7">
        <f>IFERROR(IF(OR(PRECIOS!H230="",PRECIOS!H229=""),"",PRECIOS!H230/PRECIOS!H229-1),"")</f>
        <v>0.01496208887</v>
      </c>
      <c r="I230" s="7">
        <f>IFERROR(IF(OR(PRECIOS!I230="",PRECIOS!I229=""),"",PRECIOS!I230/PRECIOS!I229-1),"")</f>
        <v>0.02452766703</v>
      </c>
    </row>
    <row r="231" ht="15.75" customHeight="1">
      <c r="A231" s="4">
        <f>IF(PRECIOS!A231="","",PRECIOS!A231)</f>
        <v>44747</v>
      </c>
      <c r="B231" s="7">
        <f>IFERROR(IF(OR(PRECIOS!B231="",PRECIOS!B230=""),"",PRECIOS!B231/PRECIOS!B230-1),"")</f>
        <v>-0.03129683044</v>
      </c>
      <c r="C231" s="7">
        <f>IFERROR(IF(OR(PRECIOS!C231="",PRECIOS!C230=""),"",PRECIOS!C231/PRECIOS!C230-1),"")</f>
        <v>-0.03172052153</v>
      </c>
      <c r="D231" s="7">
        <f>IFERROR(IF(OR(PRECIOS!D231="",PRECIOS!D230=""),"",PRECIOS!D231/PRECIOS!D230-1),"")</f>
        <v>-0.07237654589</v>
      </c>
      <c r="E231" s="7">
        <f>IFERROR(IF(OR(PRECIOS!E231="",PRECIOS!E230=""),"",PRECIOS!E231/PRECIOS!E230-1),"")</f>
        <v>-0.005411409982</v>
      </c>
      <c r="F231" s="7">
        <f>IFERROR(IF(OR(PRECIOS!F231="",PRECIOS!F230=""),"",PRECIOS!F231/PRECIOS!F230-1),"")</f>
        <v>-0.05722891566</v>
      </c>
      <c r="G231" s="7">
        <f>IFERROR(IF(OR(PRECIOS!G231="",PRECIOS!G230=""),"",PRECIOS!G231/PRECIOS!G230-1),"")</f>
        <v>-0.03611238607</v>
      </c>
      <c r="H231" s="7">
        <f>IFERROR(IF(OR(PRECIOS!H231="",PRECIOS!H230=""),"",PRECIOS!H231/PRECIOS!H230-1),"")</f>
        <v>-0.03967937495</v>
      </c>
      <c r="I231" s="7">
        <f>IFERROR(IF(OR(PRECIOS!I231="",PRECIOS!I230=""),"",PRECIOS!I231/PRECIOS!I230-1),"")</f>
        <v>-0.03409974625</v>
      </c>
    </row>
    <row r="232" ht="15.75" customHeight="1">
      <c r="A232" s="4">
        <f>IF(PRECIOS!A232="","",PRECIOS!A232)</f>
        <v>44748</v>
      </c>
      <c r="B232" s="7">
        <f>IFERROR(IF(OR(PRECIOS!B232="",PRECIOS!B231=""),"",PRECIOS!B232/PRECIOS!B231-1),"")</f>
        <v>-0.01804061539</v>
      </c>
      <c r="C232" s="7">
        <f>IFERROR(IF(OR(PRECIOS!C232="",PRECIOS!C231=""),"",PRECIOS!C232/PRECIOS!C231-1),"")</f>
        <v>0.009177085358</v>
      </c>
      <c r="D232" s="7">
        <f>IFERROR(IF(OR(PRECIOS!D232="",PRECIOS!D231=""),"",PRECIOS!D232/PRECIOS!D231-1),"")</f>
        <v>0.00185167823</v>
      </c>
      <c r="E232" s="7">
        <f>IFERROR(IF(OR(PRECIOS!E232="",PRECIOS!E231=""),"",PRECIOS!E232/PRECIOS!E231-1),"")</f>
        <v>0.01041899352</v>
      </c>
      <c r="F232" s="7">
        <f>IFERROR(IF(OR(PRECIOS!F232="",PRECIOS!F231=""),"",PRECIOS!F232/PRECIOS!F231-1),"")</f>
        <v>-0.01277955272</v>
      </c>
      <c r="G232" s="7">
        <f>IFERROR(IF(OR(PRECIOS!G232="",PRECIOS!G231=""),"",PRECIOS!G232/PRECIOS!G231-1),"")</f>
        <v>-0.01458818728</v>
      </c>
      <c r="H232" s="7">
        <f>IFERROR(IF(OR(PRECIOS!H232="",PRECIOS!H231=""),"",PRECIOS!H232/PRECIOS!H231-1),"")</f>
        <v>-0.01707643847</v>
      </c>
      <c r="I232" s="7">
        <f>IFERROR(IF(OR(PRECIOS!I232="",PRECIOS!I231=""),"",PRECIOS!I232/PRECIOS!I231-1),"")</f>
        <v>0.01037680471</v>
      </c>
    </row>
    <row r="233" ht="15.75" customHeight="1">
      <c r="A233" s="4">
        <f>IF(PRECIOS!A233="","",PRECIOS!A233)</f>
        <v>44749</v>
      </c>
      <c r="B233" s="7">
        <f>IFERROR(IF(OR(PRECIOS!B233="",PRECIOS!B232=""),"",PRECIOS!B233/PRECIOS!B232-1),"")</f>
        <v>0.0319408848</v>
      </c>
      <c r="C233" s="7">
        <f>IFERROR(IF(OR(PRECIOS!C233="",PRECIOS!C232=""),"",PRECIOS!C233/PRECIOS!C232-1),"")</f>
        <v>-0.002517688006</v>
      </c>
      <c r="D233" s="7">
        <f>IFERROR(IF(OR(PRECIOS!D233="",PRECIOS!D232=""),"",PRECIOS!D233/PRECIOS!D232-1),"")</f>
        <v>0.0244156938</v>
      </c>
      <c r="E233" s="7">
        <f>IFERROR(IF(OR(PRECIOS!E233="",PRECIOS!E232=""),"",PRECIOS!E233/PRECIOS!E232-1),"")</f>
        <v>0.01241966302</v>
      </c>
      <c r="F233" s="7">
        <f>IFERROR(IF(OR(PRECIOS!F233="",PRECIOS!F232=""),"",PRECIOS!F233/PRECIOS!F232-1),"")</f>
        <v>0.009708737864</v>
      </c>
      <c r="G233" s="7">
        <f>IFERROR(IF(OR(PRECIOS!G233="",PRECIOS!G232=""),"",PRECIOS!G233/PRECIOS!G232-1),"")</f>
        <v>0.04912051802</v>
      </c>
      <c r="H233" s="7">
        <f>IFERROR(IF(OR(PRECIOS!H233="",PRECIOS!H232=""),"",PRECIOS!H233/PRECIOS!H232-1),"")</f>
        <v>0.03605646261</v>
      </c>
      <c r="I233" s="7">
        <f>IFERROR(IF(OR(PRECIOS!I233="",PRECIOS!I232=""),"",PRECIOS!I233/PRECIOS!I232-1),"")</f>
        <v>-0.001000038097</v>
      </c>
    </row>
    <row r="234" ht="15.75" customHeight="1">
      <c r="A234" s="4">
        <f>IF(PRECIOS!A234="","",PRECIOS!A234)</f>
        <v>44750</v>
      </c>
      <c r="B234" s="7">
        <f>IFERROR(IF(OR(PRECIOS!B234="",PRECIOS!B233=""),"",PRECIOS!B234/PRECIOS!B233-1),"")</f>
        <v>0.00162968876</v>
      </c>
      <c r="C234" s="7">
        <f>IFERROR(IF(OR(PRECIOS!C234="",PRECIOS!C233=""),"",PRECIOS!C234/PRECIOS!C233-1),"")</f>
        <v>-0.001402881556</v>
      </c>
      <c r="D234" s="7">
        <f>IFERROR(IF(OR(PRECIOS!D234="",PRECIOS!D233=""),"",PRECIOS!D234/PRECIOS!D233-1),"")</f>
        <v>-0.006746356191</v>
      </c>
      <c r="E234" s="7">
        <f>IFERROR(IF(OR(PRECIOS!E234="",PRECIOS!E233=""),"",PRECIOS!E234/PRECIOS!E233-1),"")</f>
        <v>-0.01365547038</v>
      </c>
      <c r="F234" s="7">
        <f>IFERROR(IF(OR(PRECIOS!F234="",PRECIOS!F233=""),"",PRECIOS!F234/PRECIOS!F233-1),"")</f>
        <v>0.01602564103</v>
      </c>
      <c r="G234" s="7">
        <f>IFERROR(IF(OR(PRECIOS!G234="",PRECIOS!G233=""),"",PRECIOS!G234/PRECIOS!G233-1),"")</f>
        <v>0.004494204582</v>
      </c>
      <c r="H234" s="7">
        <f>IFERROR(IF(OR(PRECIOS!H234="",PRECIOS!H233=""),"",PRECIOS!H234/PRECIOS!H233-1),"")</f>
        <v>-0.0004236721224</v>
      </c>
      <c r="I234" s="7">
        <f>IFERROR(IF(OR(PRECIOS!I234="",PRECIOS!I233=""),"",PRECIOS!I234/PRECIOS!I233-1),"")</f>
        <v>-0.00328277291</v>
      </c>
    </row>
    <row r="235" ht="15.75" customHeight="1">
      <c r="A235" s="4">
        <f>IF(PRECIOS!A235="","",PRECIOS!A235)</f>
        <v>44753</v>
      </c>
      <c r="B235" s="7">
        <f>IFERROR(IF(OR(PRECIOS!B235="",PRECIOS!B234=""),"",PRECIOS!B235/PRECIOS!B234-1),"")</f>
        <v>-0.005111687353</v>
      </c>
      <c r="C235" s="7">
        <f>IFERROR(IF(OR(PRECIOS!C235="",PRECIOS!C234=""),"",PRECIOS!C235/PRECIOS!C234-1),"")</f>
        <v>0.008146998256</v>
      </c>
      <c r="D235" s="7">
        <f>IFERROR(IF(OR(PRECIOS!D235="",PRECIOS!D234=""),"",PRECIOS!D235/PRECIOS!D234-1),"")</f>
        <v>0.0004552645133</v>
      </c>
      <c r="E235" s="7">
        <f>IFERROR(IF(OR(PRECIOS!E235="",PRECIOS!E234=""),"",PRECIOS!E235/PRECIOS!E234-1),"")</f>
        <v>0.0002371991524</v>
      </c>
      <c r="F235" s="7">
        <f>IFERROR(IF(OR(PRECIOS!F235="",PRECIOS!F234=""),"",PRECIOS!F235/PRECIOS!F234-1),"")</f>
        <v>-0.03785488959</v>
      </c>
      <c r="G235" s="7">
        <f>IFERROR(IF(OR(PRECIOS!G235="",PRECIOS!G234=""),"",PRECIOS!G235/PRECIOS!G234-1),"")</f>
        <v>0.01404460341</v>
      </c>
      <c r="H235" s="7">
        <f>IFERROR(IF(OR(PRECIOS!H235="",PRECIOS!H234=""),"",PRECIOS!H235/PRECIOS!H234-1),"")</f>
        <v>-0.009582872567</v>
      </c>
      <c r="I235" s="7">
        <f>IFERROR(IF(OR(PRECIOS!I235="",PRECIOS!I234=""),"",PRECIOS!I235/PRECIOS!I234-1),"")</f>
        <v>0.006300216809</v>
      </c>
    </row>
    <row r="236" ht="15.75" customHeight="1">
      <c r="A236" s="4">
        <f>IF(PRECIOS!A236="","",PRECIOS!A236)</f>
        <v>44754</v>
      </c>
      <c r="B236" s="7">
        <f>IFERROR(IF(OR(PRECIOS!B236="",PRECIOS!B235=""),"",PRECIOS!B236/PRECIOS!B235-1),"")</f>
        <v>-0.01331136957</v>
      </c>
      <c r="C236" s="7">
        <f>IFERROR(IF(OR(PRECIOS!C236="",PRECIOS!C235=""),"",PRECIOS!C236/PRECIOS!C235-1),"")</f>
        <v>0.002926207025</v>
      </c>
      <c r="D236" s="7">
        <f>IFERROR(IF(OR(PRECIOS!D236="",PRECIOS!D235=""),"",PRECIOS!D236/PRECIOS!D235-1),"")</f>
        <v>0.01946634184</v>
      </c>
      <c r="E236" s="7">
        <f>IFERROR(IF(OR(PRECIOS!E236="",PRECIOS!E235=""),"",PRECIOS!E236/PRECIOS!E235-1),"")</f>
        <v>-0.007588572874</v>
      </c>
      <c r="F236" s="7">
        <f>IFERROR(IF(OR(PRECIOS!F236="",PRECIOS!F235=""),"",PRECIOS!F236/PRECIOS!F235-1),"")</f>
        <v>-0.01639344262</v>
      </c>
      <c r="G236" s="7">
        <f>IFERROR(IF(OR(PRECIOS!G236="",PRECIOS!G235=""),"",PRECIOS!G236/PRECIOS!G235-1),"")</f>
        <v>-0.02550056363</v>
      </c>
      <c r="H236" s="7">
        <f>IFERROR(IF(OR(PRECIOS!H236="",PRECIOS!H235=""),"",PRECIOS!H236/PRECIOS!H235-1),"")</f>
        <v>-0.01949598111</v>
      </c>
      <c r="I236" s="7">
        <f>IFERROR(IF(OR(PRECIOS!I236="",PRECIOS!I235=""),"",PRECIOS!I236/PRECIOS!I235-1),"")</f>
        <v>-0.004838157761</v>
      </c>
    </row>
    <row r="237" ht="15.75" customHeight="1">
      <c r="A237" s="4">
        <f>IF(PRECIOS!A237="","",PRECIOS!A237)</f>
        <v>44755</v>
      </c>
      <c r="B237" s="7">
        <f>IFERROR(IF(OR(PRECIOS!B237="",PRECIOS!B236=""),"",PRECIOS!B237/PRECIOS!B236-1),"")</f>
        <v>0.004023194802</v>
      </c>
      <c r="C237" s="7">
        <f>IFERROR(IF(OR(PRECIOS!C237="",PRECIOS!C236=""),"",PRECIOS!C237/PRECIOS!C236-1),"")</f>
        <v>-0.01083645047</v>
      </c>
      <c r="D237" s="7">
        <f>IFERROR(IF(OR(PRECIOS!D237="",PRECIOS!D236=""),"",PRECIOS!D237/PRECIOS!D236-1),"")</f>
        <v>0.009328644213</v>
      </c>
      <c r="E237" s="7">
        <f>IFERROR(IF(OR(PRECIOS!E237="",PRECIOS!E236=""),"",PRECIOS!E237/PRECIOS!E236-1),"")</f>
        <v>-0.009144058751</v>
      </c>
      <c r="F237" s="7">
        <f>IFERROR(IF(OR(PRECIOS!F237="",PRECIOS!F236=""),"",PRECIOS!F237/PRECIOS!F236-1),"")</f>
        <v>0.003333333333</v>
      </c>
      <c r="G237" s="7">
        <f>IFERROR(IF(OR(PRECIOS!G237="",PRECIOS!G236=""),"",PRECIOS!G237/PRECIOS!G236-1),"")</f>
        <v>0.006135111665</v>
      </c>
      <c r="H237" s="7">
        <f>IFERROR(IF(OR(PRECIOS!H237="",PRECIOS!H236=""),"",PRECIOS!H237/PRECIOS!H236-1),"")</f>
        <v>-0.001598172767</v>
      </c>
      <c r="I237" s="7">
        <f>IFERROR(IF(OR(PRECIOS!I237="",PRECIOS!I236=""),"",PRECIOS!I237/PRECIOS!I236-1),"")</f>
        <v>-0.004145321867</v>
      </c>
    </row>
    <row r="238" ht="15.75" customHeight="1">
      <c r="A238" s="4">
        <f>IF(PRECIOS!A238="","",PRECIOS!A238)</f>
        <v>44756</v>
      </c>
      <c r="B238" s="7">
        <f>IFERROR(IF(OR(PRECIOS!B238="",PRECIOS!B237=""),"",PRECIOS!B238/PRECIOS!B237-1),"")</f>
        <v>-0.02003776727</v>
      </c>
      <c r="C238" s="7">
        <f>IFERROR(IF(OR(PRECIOS!C238="",PRECIOS!C237=""),"",PRECIOS!C238/PRECIOS!C237-1),"")</f>
        <v>0.009269865634</v>
      </c>
      <c r="D238" s="7">
        <f>IFERROR(IF(OR(PRECIOS!D238="",PRECIOS!D237=""),"",PRECIOS!D238/PRECIOS!D237-1),"")</f>
        <v>0.00879571516</v>
      </c>
      <c r="E238" s="7">
        <f>IFERROR(IF(OR(PRECIOS!E238="",PRECIOS!E237=""),"",PRECIOS!E238/PRECIOS!E237-1),"")</f>
        <v>-0.005410054824</v>
      </c>
      <c r="F238" s="7">
        <f>IFERROR(IF(OR(PRECIOS!F238="",PRECIOS!F237=""),"",PRECIOS!F238/PRECIOS!F237-1),"")</f>
        <v>-0.02657807309</v>
      </c>
      <c r="G238" s="7">
        <f>IFERROR(IF(OR(PRECIOS!G238="",PRECIOS!G237=""),"",PRECIOS!G238/PRECIOS!G237-1),"")</f>
        <v>0.0003228388738</v>
      </c>
      <c r="H238" s="7">
        <f>IFERROR(IF(OR(PRECIOS!H238="",PRECIOS!H237=""),"",PRECIOS!H238/PRECIOS!H237-1),"")</f>
        <v>-0.01889651455</v>
      </c>
      <c r="I238" s="7">
        <f>IFERROR(IF(OR(PRECIOS!I238="",PRECIOS!I237=""),"",PRECIOS!I238/PRECIOS!I237-1),"")</f>
        <v>0</v>
      </c>
    </row>
    <row r="239" ht="15.75" customHeight="1">
      <c r="A239" s="4">
        <f>IF(PRECIOS!A239="","",PRECIOS!A239)</f>
        <v>44757</v>
      </c>
      <c r="B239" s="7">
        <f>IFERROR(IF(OR(PRECIOS!B239="",PRECIOS!B238=""),"",PRECIOS!B239/PRECIOS!B238-1),"")</f>
        <v>0.01683961294</v>
      </c>
      <c r="C239" s="7">
        <f>IFERROR(IF(OR(PRECIOS!C239="",PRECIOS!C238=""),"",PRECIOS!C239/PRECIOS!C238-1),"")</f>
        <v>0.006540250204</v>
      </c>
      <c r="D239" s="7">
        <f>IFERROR(IF(OR(PRECIOS!D239="",PRECIOS!D238=""),"",PRECIOS!D239/PRECIOS!D238-1),"")</f>
        <v>-0.01526825726</v>
      </c>
      <c r="E239" s="7">
        <f>IFERROR(IF(OR(PRECIOS!E239="",PRECIOS!E238=""),"",PRECIOS!E239/PRECIOS!E238-1),"")</f>
        <v>0.03158617903</v>
      </c>
      <c r="F239" s="7">
        <f>IFERROR(IF(OR(PRECIOS!F239="",PRECIOS!F238=""),"",PRECIOS!F239/PRECIOS!F238-1),"")</f>
        <v>0.01365187713</v>
      </c>
      <c r="G239" s="7">
        <f>IFERROR(IF(OR(PRECIOS!G239="",PRECIOS!G238=""),"",PRECIOS!G239/PRECIOS!G238-1),"")</f>
        <v>0.007386672375</v>
      </c>
      <c r="H239" s="7">
        <f>IFERROR(IF(OR(PRECIOS!H239="",PRECIOS!H238=""),"",PRECIOS!H239/PRECIOS!H238-1),"")</f>
        <v>0.01629886729</v>
      </c>
      <c r="I239" s="7">
        <f>IFERROR(IF(OR(PRECIOS!I239="",PRECIOS!I238=""),"",PRECIOS!I239/PRECIOS!I238-1),"")</f>
        <v>0.001867085269</v>
      </c>
    </row>
    <row r="240" ht="15.75" customHeight="1">
      <c r="A240" s="4">
        <f>IF(PRECIOS!A240="","",PRECIOS!A240)</f>
        <v>44760</v>
      </c>
      <c r="B240" s="7">
        <f>IFERROR(IF(OR(PRECIOS!B240="",PRECIOS!B239=""),"",PRECIOS!B240/PRECIOS!B239-1),"")</f>
        <v>0.01845218817</v>
      </c>
      <c r="C240" s="7">
        <f>IFERROR(IF(OR(PRECIOS!C240="",PRECIOS!C239=""),"",PRECIOS!C240/PRECIOS!C239-1),"")</f>
        <v>-0.008848784173</v>
      </c>
      <c r="D240" s="7">
        <f>IFERROR(IF(OR(PRECIOS!D240="",PRECIOS!D239=""),"",PRECIOS!D240/PRECIOS!D239-1),"")</f>
        <v>0.01063045238</v>
      </c>
      <c r="E240" s="7">
        <f>IFERROR(IF(OR(PRECIOS!E240="",PRECIOS!E239=""),"",PRECIOS!E240/PRECIOS!E239-1),"")</f>
        <v>-0.01635157052</v>
      </c>
      <c r="F240" s="7">
        <f>IFERROR(IF(OR(PRECIOS!F240="",PRECIOS!F239=""),"",PRECIOS!F240/PRECIOS!F239-1),"")</f>
        <v>0.006734006734</v>
      </c>
      <c r="G240" s="7">
        <f>IFERROR(IF(OR(PRECIOS!G240="",PRECIOS!G239=""),"",PRECIOS!G240/PRECIOS!G239-1),"")</f>
        <v>0.01688798227</v>
      </c>
      <c r="H240" s="7">
        <f>IFERROR(IF(OR(PRECIOS!H240="",PRECIOS!H239=""),"",PRECIOS!H240/PRECIOS!H239-1),"")</f>
        <v>0.02289419552</v>
      </c>
      <c r="I240" s="7">
        <f>IFERROR(IF(OR(PRECIOS!I240="",PRECIOS!I239=""),"",PRECIOS!I240/PRECIOS!I239-1),"")</f>
        <v>-0.01390683886</v>
      </c>
    </row>
    <row r="241" ht="15.75" customHeight="1">
      <c r="A241" s="4">
        <f>IF(PRECIOS!A241="","",PRECIOS!A241)</f>
        <v>44761</v>
      </c>
      <c r="B241" s="7">
        <f>IFERROR(IF(OR(PRECIOS!B241="",PRECIOS!B240=""),"",PRECIOS!B241/PRECIOS!B240-1),"")</f>
        <v>0.02520377584</v>
      </c>
      <c r="C241" s="7">
        <f>IFERROR(IF(OR(PRECIOS!C241="",PRECIOS!C240=""),"",PRECIOS!C241/PRECIOS!C240-1),"")</f>
        <v>0.0008376019272</v>
      </c>
      <c r="D241" s="7">
        <f>IFERROR(IF(OR(PRECIOS!D241="",PRECIOS!D240=""),"",PRECIOS!D241/PRECIOS!D240-1),"")</f>
        <v>0.0354981668</v>
      </c>
      <c r="E241" s="7">
        <f>IFERROR(IF(OR(PRECIOS!E241="",PRECIOS!E240=""),"",PRECIOS!E241/PRECIOS!E240-1),"")</f>
        <v>0.04270944514</v>
      </c>
      <c r="F241" s="7">
        <f>IFERROR(IF(OR(PRECIOS!F241="",PRECIOS!F240=""),"",PRECIOS!F241/PRECIOS!F240-1),"")</f>
        <v>0.02341137124</v>
      </c>
      <c r="G241" s="7">
        <f>IFERROR(IF(OR(PRECIOS!G241="",PRECIOS!G240=""),"",PRECIOS!G241/PRECIOS!G240-1),"")</f>
        <v>0.01378815935</v>
      </c>
      <c r="H241" s="7">
        <f>IFERROR(IF(OR(PRECIOS!H241="",PRECIOS!H240=""),"",PRECIOS!H241/PRECIOS!H240-1),"")</f>
        <v>0.03078018801</v>
      </c>
      <c r="I241" s="7">
        <f>IFERROR(IF(OR(PRECIOS!I241="",PRECIOS!I240=""),"",PRECIOS!I241/PRECIOS!I240-1),"")</f>
        <v>0.0064010252</v>
      </c>
    </row>
    <row r="242" ht="15.75" customHeight="1">
      <c r="A242" s="4">
        <f>IF(PRECIOS!A242="","",PRECIOS!A242)</f>
        <v>44762</v>
      </c>
      <c r="B242" s="7">
        <f>IFERROR(IF(OR(PRECIOS!B242="",PRECIOS!B241=""),"",PRECIOS!B242/PRECIOS!B241-1),"")</f>
        <v>0.01098907435</v>
      </c>
      <c r="C242" s="7">
        <f>IFERROR(IF(OR(PRECIOS!C242="",PRECIOS!C241=""),"",PRECIOS!C242/PRECIOS!C241-1),"")</f>
        <v>-0.01128892691</v>
      </c>
      <c r="D242" s="7">
        <f>IFERROR(IF(OR(PRECIOS!D242="",PRECIOS!D241=""),"",PRECIOS!D242/PRECIOS!D241-1),"")</f>
        <v>0.0004211032906</v>
      </c>
      <c r="E242" s="7">
        <f>IFERROR(IF(OR(PRECIOS!E242="",PRECIOS!E241=""),"",PRECIOS!E242/PRECIOS!E241-1),"")</f>
        <v>0.01171815321</v>
      </c>
      <c r="F242" s="7">
        <f>IFERROR(IF(OR(PRECIOS!F242="",PRECIOS!F241=""),"",PRECIOS!F242/PRECIOS!F241-1),"")</f>
        <v>-0.02287581699</v>
      </c>
      <c r="G242" s="7">
        <f>IFERROR(IF(OR(PRECIOS!G242="",PRECIOS!G241=""),"",PRECIOS!G242/PRECIOS!G241-1),"")</f>
        <v>0.004636074494</v>
      </c>
      <c r="H242" s="7">
        <f>IFERROR(IF(OR(PRECIOS!H242="",PRECIOS!H241=""),"",PRECIOS!H242/PRECIOS!H241-1),"")</f>
        <v>0.009682724294</v>
      </c>
      <c r="I242" s="7">
        <f>IFERROR(IF(OR(PRECIOS!I242="",PRECIOS!I241=""),"",PRECIOS!I242/PRECIOS!I241-1),"")</f>
        <v>-0.01328977366</v>
      </c>
    </row>
    <row r="243" ht="15.75" customHeight="1">
      <c r="A243" s="4">
        <f>IF(PRECIOS!A243="","",PRECIOS!A243)</f>
        <v>44763</v>
      </c>
      <c r="B243" s="7">
        <f>IFERROR(IF(OR(PRECIOS!B243="",PRECIOS!B242=""),"",PRECIOS!B243/PRECIOS!B242-1),"")</f>
        <v>-0.01669679671</v>
      </c>
      <c r="C243" s="7">
        <f>IFERROR(IF(OR(PRECIOS!C243="",PRECIOS!C242=""),"",PRECIOS!C243/PRECIOS!C242-1),"")</f>
        <v>-0.001268966231</v>
      </c>
      <c r="D243" s="7">
        <f>IFERROR(IF(OR(PRECIOS!D243="",PRECIOS!D242=""),"",PRECIOS!D243/PRECIOS!D242-1),"")</f>
        <v>-0.01184606133</v>
      </c>
      <c r="E243" s="7">
        <f>IFERROR(IF(OR(PRECIOS!E243="",PRECIOS!E242=""),"",PRECIOS!E243/PRECIOS!E242-1),"")</f>
        <v>0.02607934039</v>
      </c>
      <c r="F243" s="7">
        <f>IFERROR(IF(OR(PRECIOS!F243="",PRECIOS!F242=""),"",PRECIOS!F243/PRECIOS!F242-1),"")</f>
        <v>-0.02675585284</v>
      </c>
      <c r="G243" s="7">
        <f>IFERROR(IF(OR(PRECIOS!G243="",PRECIOS!G242=""),"",PRECIOS!G243/PRECIOS!G242-1),"")</f>
        <v>-0.002768177012</v>
      </c>
      <c r="H243" s="7">
        <f>IFERROR(IF(OR(PRECIOS!H243="",PRECIOS!H242=""),"",PRECIOS!H243/PRECIOS!H242-1),"")</f>
        <v>-0.01753239716</v>
      </c>
      <c r="I243" s="7">
        <f>IFERROR(IF(OR(PRECIOS!I243="",PRECIOS!I242=""),"",PRECIOS!I243/PRECIOS!I242-1),"")</f>
        <v>0.002636398595</v>
      </c>
    </row>
    <row r="244" ht="15.75" customHeight="1">
      <c r="A244" s="4">
        <f>IF(PRECIOS!A244="","",PRECIOS!A244)</f>
        <v>44764</v>
      </c>
      <c r="B244" s="7">
        <f>IFERROR(IF(OR(PRECIOS!B244="",PRECIOS!B243=""),"",PRECIOS!B244/PRECIOS!B243-1),"")</f>
        <v>-0.007634703451</v>
      </c>
      <c r="C244" s="7">
        <f>IFERROR(IF(OR(PRECIOS!C244="",PRECIOS!C243=""),"",PRECIOS!C244/PRECIOS!C243-1),"")</f>
        <v>0.01538364134</v>
      </c>
      <c r="D244" s="7">
        <f>IFERROR(IF(OR(PRECIOS!D244="",PRECIOS!D243=""),"",PRECIOS!D244/PRECIOS!D243-1),"")</f>
        <v>-0.01540888978</v>
      </c>
      <c r="E244" s="7">
        <f>IFERROR(IF(OR(PRECIOS!E244="",PRECIOS!E243=""),"",PRECIOS!E244/PRECIOS!E243-1),"")</f>
        <v>-0.00502590216</v>
      </c>
      <c r="F244" s="7">
        <f>IFERROR(IF(OR(PRECIOS!F244="",PRECIOS!F243=""),"",PRECIOS!F244/PRECIOS!F243-1),"")</f>
        <v>0</v>
      </c>
      <c r="G244" s="7">
        <f>IFERROR(IF(OR(PRECIOS!G244="",PRECIOS!G243=""),"",PRECIOS!G244/PRECIOS!G243-1),"")</f>
        <v>-0.002161816559</v>
      </c>
      <c r="H244" s="7">
        <f>IFERROR(IF(OR(PRECIOS!H244="",PRECIOS!H243=""),"",PRECIOS!H244/PRECIOS!H243-1),"")</f>
        <v>-0.008222942925</v>
      </c>
      <c r="I244" s="7">
        <f>IFERROR(IF(OR(PRECIOS!I244="",PRECIOS!I243=""),"",PRECIOS!I244/PRECIOS!I243-1),"")</f>
        <v>0.01371937842</v>
      </c>
    </row>
    <row r="245" ht="15.75" customHeight="1">
      <c r="A245" s="4">
        <f>IF(PRECIOS!A245="","",PRECIOS!A245)</f>
        <v>44767</v>
      </c>
      <c r="B245" s="7">
        <f>IFERROR(IF(OR(PRECIOS!B245="",PRECIOS!B244=""),"",PRECIOS!B245/PRECIOS!B244-1),"")</f>
        <v>0.03330083901</v>
      </c>
      <c r="C245" s="7">
        <f>IFERROR(IF(OR(PRECIOS!C245="",PRECIOS!C244=""),"",PRECIOS!C245/PRECIOS!C244-1),"")</f>
        <v>0.01042726564</v>
      </c>
      <c r="D245" s="7">
        <f>IFERROR(IF(OR(PRECIOS!D245="",PRECIOS!D244=""),"",PRECIOS!D245/PRECIOS!D244-1),"")</f>
        <v>0.01565003951</v>
      </c>
      <c r="E245" s="7">
        <f>IFERROR(IF(OR(PRECIOS!E245="",PRECIOS!E244=""),"",PRECIOS!E245/PRECIOS!E244-1),"")</f>
        <v>0.003291103666</v>
      </c>
      <c r="F245" s="7">
        <f>IFERROR(IF(OR(PRECIOS!F245="",PRECIOS!F244=""),"",PRECIOS!F245/PRECIOS!F244-1),"")</f>
        <v>0.07903780069</v>
      </c>
      <c r="G245" s="7">
        <f>IFERROR(IF(OR(PRECIOS!G245="",PRECIOS!G244=""),"",PRECIOS!G245/PRECIOS!G244-1),"")</f>
        <v>0.03432459438</v>
      </c>
      <c r="H245" s="7">
        <f>IFERROR(IF(OR(PRECIOS!H245="",PRECIOS!H244=""),"",PRECIOS!H245/PRECIOS!H244-1),"")</f>
        <v>0.03668240783</v>
      </c>
      <c r="I245" s="7">
        <f>IFERROR(IF(OR(PRECIOS!I245="",PRECIOS!I244=""),"",PRECIOS!I245/PRECIOS!I244-1),"")</f>
        <v>0.0125333453</v>
      </c>
    </row>
    <row r="246" ht="15.75" customHeight="1">
      <c r="A246" s="4">
        <f>IF(PRECIOS!A246="","",PRECIOS!A246)</f>
        <v>44768</v>
      </c>
      <c r="B246" s="7">
        <f>IFERROR(IF(OR(PRECIOS!B246="",PRECIOS!B245=""),"",PRECIOS!B246/PRECIOS!B245-1),"")</f>
        <v>-0.003889034687</v>
      </c>
      <c r="C246" s="7">
        <f>IFERROR(IF(OR(PRECIOS!C246="",PRECIOS!C245=""),"",PRECIOS!C246/PRECIOS!C245-1),"")</f>
        <v>0.01127897583</v>
      </c>
      <c r="D246" s="7">
        <f>IFERROR(IF(OR(PRECIOS!D246="",PRECIOS!D245=""),"",PRECIOS!D246/PRECIOS!D245-1),"")</f>
        <v>0.01669549947</v>
      </c>
      <c r="E246" s="7">
        <f>IFERROR(IF(OR(PRECIOS!E246="",PRECIOS!E245=""),"",PRECIOS!E246/PRECIOS!E245-1),"")</f>
        <v>0.01487564316</v>
      </c>
      <c r="F246" s="7">
        <f>IFERROR(IF(OR(PRECIOS!F246="",PRECIOS!F245=""),"",PRECIOS!F246/PRECIOS!F245-1),"")</f>
        <v>0.01910828025</v>
      </c>
      <c r="G246" s="7">
        <f>IFERROR(IF(OR(PRECIOS!G246="",PRECIOS!G245=""),"",PRECIOS!G246/PRECIOS!G245-1),"")</f>
        <v>0.002689557036</v>
      </c>
      <c r="H246" s="7">
        <f>IFERROR(IF(OR(PRECIOS!H246="",PRECIOS!H245=""),"",PRECIOS!H246/PRECIOS!H245-1),"")</f>
        <v>-0.009082911068</v>
      </c>
      <c r="I246" s="7">
        <f>IFERROR(IF(OR(PRECIOS!I246="",PRECIOS!I245=""),"",PRECIOS!I246/PRECIOS!I245-1),"")</f>
        <v>0.005969024405</v>
      </c>
    </row>
    <row r="247" ht="15.75" customHeight="1">
      <c r="A247" s="4">
        <f>IF(PRECIOS!A247="","",PRECIOS!A247)</f>
        <v>44769</v>
      </c>
      <c r="B247" s="7">
        <f>IFERROR(IF(OR(PRECIOS!B247="",PRECIOS!B246=""),"",PRECIOS!B247/PRECIOS!B246-1),"")</f>
        <v>0.02164467752</v>
      </c>
      <c r="C247" s="7">
        <f>IFERROR(IF(OR(PRECIOS!C247="",PRECIOS!C246=""),"",PRECIOS!C247/PRECIOS!C246-1),"")</f>
        <v>-0.003400596353</v>
      </c>
      <c r="D247" s="7">
        <f>IFERROR(IF(OR(PRECIOS!D247="",PRECIOS!D246=""),"",PRECIOS!D247/PRECIOS!D246-1),"")</f>
        <v>0.003373193161</v>
      </c>
      <c r="E247" s="7">
        <f>IFERROR(IF(OR(PRECIOS!E247="",PRECIOS!E246=""),"",PRECIOS!E247/PRECIOS!E246-1),"")</f>
        <v>0.01819489236</v>
      </c>
      <c r="F247" s="7">
        <f>IFERROR(IF(OR(PRECIOS!F247="",PRECIOS!F246=""),"",PRECIOS!F247/PRECIOS!F246-1),"")</f>
        <v>0.046875</v>
      </c>
      <c r="G247" s="7">
        <f>IFERROR(IF(OR(PRECIOS!G247="",PRECIOS!G246=""),"",PRECIOS!G247/PRECIOS!G246-1),"")</f>
        <v>0.007453670711</v>
      </c>
      <c r="H247" s="7">
        <f>IFERROR(IF(OR(PRECIOS!H247="",PRECIOS!H246=""),"",PRECIOS!H247/PRECIOS!H246-1),"")</f>
        <v>0.02257357991</v>
      </c>
      <c r="I247" s="7">
        <f>IFERROR(IF(OR(PRECIOS!I247="",PRECIOS!I246=""),"",PRECIOS!I247/PRECIOS!I246-1),"")</f>
        <v>0.0008530543122</v>
      </c>
    </row>
    <row r="248" ht="15.75" customHeight="1">
      <c r="A248" s="4">
        <f>IF(PRECIOS!A248="","",PRECIOS!A248)</f>
        <v>44770</v>
      </c>
      <c r="B248" s="7">
        <f>IFERROR(IF(OR(PRECIOS!B248="",PRECIOS!B247=""),"",PRECIOS!B248/PRECIOS!B247-1),"")</f>
        <v>0.01168459594</v>
      </c>
      <c r="C248" s="7">
        <f>IFERROR(IF(OR(PRECIOS!C248="",PRECIOS!C247=""),"",PRECIOS!C248/PRECIOS!C247-1),"")</f>
        <v>0.0352185784</v>
      </c>
      <c r="D248" s="7">
        <f>IFERROR(IF(OR(PRECIOS!D248="",PRECIOS!D247=""),"",PRECIOS!D248/PRECIOS!D247-1),"")</f>
        <v>0.04153954971</v>
      </c>
      <c r="E248" s="7">
        <f>IFERROR(IF(OR(PRECIOS!E248="",PRECIOS!E247=""),"",PRECIOS!E248/PRECIOS!E247-1),"")</f>
        <v>0.03239383369</v>
      </c>
      <c r="F248" s="7">
        <f>IFERROR(IF(OR(PRECIOS!F248="",PRECIOS!F247=""),"",PRECIOS!F248/PRECIOS!F247-1),"")</f>
        <v>0.03880597015</v>
      </c>
      <c r="G248" s="7">
        <f>IFERROR(IF(OR(PRECIOS!G248="",PRECIOS!G247=""),"",PRECIOS!G248/PRECIOS!G247-1),"")</f>
        <v>-0.0002944837427</v>
      </c>
      <c r="H248" s="7">
        <f>IFERROR(IF(OR(PRECIOS!H248="",PRECIOS!H247=""),"",PRECIOS!H248/PRECIOS!H247-1),"")</f>
        <v>0.005620917801</v>
      </c>
      <c r="I248" s="7">
        <f>IFERROR(IF(OR(PRECIOS!I248="",PRECIOS!I247=""),"",PRECIOS!I248/PRECIOS!I247-1),"")</f>
        <v>0.03588580702</v>
      </c>
    </row>
    <row r="249" ht="15.75" customHeight="1">
      <c r="A249" s="4">
        <f>IF(PRECIOS!A249="","",PRECIOS!A249)</f>
        <v>44771</v>
      </c>
      <c r="B249" s="7">
        <f>IFERROR(IF(OR(PRECIOS!B249="",PRECIOS!B248=""),"",PRECIOS!B249/PRECIOS!B248-1),"")</f>
        <v>0.04630954186</v>
      </c>
      <c r="C249" s="7">
        <f>IFERROR(IF(OR(PRECIOS!C249="",PRECIOS!C248=""),"",PRECIOS!C249/PRECIOS!C248-1),"")</f>
        <v>0.01384449111</v>
      </c>
      <c r="D249" s="7">
        <f>IFERROR(IF(OR(PRECIOS!D249="",PRECIOS!D248=""),"",PRECIOS!D249/PRECIOS!D248-1),"")</f>
        <v>0.04149876657</v>
      </c>
      <c r="E249" s="7">
        <f>IFERROR(IF(OR(PRECIOS!E249="",PRECIOS!E248=""),"",PRECIOS!E249/PRECIOS!E248-1),"")</f>
        <v>0.0145589475</v>
      </c>
      <c r="F249" s="7">
        <f>IFERROR(IF(OR(PRECIOS!F249="",PRECIOS!F248=""),"",PRECIOS!F249/PRECIOS!F248-1),"")</f>
        <v>0.06609195402</v>
      </c>
      <c r="G249" s="7">
        <f>IFERROR(IF(OR(PRECIOS!G249="",PRECIOS!G248=""),"",PRECIOS!G249/PRECIOS!G248-1),"")</f>
        <v>0.009177237293</v>
      </c>
      <c r="H249" s="7">
        <f>IFERROR(IF(OR(PRECIOS!H249="",PRECIOS!H248=""),"",PRECIOS!H249/PRECIOS!H248-1),"")</f>
        <v>0.04337126853</v>
      </c>
      <c r="I249" s="7">
        <f>IFERROR(IF(OR(PRECIOS!I249="",PRECIOS!I248=""),"",PRECIOS!I249/PRECIOS!I248-1),"")</f>
        <v>0.008595379566</v>
      </c>
    </row>
    <row r="250" ht="15.75" customHeight="1">
      <c r="A250" s="4">
        <f>IF(PRECIOS!A250="","",PRECIOS!A250)</f>
        <v>44774</v>
      </c>
      <c r="B250" s="7">
        <f>IFERROR(IF(OR(PRECIOS!B250="",PRECIOS!B249=""),"",PRECIOS!B250/PRECIOS!B249-1),"")</f>
        <v>-0.0252775628</v>
      </c>
      <c r="C250" s="7">
        <f>IFERROR(IF(OR(PRECIOS!C250="",PRECIOS!C249=""),"",PRECIOS!C250/PRECIOS!C249-1),"")</f>
        <v>-0.002732678781</v>
      </c>
      <c r="D250" s="7">
        <f>IFERROR(IF(OR(PRECIOS!D250="",PRECIOS!D249=""),"",PRECIOS!D250/PRECIOS!D249-1),"")</f>
        <v>-0.01895241275</v>
      </c>
      <c r="E250" s="7">
        <f>IFERROR(IF(OR(PRECIOS!E250="",PRECIOS!E249=""),"",PRECIOS!E250/PRECIOS!E249-1),"")</f>
        <v>-0.005993366433</v>
      </c>
      <c r="F250" s="7">
        <f>IFERROR(IF(OR(PRECIOS!F250="",PRECIOS!F249=""),"",PRECIOS!F250/PRECIOS!F249-1),"")</f>
        <v>-0.01617250674</v>
      </c>
      <c r="G250" s="7">
        <f>IFERROR(IF(OR(PRECIOS!G250="",PRECIOS!G249=""),"",PRECIOS!G250/PRECIOS!G249-1),"")</f>
        <v>-0.002642071529</v>
      </c>
      <c r="H250" s="7">
        <f>IFERROR(IF(OR(PRECIOS!H250="",PRECIOS!H249=""),"",PRECIOS!H250/PRECIOS!H249-1),"")</f>
        <v>-0.02065589085</v>
      </c>
      <c r="I250" s="7">
        <f>IFERROR(IF(OR(PRECIOS!I250="",PRECIOS!I249=""),"",PRECIOS!I250/PRECIOS!I249-1),"")</f>
        <v>0.001080693811</v>
      </c>
    </row>
    <row r="251" ht="15.75" customHeight="1">
      <c r="A251" s="4">
        <f>IF(PRECIOS!A251="","",PRECIOS!A251)</f>
        <v>44775</v>
      </c>
      <c r="B251" s="7">
        <f>IFERROR(IF(OR(PRECIOS!B251="",PRECIOS!B250=""),"",PRECIOS!B251/PRECIOS!B250-1),"")</f>
        <v>-0.004338341045</v>
      </c>
      <c r="C251" s="7">
        <f>IFERROR(IF(OR(PRECIOS!C251="",PRECIOS!C250=""),"",PRECIOS!C251/PRECIOS!C250-1),"")</f>
        <v>-0.00978004212</v>
      </c>
      <c r="D251" s="7">
        <f>IFERROR(IF(OR(PRECIOS!D251="",PRECIOS!D250=""),"",PRECIOS!D251/PRECIOS!D250-1),"")</f>
        <v>-0.003943786035</v>
      </c>
      <c r="E251" s="7">
        <f>IFERROR(IF(OR(PRECIOS!E251="",PRECIOS!E250=""),"",PRECIOS!E251/PRECIOS!E250-1),"")</f>
        <v>-0.007530027612</v>
      </c>
      <c r="F251" s="7">
        <f>IFERROR(IF(OR(PRECIOS!F251="",PRECIOS!F250=""),"",PRECIOS!F251/PRECIOS!F250-1),"")</f>
        <v>0.002739726027</v>
      </c>
      <c r="G251" s="7">
        <f>IFERROR(IF(OR(PRECIOS!G251="",PRECIOS!G250=""),"",PRECIOS!G251/PRECIOS!G250-1),"")</f>
        <v>-0.03352673359</v>
      </c>
      <c r="H251" s="7">
        <f>IFERROR(IF(OR(PRECIOS!H251="",PRECIOS!H250=""),"",PRECIOS!H251/PRECIOS!H250-1),"")</f>
        <v>-0.002343506191</v>
      </c>
      <c r="I251" s="7">
        <f>IFERROR(IF(OR(PRECIOS!I251="",PRECIOS!I250=""),"",PRECIOS!I251/PRECIOS!I250-1),"")</f>
        <v>-0.002029751649</v>
      </c>
    </row>
    <row r="252" ht="15.75" customHeight="1">
      <c r="A252" s="4">
        <f>IF(PRECIOS!A252="","",PRECIOS!A252)</f>
        <v>44776</v>
      </c>
      <c r="B252" s="7">
        <f>IFERROR(IF(OR(PRECIOS!B252="",PRECIOS!B251=""),"",PRECIOS!B252/PRECIOS!B251-1),"")</f>
        <v>-0.03242343715</v>
      </c>
      <c r="C252" s="7">
        <f>IFERROR(IF(OR(PRECIOS!C252="",PRECIOS!C251=""),"",PRECIOS!C252/PRECIOS!C251-1),"")</f>
        <v>0.01751639393</v>
      </c>
      <c r="D252" s="7">
        <f>IFERROR(IF(OR(PRECIOS!D252="",PRECIOS!D251=""),"",PRECIOS!D252/PRECIOS!D251-1),"")</f>
        <v>0.007914782434</v>
      </c>
      <c r="E252" s="7">
        <f>IFERROR(IF(OR(PRECIOS!E252="",PRECIOS!E251=""),"",PRECIOS!E252/PRECIOS!E251-1),"")</f>
        <v>0.01578184329</v>
      </c>
      <c r="F252" s="7">
        <f>IFERROR(IF(OR(PRECIOS!F252="",PRECIOS!F251=""),"",PRECIOS!F252/PRECIOS!F251-1),"")</f>
        <v>0.01639344262</v>
      </c>
      <c r="G252" s="7">
        <f>IFERROR(IF(OR(PRECIOS!G252="",PRECIOS!G251=""),"",PRECIOS!G252/PRECIOS!G251-1),"")</f>
        <v>-0.007002263326</v>
      </c>
      <c r="H252" s="7">
        <f>IFERROR(IF(OR(PRECIOS!H252="",PRECIOS!H251=""),"",PRECIOS!H252/PRECIOS!H251-1),"")</f>
        <v>-0.02871341474</v>
      </c>
      <c r="I252" s="7">
        <f>IFERROR(IF(OR(PRECIOS!I252="",PRECIOS!I251=""),"",PRECIOS!I252/PRECIOS!I251-1),"")</f>
        <v>0.006225179132</v>
      </c>
    </row>
    <row r="253" ht="15.75" customHeight="1">
      <c r="A253" s="4">
        <f>IF(PRECIOS!A253="","",PRECIOS!A253)</f>
        <v>44777</v>
      </c>
      <c r="B253" s="7">
        <f>IFERROR(IF(OR(PRECIOS!B253="",PRECIOS!B252=""),"",PRECIOS!B253/PRECIOS!B252-1),"")</f>
        <v>-0.04207809519</v>
      </c>
      <c r="C253" s="7">
        <f>IFERROR(IF(OR(PRECIOS!C253="",PRECIOS!C252=""),"",PRECIOS!C253/PRECIOS!C252-1),"")</f>
        <v>0.009189347535</v>
      </c>
      <c r="D253" s="7">
        <f>IFERROR(IF(OR(PRECIOS!D253="",PRECIOS!D252=""),"",PRECIOS!D253/PRECIOS!D252-1),"")</f>
        <v>0.006285294962</v>
      </c>
      <c r="E253" s="7">
        <f>IFERROR(IF(OR(PRECIOS!E253="",PRECIOS!E252=""),"",PRECIOS!E253/PRECIOS!E252-1),"")</f>
        <v>0.00006796433232</v>
      </c>
      <c r="F253" s="7">
        <f>IFERROR(IF(OR(PRECIOS!F253="",PRECIOS!F252=""),"",PRECIOS!F253/PRECIOS!F252-1),"")</f>
        <v>-0.01612903226</v>
      </c>
      <c r="G253" s="7">
        <f>IFERROR(IF(OR(PRECIOS!G253="",PRECIOS!G252=""),"",PRECIOS!G253/PRECIOS!G252-1),"")</f>
        <v>-0.02206349306</v>
      </c>
      <c r="H253" s="7">
        <f>IFERROR(IF(OR(PRECIOS!H253="",PRECIOS!H252=""),"",PRECIOS!H253/PRECIOS!H252-1),"")</f>
        <v>-0.03708497399</v>
      </c>
      <c r="I253" s="7">
        <f>IFERROR(IF(OR(PRECIOS!I253="",PRECIOS!I252=""),"",PRECIOS!I253/PRECIOS!I252-1),"")</f>
        <v>0.002153055602</v>
      </c>
    </row>
    <row r="254" ht="15.75" customHeight="1">
      <c r="A254" s="4">
        <f>IF(PRECIOS!A254="","",PRECIOS!A254)</f>
        <v>44778</v>
      </c>
      <c r="B254" s="7">
        <f>IFERROR(IF(OR(PRECIOS!B254="",PRECIOS!B253=""),"",PRECIOS!B254/PRECIOS!B253-1),"")</f>
        <v>0.01445108298</v>
      </c>
      <c r="C254" s="7">
        <f>IFERROR(IF(OR(PRECIOS!C254="",PRECIOS!C253=""),"",PRECIOS!C254/PRECIOS!C253-1),"")</f>
        <v>-0.008977533937</v>
      </c>
      <c r="D254" s="7">
        <f>IFERROR(IF(OR(PRECIOS!D254="",PRECIOS!D253=""),"",PRECIOS!D254/PRECIOS!D253-1),"")</f>
        <v>-0.03981055802</v>
      </c>
      <c r="E254" s="7">
        <f>IFERROR(IF(OR(PRECIOS!E254="",PRECIOS!E253=""),"",PRECIOS!E254/PRECIOS!E253-1),"")</f>
        <v>-0.0004009623095</v>
      </c>
      <c r="F254" s="7">
        <f>IFERROR(IF(OR(PRECIOS!F254="",PRECIOS!F253=""),"",PRECIOS!F254/PRECIOS!F253-1),"")</f>
        <v>0.02459016393</v>
      </c>
      <c r="G254" s="7">
        <f>IFERROR(IF(OR(PRECIOS!G254="",PRECIOS!G253=""),"",PRECIOS!G254/PRECIOS!G253-1),"")</f>
        <v>0.009715042564</v>
      </c>
      <c r="H254" s="7">
        <f>IFERROR(IF(OR(PRECIOS!H254="",PRECIOS!H253=""),"",PRECIOS!H254/PRECIOS!H253-1),"")</f>
        <v>0.0198182564</v>
      </c>
      <c r="I254" s="7">
        <f>IFERROR(IF(OR(PRECIOS!I254="",PRECIOS!I253=""),"",PRECIOS!I254/PRECIOS!I253-1),"")</f>
        <v>-0.003624541703</v>
      </c>
    </row>
    <row r="255" ht="15.75" customHeight="1">
      <c r="A255" s="4">
        <f>IF(PRECIOS!A255="","",PRECIOS!A255)</f>
        <v>44781</v>
      </c>
      <c r="B255" s="7">
        <f>IFERROR(IF(OR(PRECIOS!B255="",PRECIOS!B254=""),"",PRECIOS!B255/PRECIOS!B254-1),"")</f>
        <v>0.005653670398</v>
      </c>
      <c r="C255" s="7">
        <f>IFERROR(IF(OR(PRECIOS!C255="",PRECIOS!C254=""),"",PRECIOS!C255/PRECIOS!C254-1),"")</f>
        <v>-0.001035712966</v>
      </c>
      <c r="D255" s="7">
        <f>IFERROR(IF(OR(PRECIOS!D255="",PRECIOS!D254=""),"",PRECIOS!D255/PRECIOS!D254-1),"")</f>
        <v>0.005283252502</v>
      </c>
      <c r="E255" s="7">
        <f>IFERROR(IF(OR(PRECIOS!E255="",PRECIOS!E254=""),"",PRECIOS!E255/PRECIOS!E254-1),"")</f>
        <v>-0.004840672527</v>
      </c>
      <c r="F255" s="7">
        <f>IFERROR(IF(OR(PRECIOS!F255="",PRECIOS!F254=""),"",PRECIOS!F255/PRECIOS!F254-1),"")</f>
        <v>0.06666666667</v>
      </c>
      <c r="G255" s="7">
        <f>IFERROR(IF(OR(PRECIOS!G255="",PRECIOS!G254=""),"",PRECIOS!G255/PRECIOS!G254-1),"")</f>
        <v>0.007138172348</v>
      </c>
      <c r="H255" s="7">
        <f>IFERROR(IF(OR(PRECIOS!H255="",PRECIOS!H254=""),"",PRECIOS!H255/PRECIOS!H254-1),"")</f>
        <v>0.005194748941</v>
      </c>
      <c r="I255" s="7">
        <f>IFERROR(IF(OR(PRECIOS!I255="",PRECIOS!I254=""),"",PRECIOS!I255/PRECIOS!I254-1),"")</f>
        <v>0.001481481481</v>
      </c>
    </row>
    <row r="256" ht="15.75" customHeight="1">
      <c r="A256" s="4">
        <f>IF(PRECIOS!A256="","",PRECIOS!A256)</f>
        <v>44782</v>
      </c>
      <c r="B256" s="7">
        <f>IFERROR(IF(OR(PRECIOS!B256="",PRECIOS!B255=""),"",PRECIOS!B256/PRECIOS!B255-1),"")</f>
        <v>0.01843676551</v>
      </c>
      <c r="C256" s="7">
        <f>IFERROR(IF(OR(PRECIOS!C256="",PRECIOS!C255=""),"",PRECIOS!C256/PRECIOS!C255-1),"")</f>
        <v>0.01373181166</v>
      </c>
      <c r="D256" s="7">
        <f>IFERROR(IF(OR(PRECIOS!D256="",PRECIOS!D255=""),"",PRECIOS!D256/PRECIOS!D255-1),"")</f>
        <v>0.002430662479</v>
      </c>
      <c r="E256" s="7">
        <f>IFERROR(IF(OR(PRECIOS!E256="",PRECIOS!E255=""),"",PRECIOS!E256/PRECIOS!E255-1),"")</f>
        <v>-0.01028181042</v>
      </c>
      <c r="F256" s="7">
        <f>IFERROR(IF(OR(PRECIOS!F256="",PRECIOS!F255=""),"",PRECIOS!F256/PRECIOS!F255-1),"")</f>
        <v>-0.0225</v>
      </c>
      <c r="G256" s="7">
        <f>IFERROR(IF(OR(PRECIOS!G256="",PRECIOS!G255=""),"",PRECIOS!G256/PRECIOS!G255-1),"")</f>
        <v>0.01170936496</v>
      </c>
      <c r="H256" s="7">
        <f>IFERROR(IF(OR(PRECIOS!H256="",PRECIOS!H255=""),"",PRECIOS!H256/PRECIOS!H255-1),"")</f>
        <v>0.01756286743</v>
      </c>
      <c r="I256" s="7">
        <f>IFERROR(IF(OR(PRECIOS!I256="",PRECIOS!I255=""),"",PRECIOS!I256/PRECIOS!I255-1),"")</f>
        <v>0.01116654289</v>
      </c>
    </row>
    <row r="257" ht="15.75" customHeight="1">
      <c r="A257" s="4">
        <f>IF(PRECIOS!A257="","",PRECIOS!A257)</f>
        <v>44783</v>
      </c>
      <c r="B257" s="7">
        <f>IFERROR(IF(OR(PRECIOS!B257="",PRECIOS!B256=""),"",PRECIOS!B257/PRECIOS!B256-1),"")</f>
        <v>0.009493066432</v>
      </c>
      <c r="C257" s="7">
        <f>IFERROR(IF(OR(PRECIOS!C257="",PRECIOS!C256=""),"",PRECIOS!C257/PRECIOS!C256-1),"")</f>
        <v>0.0005120227635</v>
      </c>
      <c r="D257" s="7">
        <f>IFERROR(IF(OR(PRECIOS!D257="",PRECIOS!D256=""),"",PRECIOS!D257/PRECIOS!D256-1),"")</f>
        <v>0.01532273589</v>
      </c>
      <c r="E257" s="7">
        <f>IFERROR(IF(OR(PRECIOS!E257="",PRECIOS!E256=""),"",PRECIOS!E257/PRECIOS!E256-1),"")</f>
        <v>0.02001104438</v>
      </c>
      <c r="F257" s="7">
        <f>IFERROR(IF(OR(PRECIOS!F257="",PRECIOS!F256=""),"",PRECIOS!F257/PRECIOS!F256-1),"")</f>
        <v>0</v>
      </c>
      <c r="G257" s="7">
        <f>IFERROR(IF(OR(PRECIOS!G257="",PRECIOS!G256=""),"",PRECIOS!G257/PRECIOS!G256-1),"")</f>
        <v>0.005786921308</v>
      </c>
      <c r="H257" s="7">
        <f>IFERROR(IF(OR(PRECIOS!H257="",PRECIOS!H256=""),"",PRECIOS!H257/PRECIOS!H256-1),"")</f>
        <v>0.007220293046</v>
      </c>
      <c r="I257" s="7">
        <f>IFERROR(IF(OR(PRECIOS!I257="",PRECIOS!I256=""),"",PRECIOS!I257/PRECIOS!I256-1),"")</f>
        <v>0.004388861413</v>
      </c>
    </row>
    <row r="258" ht="15.75" customHeight="1">
      <c r="A258" s="4">
        <f>IF(PRECIOS!A258="","",PRECIOS!A258)</f>
        <v>44784</v>
      </c>
      <c r="B258" s="7">
        <f>IFERROR(IF(OR(PRECIOS!B258="",PRECIOS!B257=""),"",PRECIOS!B258/PRECIOS!B257-1),"")</f>
        <v>0.02892816319</v>
      </c>
      <c r="C258" s="7">
        <f>IFERROR(IF(OR(PRECIOS!C258="",PRECIOS!C257=""),"",PRECIOS!C258/PRECIOS!C257-1),"")</f>
        <v>-0.004980877338</v>
      </c>
      <c r="D258" s="7">
        <f>IFERROR(IF(OR(PRECIOS!D258="",PRECIOS!D257=""),"",PRECIOS!D258/PRECIOS!D257-1),"")</f>
        <v>0.006757083844</v>
      </c>
      <c r="E258" s="7">
        <f>IFERROR(IF(OR(PRECIOS!E258="",PRECIOS!E257=""),"",PRECIOS!E258/PRECIOS!E257-1),"")</f>
        <v>0.006198864444</v>
      </c>
      <c r="F258" s="7">
        <f>IFERROR(IF(OR(PRECIOS!F258="",PRECIOS!F257=""),"",PRECIOS!F258/PRECIOS!F257-1),"")</f>
        <v>0.04603580563</v>
      </c>
      <c r="G258" s="7">
        <f>IFERROR(IF(OR(PRECIOS!G258="",PRECIOS!G257=""),"",PRECIOS!G258/PRECIOS!G257-1),"")</f>
        <v>0.02786407526</v>
      </c>
      <c r="H258" s="7">
        <f>IFERROR(IF(OR(PRECIOS!H258="",PRECIOS!H257=""),"",PRECIOS!H258/PRECIOS!H257-1),"")</f>
        <v>0.03440716193</v>
      </c>
      <c r="I258" s="7">
        <f>IFERROR(IF(OR(PRECIOS!I258="",PRECIOS!I257=""),"",PRECIOS!I258/PRECIOS!I257-1),"")</f>
        <v>-0.0001297341923</v>
      </c>
    </row>
    <row r="259" ht="15.75" customHeight="1">
      <c r="A259" s="4">
        <f>IF(PRECIOS!A259="","",PRECIOS!A259)</f>
        <v>44785</v>
      </c>
      <c r="B259" s="7">
        <f>IFERROR(IF(OR(PRECIOS!B259="",PRECIOS!B258=""),"",PRECIOS!B259/PRECIOS!B258-1),"")</f>
        <v>0.008691579282</v>
      </c>
      <c r="C259" s="7">
        <f>IFERROR(IF(OR(PRECIOS!C259="",PRECIOS!C258=""),"",PRECIOS!C259/PRECIOS!C258-1),"")</f>
        <v>0.01165405072</v>
      </c>
      <c r="D259" s="7">
        <f>IFERROR(IF(OR(PRECIOS!D259="",PRECIOS!D258=""),"",PRECIOS!D259/PRECIOS!D258-1),"")</f>
        <v>0.02130924857</v>
      </c>
      <c r="E259" s="7">
        <f>IFERROR(IF(OR(PRECIOS!E259="",PRECIOS!E258=""),"",PRECIOS!E259/PRECIOS!E258-1),"")</f>
        <v>0.02000201769</v>
      </c>
      <c r="F259" s="7">
        <f>IFERROR(IF(OR(PRECIOS!F259="",PRECIOS!F258=""),"",PRECIOS!F259/PRECIOS!F258-1),"")</f>
        <v>0.0782396088</v>
      </c>
      <c r="G259" s="7">
        <f>IFERROR(IF(OR(PRECIOS!G259="",PRECIOS!G258=""),"",PRECIOS!G259/PRECIOS!G258-1),"")</f>
        <v>0.006480219312</v>
      </c>
      <c r="H259" s="7">
        <f>IFERROR(IF(OR(PRECIOS!H259="",PRECIOS!H258=""),"",PRECIOS!H259/PRECIOS!H258-1),"")</f>
        <v>0.007571710603</v>
      </c>
      <c r="I259" s="7">
        <f>IFERROR(IF(OR(PRECIOS!I259="",PRECIOS!I258=""),"",PRECIOS!I259/PRECIOS!I258-1),"")</f>
        <v>0.01628965147</v>
      </c>
    </row>
    <row r="260" ht="15.75" customHeight="1">
      <c r="A260" s="4">
        <f>IF(PRECIOS!A260="","",PRECIOS!A260)</f>
        <v>44788</v>
      </c>
      <c r="B260" s="7">
        <f>IFERROR(IF(OR(PRECIOS!B260="",PRECIOS!B259=""),"",PRECIOS!B260/PRECIOS!B259-1),"")</f>
        <v>-0.01787252022</v>
      </c>
      <c r="C260" s="7">
        <f>IFERROR(IF(OR(PRECIOS!C260="",PRECIOS!C259=""),"",PRECIOS!C260/PRECIOS!C259-1),"")</f>
        <v>0.003200447079</v>
      </c>
      <c r="D260" s="7">
        <f>IFERROR(IF(OR(PRECIOS!D260="",PRECIOS!D259=""),"",PRECIOS!D260/PRECIOS!D259-1),"")</f>
        <v>0.003480055398</v>
      </c>
      <c r="E260" s="7">
        <f>IFERROR(IF(OR(PRECIOS!E260="",PRECIOS!E259=""),"",PRECIOS!E260/PRECIOS!E259-1),"")</f>
        <v>-0.0001252810582</v>
      </c>
      <c r="F260" s="7">
        <f>IFERROR(IF(OR(PRECIOS!F260="",PRECIOS!F259=""),"",PRECIOS!F260/PRECIOS!F259-1),"")</f>
        <v>0.05215419501</v>
      </c>
      <c r="G260" s="7">
        <f>IFERROR(IF(OR(PRECIOS!G260="",PRECIOS!G259=""),"",PRECIOS!G260/PRECIOS!G259-1),"")</f>
        <v>-0.01551365328</v>
      </c>
      <c r="H260" s="7">
        <f>IFERROR(IF(OR(PRECIOS!H260="",PRECIOS!H259=""),"",PRECIOS!H260/PRECIOS!H259-1),"")</f>
        <v>-0.01949586224</v>
      </c>
      <c r="I260" s="7">
        <f>IFERROR(IF(OR(PRECIOS!I260="",PRECIOS!I259=""),"",PRECIOS!I260/PRECIOS!I259-1),"")</f>
        <v>0.008345060716</v>
      </c>
    </row>
    <row r="261" ht="15.75" customHeight="1">
      <c r="A261" s="4">
        <f>IF(PRECIOS!A261="","",PRECIOS!A261)</f>
        <v>44789</v>
      </c>
      <c r="B261" s="7">
        <f>IFERROR(IF(OR(PRECIOS!B261="",PRECIOS!B260=""),"",PRECIOS!B261/PRECIOS!B260-1),"")</f>
        <v>-0.009315078066</v>
      </c>
      <c r="C261" s="7">
        <f>IFERROR(IF(OR(PRECIOS!C261="",PRECIOS!C260=""),"",PRECIOS!C261/PRECIOS!C260-1),"")</f>
        <v>0.008932405405</v>
      </c>
      <c r="D261" s="7">
        <f>IFERROR(IF(OR(PRECIOS!D261="",PRECIOS!D260=""),"",PRECIOS!D261/PRECIOS!D260-1),"")</f>
        <v>-0.005391604892</v>
      </c>
      <c r="E261" s="7">
        <f>IFERROR(IF(OR(PRECIOS!E261="",PRECIOS!E260=""),"",PRECIOS!E261/PRECIOS!E260-1),"")</f>
        <v>0.004457926668</v>
      </c>
      <c r="F261" s="7">
        <f>IFERROR(IF(OR(PRECIOS!F261="",PRECIOS!F260=""),"",PRECIOS!F261/PRECIOS!F260-1),"")</f>
        <v>-0.006465517241</v>
      </c>
      <c r="G261" s="7">
        <f>IFERROR(IF(OR(PRECIOS!G261="",PRECIOS!G260=""),"",PRECIOS!G261/PRECIOS!G260-1),"")</f>
        <v>0.02051666865</v>
      </c>
      <c r="H261" s="7">
        <f>IFERROR(IF(OR(PRECIOS!H261="",PRECIOS!H260=""),"",PRECIOS!H261/PRECIOS!H260-1),"")</f>
        <v>-0.00234217502</v>
      </c>
      <c r="I261" s="7">
        <f>IFERROR(IF(OR(PRECIOS!I261="",PRECIOS!I260=""),"",PRECIOS!I261/PRECIOS!I260-1),"")</f>
        <v>0.002840197864</v>
      </c>
    </row>
    <row r="262" ht="15.75" customHeight="1">
      <c r="A262" s="4">
        <f>IF(PRECIOS!A262="","",PRECIOS!A262)</f>
        <v>44790</v>
      </c>
      <c r="B262" s="7">
        <f>IFERROR(IF(OR(PRECIOS!B262="",PRECIOS!B261=""),"",PRECIOS!B262/PRECIOS!B261-1),"")</f>
        <v>0.008091075019</v>
      </c>
      <c r="C262" s="7">
        <f>IFERROR(IF(OR(PRECIOS!C262="",PRECIOS!C261=""),"",PRECIOS!C262/PRECIOS!C261-1),"")</f>
        <v>0.002276276875</v>
      </c>
      <c r="D262" s="7">
        <f>IFERROR(IF(OR(PRECIOS!D262="",PRECIOS!D261=""),"",PRECIOS!D262/PRECIOS!D261-1),"")</f>
        <v>-0.0116160683</v>
      </c>
      <c r="E262" s="7">
        <f>IFERROR(IF(OR(PRECIOS!E262="",PRECIOS!E261=""),"",PRECIOS!E262/PRECIOS!E261-1),"")</f>
        <v>-0.007248089498</v>
      </c>
      <c r="F262" s="7">
        <f>IFERROR(IF(OR(PRECIOS!F262="",PRECIOS!F261=""),"",PRECIOS!F262/PRECIOS!F261-1),"")</f>
        <v>0.006507592191</v>
      </c>
      <c r="G262" s="7">
        <f>IFERROR(IF(OR(PRECIOS!G262="",PRECIOS!G261=""),"",PRECIOS!G262/PRECIOS!G261-1),"")</f>
        <v>-0.0005828603198</v>
      </c>
      <c r="H262" s="7">
        <f>IFERROR(IF(OR(PRECIOS!H262="",PRECIOS!H261=""),"",PRECIOS!H262/PRECIOS!H261-1),"")</f>
        <v>0.008339101875</v>
      </c>
      <c r="I262" s="7">
        <f>IFERROR(IF(OR(PRECIOS!I262="",PRECIOS!I261=""),"",PRECIOS!I262/PRECIOS!I261-1),"")</f>
        <v>-0.001672893388</v>
      </c>
    </row>
    <row r="263" ht="15.75" customHeight="1">
      <c r="A263" s="4">
        <f>IF(PRECIOS!A263="","",PRECIOS!A263)</f>
        <v>44791</v>
      </c>
      <c r="B263" s="7">
        <f>IFERROR(IF(OR(PRECIOS!B263="",PRECIOS!B262=""),"",PRECIOS!B263/PRECIOS!B262-1),"")</f>
        <v>0.0236443529</v>
      </c>
      <c r="C263" s="7">
        <f>IFERROR(IF(OR(PRECIOS!C263="",PRECIOS!C262=""),"",PRECIOS!C263/PRECIOS!C262-1),"")</f>
        <v>0.005930892541</v>
      </c>
      <c r="D263" s="7">
        <f>IFERROR(IF(OR(PRECIOS!D263="",PRECIOS!D262=""),"",PRECIOS!D263/PRECIOS!D262-1),"")</f>
        <v>0.01214235147</v>
      </c>
      <c r="E263" s="7">
        <f>IFERROR(IF(OR(PRECIOS!E263="",PRECIOS!E262=""),"",PRECIOS!E263/PRECIOS!E262-1),"")</f>
        <v>0.008947702563</v>
      </c>
      <c r="F263" s="7">
        <f>IFERROR(IF(OR(PRECIOS!F263="",PRECIOS!F262=""),"",PRECIOS!F263/PRECIOS!F262-1),"")</f>
        <v>0.04525862069</v>
      </c>
      <c r="G263" s="7">
        <f>IFERROR(IF(OR(PRECIOS!G263="",PRECIOS!G262=""),"",PRECIOS!G263/PRECIOS!G262-1),"")</f>
        <v>0.02740442993</v>
      </c>
      <c r="H263" s="7">
        <f>IFERROR(IF(OR(PRECIOS!H263="",PRECIOS!H262=""),"",PRECIOS!H263/PRECIOS!H262-1),"")</f>
        <v>0.02687283095</v>
      </c>
      <c r="I263" s="7">
        <f>IFERROR(IF(OR(PRECIOS!I263="",PRECIOS!I262=""),"",PRECIOS!I263/PRECIOS!I262-1),"")</f>
        <v>0.003745167642</v>
      </c>
    </row>
    <row r="264" ht="15.75" customHeight="1">
      <c r="A264" s="4">
        <f>IF(PRECIOS!A264="","",PRECIOS!A264)</f>
        <v>44792</v>
      </c>
      <c r="B264" s="7">
        <f>IFERROR(IF(OR(PRECIOS!B264="",PRECIOS!B263=""),"",PRECIOS!B264/PRECIOS!B263-1),"")</f>
        <v>-0.003178594049</v>
      </c>
      <c r="C264" s="7">
        <f>IFERROR(IF(OR(PRECIOS!C264="",PRECIOS!C263=""),"",PRECIOS!C264/PRECIOS!C263-1),"")</f>
        <v>0.005519427014</v>
      </c>
      <c r="D264" s="7">
        <f>IFERROR(IF(OR(PRECIOS!D264="",PRECIOS!D263=""),"",PRECIOS!D264/PRECIOS!D263-1),"")</f>
        <v>-0.0228302428</v>
      </c>
      <c r="E264" s="7">
        <f>IFERROR(IF(OR(PRECIOS!E264="",PRECIOS!E263=""),"",PRECIOS!E264/PRECIOS!E263-1),"")</f>
        <v>-0.01636679448</v>
      </c>
      <c r="F264" s="7">
        <f>IFERROR(IF(OR(PRECIOS!F264="",PRECIOS!F263=""),"",PRECIOS!F264/PRECIOS!F263-1),"")</f>
        <v>-0.0412371134</v>
      </c>
      <c r="G264" s="7">
        <f>IFERROR(IF(OR(PRECIOS!G264="",PRECIOS!G263=""),"",PRECIOS!G264/PRECIOS!G263-1),"")</f>
        <v>-0.008794119787</v>
      </c>
      <c r="H264" s="7">
        <f>IFERROR(IF(OR(PRECIOS!H264="",PRECIOS!H263=""),"",PRECIOS!H264/PRECIOS!H263-1),"")</f>
        <v>-0.0002531897643</v>
      </c>
      <c r="I264" s="7">
        <f>IFERROR(IF(OR(PRECIOS!I264="",PRECIOS!I263=""),"",PRECIOS!I264/PRECIOS!I263-1),"")</f>
        <v>-0.0005183008894</v>
      </c>
    </row>
    <row r="265" ht="15.75" customHeight="1">
      <c r="A265" s="4">
        <f>IF(PRECIOS!A265="","",PRECIOS!A265)</f>
        <v>44795</v>
      </c>
      <c r="B265" s="7">
        <f>IFERROR(IF(OR(PRECIOS!B265="",PRECIOS!B264=""),"",PRECIOS!B265/PRECIOS!B264-1),"")</f>
        <v>-0.0007446798252</v>
      </c>
      <c r="C265" s="7">
        <f>IFERROR(IF(OR(PRECIOS!C265="",PRECIOS!C264=""),"",PRECIOS!C265/PRECIOS!C264-1),"")</f>
        <v>-0.01309877409</v>
      </c>
      <c r="D265" s="7">
        <f>IFERROR(IF(OR(PRECIOS!D265="",PRECIOS!D264=""),"",PRECIOS!D265/PRECIOS!D264-1),"")</f>
        <v>-0.02059699932</v>
      </c>
      <c r="E265" s="7">
        <f>IFERROR(IF(OR(PRECIOS!E265="",PRECIOS!E264=""),"",PRECIOS!E265/PRECIOS!E264-1),"")</f>
        <v>-0.02711437482</v>
      </c>
      <c r="F265" s="7">
        <f>IFERROR(IF(OR(PRECIOS!F265="",PRECIOS!F264=""),"",PRECIOS!F265/PRECIOS!F264-1),"")</f>
        <v>0.02580645161</v>
      </c>
      <c r="G265" s="7">
        <f>IFERROR(IF(OR(PRECIOS!G265="",PRECIOS!G264=""),"",PRECIOS!G265/PRECIOS!G264-1),"")</f>
        <v>-0.006872165966</v>
      </c>
      <c r="H265" s="7">
        <f>IFERROR(IF(OR(PRECIOS!H265="",PRECIOS!H264=""),"",PRECIOS!H265/PRECIOS!H264-1),"")</f>
        <v>-0.001883753621</v>
      </c>
      <c r="I265" s="7">
        <f>IFERROR(IF(OR(PRECIOS!I265="",PRECIOS!I264=""),"",PRECIOS!I265/PRECIOS!I264-1),"")</f>
        <v>-0.01363752267</v>
      </c>
    </row>
    <row r="266" ht="15.75" customHeight="1">
      <c r="A266" s="4">
        <f>IF(PRECIOS!A266="","",PRECIOS!A266)</f>
        <v>44796</v>
      </c>
      <c r="B266" s="7">
        <f>IFERROR(IF(OR(PRECIOS!B266="",PRECIOS!B265=""),"",PRECIOS!B266/PRECIOS!B265-1),"")</f>
        <v>0.04244299758</v>
      </c>
      <c r="C266" s="7">
        <f>IFERROR(IF(OR(PRECIOS!C266="",PRECIOS!C265=""),"",PRECIOS!C266/PRECIOS!C265-1),"")</f>
        <v>-0.004045660911</v>
      </c>
      <c r="D266" s="7">
        <f>IFERROR(IF(OR(PRECIOS!D266="",PRECIOS!D265=""),"",PRECIOS!D266/PRECIOS!D265-1),"")</f>
        <v>-0.01051097288</v>
      </c>
      <c r="E266" s="7">
        <f>IFERROR(IF(OR(PRECIOS!E266="",PRECIOS!E265=""),"",PRECIOS!E266/PRECIOS!E265-1),"")</f>
        <v>-0.003000020548</v>
      </c>
      <c r="F266" s="7">
        <f>IFERROR(IF(OR(PRECIOS!F266="",PRECIOS!F265=""),"",PRECIOS!F266/PRECIOS!F265-1),"")</f>
        <v>0.08385744235</v>
      </c>
      <c r="G266" s="7">
        <f>IFERROR(IF(OR(PRECIOS!G266="",PRECIOS!G265=""),"",PRECIOS!G266/PRECIOS!G265-1),"")</f>
        <v>0.01239339492</v>
      </c>
      <c r="H266" s="7">
        <f>IFERROR(IF(OR(PRECIOS!H266="",PRECIOS!H265=""),"",PRECIOS!H266/PRECIOS!H265-1),"")</f>
        <v>0.03605843245</v>
      </c>
      <c r="I266" s="7">
        <f>IFERROR(IF(OR(PRECIOS!I266="",PRECIOS!I265=""),"",PRECIOS!I266/PRECIOS!I265-1),"")</f>
        <v>-0.006000981768</v>
      </c>
    </row>
    <row r="267" ht="15.75" customHeight="1">
      <c r="A267" s="4">
        <f>IF(PRECIOS!A267="","",PRECIOS!A267)</f>
        <v>44797</v>
      </c>
      <c r="B267" s="7">
        <f>IFERROR(IF(OR(PRECIOS!B267="",PRECIOS!B266=""),"",PRECIOS!B267/PRECIOS!B266-1),"")</f>
        <v>0.005917664945</v>
      </c>
      <c r="C267" s="7">
        <f>IFERROR(IF(OR(PRECIOS!C267="",PRECIOS!C266=""),"",PRECIOS!C267/PRECIOS!C266-1),"")</f>
        <v>0.00101584435</v>
      </c>
      <c r="D267" s="7">
        <f>IFERROR(IF(OR(PRECIOS!D267="",PRECIOS!D266=""),"",PRECIOS!D267/PRECIOS!D266-1),"")</f>
        <v>0.02942384697</v>
      </c>
      <c r="E267" s="7">
        <f>IFERROR(IF(OR(PRECIOS!E267="",PRECIOS!E266=""),"",PRECIOS!E267/PRECIOS!E266-1),"")</f>
        <v>-0.005399798023</v>
      </c>
      <c r="F267" s="7">
        <f>IFERROR(IF(OR(PRECIOS!F267="",PRECIOS!F266=""),"",PRECIOS!F267/PRECIOS!F266-1),"")</f>
        <v>0.0251450677</v>
      </c>
      <c r="G267" s="7">
        <f>IFERROR(IF(OR(PRECIOS!G267="",PRECIOS!G266=""),"",PRECIOS!G267/PRECIOS!G266-1),"")</f>
        <v>0.01310043668</v>
      </c>
      <c r="H267" s="7">
        <f>IFERROR(IF(OR(PRECIOS!H267="",PRECIOS!H266=""),"",PRECIOS!H267/PRECIOS!H266-1),"")</f>
        <v>0.01229183406</v>
      </c>
      <c r="I267" s="7">
        <f>IFERROR(IF(OR(PRECIOS!I267="",PRECIOS!I266=""),"",PRECIOS!I267/PRECIOS!I266-1),"")</f>
        <v>0.003147181125</v>
      </c>
    </row>
    <row r="268" ht="15.75" customHeight="1">
      <c r="A268" s="4">
        <f>IF(PRECIOS!A268="","",PRECIOS!A268)</f>
        <v>44798</v>
      </c>
      <c r="B268" s="7">
        <f>IFERROR(IF(OR(PRECIOS!B268="",PRECIOS!B267=""),"",PRECIOS!B268/PRECIOS!B267-1),"")</f>
        <v>0.005174210345</v>
      </c>
      <c r="C268" s="7">
        <f>IFERROR(IF(OR(PRECIOS!C268="",PRECIOS!C267=""),"",PRECIOS!C268/PRECIOS!C267-1),"")</f>
        <v>0.003170010725</v>
      </c>
      <c r="D268" s="7">
        <f>IFERROR(IF(OR(PRECIOS!D268="",PRECIOS!D267=""),"",PRECIOS!D268/PRECIOS!D267-1),"")</f>
        <v>0.01825979701</v>
      </c>
      <c r="E268" s="7">
        <f>IFERROR(IF(OR(PRECIOS!E268="",PRECIOS!E267=""),"",PRECIOS!E268/PRECIOS!E267-1),"")</f>
        <v>0.01738559834</v>
      </c>
      <c r="F268" s="7">
        <f>IFERROR(IF(OR(PRECIOS!F268="",PRECIOS!F267=""),"",PRECIOS!F268/PRECIOS!F267-1),"")</f>
        <v>0.05283018868</v>
      </c>
      <c r="G268" s="7">
        <f>IFERROR(IF(OR(PRECIOS!G268="",PRECIOS!G267=""),"",PRECIOS!G268/PRECIOS!G267-1),"")</f>
        <v>0.0005622188906</v>
      </c>
      <c r="H268" s="7">
        <f>IFERROR(IF(OR(PRECIOS!H268="",PRECIOS!H267=""),"",PRECIOS!H268/PRECIOS!H267-1),"")</f>
        <v>0.007695465085</v>
      </c>
      <c r="I268" s="7">
        <f>IFERROR(IF(OR(PRECIOS!I268="",PRECIOS!I267=""),"",PRECIOS!I268/PRECIOS!I267-1),"")</f>
        <v>0.006155181655</v>
      </c>
    </row>
    <row r="269" ht="15.75" customHeight="1">
      <c r="A269" s="4">
        <f>IF(PRECIOS!A269="","",PRECIOS!A269)</f>
        <v>44799</v>
      </c>
      <c r="B269" s="7">
        <f>IFERROR(IF(OR(PRECIOS!B269="",PRECIOS!B268=""),"",PRECIOS!B269/PRECIOS!B268-1),"")</f>
        <v>-0.01231247209</v>
      </c>
      <c r="C269" s="7">
        <f>IFERROR(IF(OR(PRECIOS!C269="",PRECIOS!C268=""),"",PRECIOS!C269/PRECIOS!C268-1),"")</f>
        <v>-0.01162836739</v>
      </c>
      <c r="D269" s="7">
        <f>IFERROR(IF(OR(PRECIOS!D269="",PRECIOS!D268=""),"",PRECIOS!D269/PRECIOS!D268-1),"")</f>
        <v>-0.02807027267</v>
      </c>
      <c r="E269" s="7">
        <f>IFERROR(IF(OR(PRECIOS!E269="",PRECIOS!E268=""),"",PRECIOS!E269/PRECIOS!E268-1),"")</f>
        <v>-0.04707655541</v>
      </c>
      <c r="F269" s="7">
        <f>IFERROR(IF(OR(PRECIOS!F269="",PRECIOS!F268=""),"",PRECIOS!F269/PRECIOS!F268-1),"")</f>
        <v>-0.01254480287</v>
      </c>
      <c r="G269" s="7">
        <f>IFERROR(IF(OR(PRECIOS!G269="",PRECIOS!G268=""),"",PRECIOS!G269/PRECIOS!G268-1),"")</f>
        <v>-0.0160127941</v>
      </c>
      <c r="H269" s="7">
        <f>IFERROR(IF(OR(PRECIOS!H269="",PRECIOS!H268=""),"",PRECIOS!H269/PRECIOS!H268-1),"")</f>
        <v>-0.01169107928</v>
      </c>
      <c r="I269" s="7">
        <f>IFERROR(IF(OR(PRECIOS!I269="",PRECIOS!I268=""),"",PRECIOS!I269/PRECIOS!I268-1),"")</f>
        <v>-0.01535316921</v>
      </c>
    </row>
    <row r="270" ht="15.75" customHeight="1">
      <c r="A270" s="4">
        <f>IF(PRECIOS!A270="","",PRECIOS!A270)</f>
        <v>44802</v>
      </c>
      <c r="B270" s="7">
        <f>IFERROR(IF(OR(PRECIOS!B270="",PRECIOS!B269=""),"",PRECIOS!B270/PRECIOS!B269-1),"")</f>
        <v>0.02298935815</v>
      </c>
      <c r="C270" s="7">
        <f>IFERROR(IF(OR(PRECIOS!C270="",PRECIOS!C269=""),"",PRECIOS!C270/PRECIOS!C269-1),"")</f>
        <v>0.006138465694</v>
      </c>
      <c r="D270" s="7">
        <f>IFERROR(IF(OR(PRECIOS!D270="",PRECIOS!D269=""),"",PRECIOS!D270/PRECIOS!D269-1),"")</f>
        <v>-0.007620405254</v>
      </c>
      <c r="E270" s="7">
        <f>IFERROR(IF(OR(PRECIOS!E270="",PRECIOS!E269=""),"",PRECIOS!E270/PRECIOS!E269-1),"")</f>
        <v>-0.00262186694</v>
      </c>
      <c r="F270" s="7">
        <f>IFERROR(IF(OR(PRECIOS!F270="",PRECIOS!F269=""),"",PRECIOS!F270/PRECIOS!F269-1),"")</f>
        <v>0.06715063521</v>
      </c>
      <c r="G270" s="7">
        <f>IFERROR(IF(OR(PRECIOS!G270="",PRECIOS!G269=""),"",PRECIOS!G270/PRECIOS!G269-1),"")</f>
        <v>0.005994529662</v>
      </c>
      <c r="H270" s="7">
        <f>IFERROR(IF(OR(PRECIOS!H270="",PRECIOS!H269=""),"",PRECIOS!H270/PRECIOS!H269-1),"")</f>
        <v>0.01508832456</v>
      </c>
      <c r="I270" s="7">
        <f>IFERROR(IF(OR(PRECIOS!I270="",PRECIOS!I269=""),"",PRECIOS!I270/PRECIOS!I269-1),"")</f>
        <v>0.003040300149</v>
      </c>
    </row>
    <row r="271" ht="15.75" customHeight="1">
      <c r="A271" s="4">
        <f>IF(PRECIOS!A271="","",PRECIOS!A271)</f>
        <v>44803</v>
      </c>
      <c r="B271" s="7">
        <f>IFERROR(IF(OR(PRECIOS!B271="",PRECIOS!B270=""),"",PRECIOS!B271/PRECIOS!B270-1),"")</f>
        <v>-0.03805361235</v>
      </c>
      <c r="C271" s="7">
        <f>IFERROR(IF(OR(PRECIOS!C271="",PRECIOS!C270=""),"",PRECIOS!C271/PRECIOS!C270-1),"")</f>
        <v>-0.01398095713</v>
      </c>
      <c r="D271" s="7">
        <f>IFERROR(IF(OR(PRECIOS!D271="",PRECIOS!D270=""),"",PRECIOS!D271/PRECIOS!D270-1),"")</f>
        <v>-0.02263865974</v>
      </c>
      <c r="E271" s="7">
        <f>IFERROR(IF(OR(PRECIOS!E271="",PRECIOS!E270=""),"",PRECIOS!E271/PRECIOS!E270-1),"")</f>
        <v>-0.01045074648</v>
      </c>
      <c r="F271" s="7">
        <f>IFERROR(IF(OR(PRECIOS!F271="",PRECIOS!F270=""),"",PRECIOS!F271/PRECIOS!F270-1),"")</f>
        <v>-0.06292517007</v>
      </c>
      <c r="G271" s="7">
        <f>IFERROR(IF(OR(PRECIOS!G271="",PRECIOS!G270=""),"",PRECIOS!G271/PRECIOS!G270-1),"")</f>
        <v>-0.02610581472</v>
      </c>
      <c r="H271" s="7">
        <f>IFERROR(IF(OR(PRECIOS!H271="",PRECIOS!H270=""),"",PRECIOS!H271/PRECIOS!H270-1),"")</f>
        <v>-0.03389315522</v>
      </c>
      <c r="I271" s="7">
        <f>IFERROR(IF(OR(PRECIOS!I271="",PRECIOS!I270=""),"",PRECIOS!I271/PRECIOS!I270-1),"")</f>
        <v>-0.01461897447</v>
      </c>
    </row>
    <row r="272" ht="15.75" customHeight="1">
      <c r="A272" s="4">
        <f>IF(PRECIOS!A272="","",PRECIOS!A272)</f>
        <v>44804</v>
      </c>
      <c r="B272" s="7">
        <f>IFERROR(IF(OR(PRECIOS!B272="",PRECIOS!B271=""),"",PRECIOS!B272/PRECIOS!B271-1),"")</f>
        <v>-0.007476379226</v>
      </c>
      <c r="C272" s="7">
        <f>IFERROR(IF(OR(PRECIOS!C272="",PRECIOS!C271=""),"",PRECIOS!C272/PRECIOS!C271-1),"")</f>
        <v>-0.006574405281</v>
      </c>
      <c r="D272" s="7">
        <f>IFERROR(IF(OR(PRECIOS!D272="",PRECIOS!D271=""),"",PRECIOS!D272/PRECIOS!D271-1),"")</f>
        <v>0.02357456601</v>
      </c>
      <c r="E272" s="7">
        <f>IFERROR(IF(OR(PRECIOS!E272="",PRECIOS!E271=""),"",PRECIOS!E272/PRECIOS!E271-1),"")</f>
        <v>-0.01867505974</v>
      </c>
      <c r="F272" s="7">
        <f>IFERROR(IF(OR(PRECIOS!F272="",PRECIOS!F271=""),"",PRECIOS!F272/PRECIOS!F271-1),"")</f>
        <v>-0.003629764065</v>
      </c>
      <c r="G272" s="7">
        <f>IFERROR(IF(OR(PRECIOS!G272="",PRECIOS!G271=""),"",PRECIOS!G272/PRECIOS!G271-1),"")</f>
        <v>-0.008449980123</v>
      </c>
      <c r="H272" s="7">
        <f>IFERROR(IF(OR(PRECIOS!H272="",PRECIOS!H271=""),"",PRECIOS!H272/PRECIOS!H271-1),"")</f>
        <v>-0.009109404702</v>
      </c>
      <c r="I272" s="7">
        <f>IFERROR(IF(OR(PRECIOS!I272="",PRECIOS!I271=""),"",PRECIOS!I272/PRECIOS!I271-1),"")</f>
        <v>-0.006547769564</v>
      </c>
    </row>
    <row r="273" ht="15.75" customHeight="1">
      <c r="A273" s="4">
        <f>IF(PRECIOS!A273="","",PRECIOS!A273)</f>
        <v>44805</v>
      </c>
      <c r="B273" s="7">
        <f>IFERROR(IF(OR(PRECIOS!B273="",PRECIOS!B272=""),"",PRECIOS!B273/PRECIOS!B272-1),"")</f>
        <v>-0.01799284167</v>
      </c>
      <c r="C273" s="7">
        <f>IFERROR(IF(OR(PRECIOS!C273="",PRECIOS!C272=""),"",PRECIOS!C273/PRECIOS!C272-1),"")</f>
        <v>0.02205796543</v>
      </c>
      <c r="D273" s="7">
        <f>IFERROR(IF(OR(PRECIOS!D273="",PRECIOS!D272=""),"",PRECIOS!D273/PRECIOS!D272-1),"")</f>
        <v>0.008484032952</v>
      </c>
      <c r="E273" s="7">
        <f>IFERROR(IF(OR(PRECIOS!E273="",PRECIOS!E272=""),"",PRECIOS!E273/PRECIOS!E272-1),"")</f>
        <v>0.01558775931</v>
      </c>
      <c r="F273" s="7">
        <f>IFERROR(IF(OR(PRECIOS!F273="",PRECIOS!F272=""),"",PRECIOS!F273/PRECIOS!F272-1),"")</f>
        <v>0.02367941712</v>
      </c>
      <c r="G273" s="7">
        <f>IFERROR(IF(OR(PRECIOS!G273="",PRECIOS!G272=""),"",PRECIOS!G273/PRECIOS!G272-1),"")</f>
        <v>-0.01322461038</v>
      </c>
      <c r="H273" s="7">
        <f>IFERROR(IF(OR(PRECIOS!H273="",PRECIOS!H272=""),"",PRECIOS!H273/PRECIOS!H272-1),"")</f>
        <v>-0.02459370945</v>
      </c>
      <c r="I273" s="7">
        <f>IFERROR(IF(OR(PRECIOS!I273="",PRECIOS!I272=""),"",PRECIOS!I273/PRECIOS!I272-1),"")</f>
        <v>0.01439163453</v>
      </c>
    </row>
    <row r="274" ht="15.75" customHeight="1">
      <c r="A274" s="4">
        <f>IF(PRECIOS!A274="","",PRECIOS!A274)</f>
        <v>44806</v>
      </c>
      <c r="B274" s="7">
        <f>IFERROR(IF(OR(PRECIOS!B274="",PRECIOS!B273=""),"",PRECIOS!B274/PRECIOS!B273-1),"")</f>
        <v>0.0183225158</v>
      </c>
      <c r="C274" s="7">
        <f>IFERROR(IF(OR(PRECIOS!C274="",PRECIOS!C273=""),"",PRECIOS!C274/PRECIOS!C273-1),"")</f>
        <v>-0.01142473722</v>
      </c>
      <c r="D274" s="7">
        <f>IFERROR(IF(OR(PRECIOS!D274="",PRECIOS!D273=""),"",PRECIOS!D274/PRECIOS!D273-1),"")</f>
        <v>0</v>
      </c>
      <c r="E274" s="7">
        <f>IFERROR(IF(OR(PRECIOS!E274="",PRECIOS!E273=""),"",PRECIOS!E274/PRECIOS!E273-1),"")</f>
        <v>-0.01058967543</v>
      </c>
      <c r="F274" s="7">
        <f>IFERROR(IF(OR(PRECIOS!F274="",PRECIOS!F273=""),"",PRECIOS!F274/PRECIOS!F273-1),"")</f>
        <v>0.03558718861</v>
      </c>
      <c r="G274" s="7">
        <f>IFERROR(IF(OR(PRECIOS!G274="",PRECIOS!G273=""),"",PRECIOS!G274/PRECIOS!G273-1),"")</f>
        <v>0.004169937955</v>
      </c>
      <c r="H274" s="7">
        <f>IFERROR(IF(OR(PRECIOS!H274="",PRECIOS!H273=""),"",PRECIOS!H274/PRECIOS!H273-1),"")</f>
        <v>0.01833443718</v>
      </c>
      <c r="I274" s="7">
        <f>IFERROR(IF(OR(PRECIOS!I274="",PRECIOS!I273=""),"",PRECIOS!I274/PRECIOS!I273-1),"")</f>
        <v>-0.01073357934</v>
      </c>
    </row>
    <row r="275" ht="15.75" customHeight="1">
      <c r="A275" s="4">
        <f>IF(PRECIOS!A275="","",PRECIOS!A275)</f>
        <v>44810</v>
      </c>
      <c r="B275" s="7">
        <f>IFERROR(IF(OR(PRECIOS!B275="",PRECIOS!B274=""),"",PRECIOS!B275/PRECIOS!B274-1),"")</f>
        <v>-0.006695378723</v>
      </c>
      <c r="C275" s="7">
        <f>IFERROR(IF(OR(PRECIOS!C275="",PRECIOS!C274=""),"",PRECIOS!C275/PRECIOS!C274-1),"")</f>
        <v>-0.00115632592</v>
      </c>
      <c r="D275" s="7">
        <f>IFERROR(IF(OR(PRECIOS!D275="",PRECIOS!D274=""),"",PRECIOS!D275/PRECIOS!D274-1),"")</f>
        <v>-0.02483931332</v>
      </c>
      <c r="E275" s="7">
        <f>IFERROR(IF(OR(PRECIOS!E275="",PRECIOS!E274=""),"",PRECIOS!E275/PRECIOS!E274-1),"")</f>
        <v>0.008448208965</v>
      </c>
      <c r="F275" s="7">
        <f>IFERROR(IF(OR(PRECIOS!F275="",PRECIOS!F274=""),"",PRECIOS!F275/PRECIOS!F274-1),"")</f>
        <v>0.03436426117</v>
      </c>
      <c r="G275" s="7">
        <f>IFERROR(IF(OR(PRECIOS!G275="",PRECIOS!G274=""),"",PRECIOS!G275/PRECIOS!G274-1),"")</f>
        <v>-0.01631235017</v>
      </c>
      <c r="H275" s="7">
        <f>IFERROR(IF(OR(PRECIOS!H275="",PRECIOS!H274=""),"",PRECIOS!H275/PRECIOS!H274-1),"")</f>
        <v>-0.00925242551</v>
      </c>
      <c r="I275" s="7">
        <f>IFERROR(IF(OR(PRECIOS!I275="",PRECIOS!I274=""),"",PRECIOS!I275/PRECIOS!I274-1),"")</f>
        <v>0.00254540246</v>
      </c>
    </row>
    <row r="276" ht="15.75" customHeight="1">
      <c r="A276" s="4">
        <f>IF(PRECIOS!A276="","",PRECIOS!A276)</f>
        <v>44811</v>
      </c>
      <c r="B276" s="7">
        <f>IFERROR(IF(OR(PRECIOS!B276="",PRECIOS!B275=""),"",PRECIOS!B276/PRECIOS!B275-1),"")</f>
        <v>-0.008530475615</v>
      </c>
      <c r="C276" s="7">
        <f>IFERROR(IF(OR(PRECIOS!C276="",PRECIOS!C275=""),"",PRECIOS!C276/PRECIOS!C275-1),"")</f>
        <v>0.0253282973</v>
      </c>
      <c r="D276" s="7">
        <f>IFERROR(IF(OR(PRECIOS!D276="",PRECIOS!D275=""),"",PRECIOS!D276/PRECIOS!D275-1),"")</f>
        <v>0.01232301826</v>
      </c>
      <c r="E276" s="7">
        <f>IFERROR(IF(OR(PRECIOS!E276="",PRECIOS!E275=""),"",PRECIOS!E276/PRECIOS!E275-1),"")</f>
        <v>0.0202974933</v>
      </c>
      <c r="F276" s="7">
        <f>IFERROR(IF(OR(PRECIOS!F276="",PRECIOS!F275=""),"",PRECIOS!F276/PRECIOS!F275-1),"")</f>
        <v>0.09634551495</v>
      </c>
      <c r="G276" s="7">
        <f>IFERROR(IF(OR(PRECIOS!G276="",PRECIOS!G275=""),"",PRECIOS!G276/PRECIOS!G275-1),"")</f>
        <v>0.003618414949</v>
      </c>
      <c r="H276" s="7">
        <f>IFERROR(IF(OR(PRECIOS!H276="",PRECIOS!H275=""),"",PRECIOS!H276/PRECIOS!H275-1),"")</f>
        <v>-0.01161360296</v>
      </c>
      <c r="I276" s="7">
        <f>IFERROR(IF(OR(PRECIOS!I276="",PRECIOS!I275=""),"",PRECIOS!I276/PRECIOS!I275-1),"")</f>
        <v>0.03128283433</v>
      </c>
    </row>
    <row r="277" ht="15.75" customHeight="1">
      <c r="A277" s="4">
        <f>IF(PRECIOS!A277="","",PRECIOS!A277)</f>
        <v>44812</v>
      </c>
      <c r="B277" s="7">
        <f>IFERROR(IF(OR(PRECIOS!B277="",PRECIOS!B276=""),"",PRECIOS!B277/PRECIOS!B276-1),"")</f>
        <v>0.008179834283</v>
      </c>
      <c r="C277" s="7">
        <f>IFERROR(IF(OR(PRECIOS!C277="",PRECIOS!C276=""),"",PRECIOS!C277/PRECIOS!C276-1),"")</f>
        <v>-0.004264097817</v>
      </c>
      <c r="D277" s="7">
        <f>IFERROR(IF(OR(PRECIOS!D277="",PRECIOS!D276=""),"",PRECIOS!D277/PRECIOS!D276-1),"")</f>
        <v>0.0105576343</v>
      </c>
      <c r="E277" s="7">
        <f>IFERROR(IF(OR(PRECIOS!E277="",PRECIOS!E276=""),"",PRECIOS!E277/PRECIOS!E276-1),"")</f>
        <v>0.01394551289</v>
      </c>
      <c r="F277" s="7">
        <f>IFERROR(IF(OR(PRECIOS!F277="",PRECIOS!F276=""),"",PRECIOS!F277/PRECIOS!F276-1),"")</f>
        <v>0.02575757576</v>
      </c>
      <c r="G277" s="7">
        <f>IFERROR(IF(OR(PRECIOS!G277="",PRECIOS!G276=""),"",PRECIOS!G277/PRECIOS!G276-1),"")</f>
        <v>-0.02631919536</v>
      </c>
      <c r="H277" s="7">
        <f>IFERROR(IF(OR(PRECIOS!H277="",PRECIOS!H276=""),"",PRECIOS!H277/PRECIOS!H276-1),"")</f>
        <v>0.004340217617</v>
      </c>
      <c r="I277" s="7">
        <f>IFERROR(IF(OR(PRECIOS!I277="",PRECIOS!I276=""),"",PRECIOS!I277/PRECIOS!I276-1),"")</f>
        <v>-0.0007735001169</v>
      </c>
    </row>
    <row r="278" ht="15.75" customHeight="1">
      <c r="A278" s="4">
        <f>IF(PRECIOS!A278="","",PRECIOS!A278)</f>
        <v>44813</v>
      </c>
      <c r="B278" s="7">
        <f>IFERROR(IF(OR(PRECIOS!B278="",PRECIOS!B277=""),"",PRECIOS!B278/PRECIOS!B277-1),"")</f>
        <v>0.01675267997</v>
      </c>
      <c r="C278" s="7">
        <f>IFERROR(IF(OR(PRECIOS!C278="",PRECIOS!C277=""),"",PRECIOS!C278/PRECIOS!C277-1),"")</f>
        <v>0.001385880562</v>
      </c>
      <c r="D278" s="7">
        <f>IFERROR(IF(OR(PRECIOS!D278="",PRECIOS!D277=""),"",PRECIOS!D278/PRECIOS!D277-1),"")</f>
        <v>0.01405619215</v>
      </c>
      <c r="E278" s="7">
        <f>IFERROR(IF(OR(PRECIOS!E278="",PRECIOS!E277=""),"",PRECIOS!E278/PRECIOS!E277-1),"")</f>
        <v>0.01724125832</v>
      </c>
      <c r="F278" s="7">
        <f>IFERROR(IF(OR(PRECIOS!F278="",PRECIOS!F277=""),"",PRECIOS!F278/PRECIOS!F277-1),"")</f>
        <v>0.02954209749</v>
      </c>
      <c r="G278" s="7">
        <f>IFERROR(IF(OR(PRECIOS!G278="",PRECIOS!G277=""),"",PRECIOS!G278/PRECIOS!G277-1),"")</f>
        <v>0.02406203022</v>
      </c>
      <c r="H278" s="7">
        <f>IFERROR(IF(OR(PRECIOS!H278="",PRECIOS!H277=""),"",PRECIOS!H278/PRECIOS!H277-1),"")</f>
        <v>0.02492531606</v>
      </c>
      <c r="I278" s="7">
        <f>IFERROR(IF(OR(PRECIOS!I278="",PRECIOS!I277=""),"",PRECIOS!I278/PRECIOS!I277-1),"")</f>
        <v>0.004023581132</v>
      </c>
    </row>
    <row r="279" ht="15.75" customHeight="1">
      <c r="A279" s="4">
        <f>IF(PRECIOS!A279="","",PRECIOS!A279)</f>
        <v>44816</v>
      </c>
      <c r="B279" s="7">
        <f>IFERROR(IF(OR(PRECIOS!B279="",PRECIOS!B278=""),"",PRECIOS!B279/PRECIOS!B278-1),"")</f>
        <v>0.01150221353</v>
      </c>
      <c r="C279" s="7">
        <f>IFERROR(IF(OR(PRECIOS!C279="",PRECIOS!C278=""),"",PRECIOS!C279/PRECIOS!C278-1),"")</f>
        <v>0.007922518431</v>
      </c>
      <c r="D279" s="7">
        <f>IFERROR(IF(OR(PRECIOS!D279="",PRECIOS!D278=""),"",PRECIOS!D279/PRECIOS!D278-1),"")</f>
        <v>0.02138517032</v>
      </c>
      <c r="E279" s="7">
        <f>IFERROR(IF(OR(PRECIOS!E279="",PRECIOS!E278=""),"",PRECIOS!E279/PRECIOS!E278-1),"")</f>
        <v>0.01303771971</v>
      </c>
      <c r="F279" s="7">
        <f>IFERROR(IF(OR(PRECIOS!F279="",PRECIOS!F278=""),"",PRECIOS!F279/PRECIOS!F278-1),"")</f>
        <v>0.007173601148</v>
      </c>
      <c r="G279" s="7">
        <f>IFERROR(IF(OR(PRECIOS!G279="",PRECIOS!G278=""),"",PRECIOS!G279/PRECIOS!G278-1),"")</f>
        <v>0.03356841318</v>
      </c>
      <c r="H279" s="7">
        <f>IFERROR(IF(OR(PRECIOS!H279="",PRECIOS!H278=""),"",PRECIOS!H279/PRECIOS!H278-1),"")</f>
        <v>0.01836349967</v>
      </c>
      <c r="I279" s="7">
        <f>IFERROR(IF(OR(PRECIOS!I279="",PRECIOS!I278=""),"",PRECIOS!I279/PRECIOS!I278-1),"")</f>
        <v>0.009559783891</v>
      </c>
    </row>
    <row r="280" ht="15.75" customHeight="1">
      <c r="A280" s="4">
        <f>IF(PRECIOS!A280="","",PRECIOS!A280)</f>
        <v>44817</v>
      </c>
      <c r="B280" s="7">
        <f>IFERROR(IF(OR(PRECIOS!B280="",PRECIOS!B279=""),"",PRECIOS!B280/PRECIOS!B279-1),"")</f>
        <v>-0.02335834267</v>
      </c>
      <c r="C280" s="7">
        <f>IFERROR(IF(OR(PRECIOS!C280="",PRECIOS!C279=""),"",PRECIOS!C280/PRECIOS!C279-1),"")</f>
        <v>-0.023955214</v>
      </c>
      <c r="D280" s="7">
        <f>IFERROR(IF(OR(PRECIOS!D280="",PRECIOS!D279=""),"",PRECIOS!D280/PRECIOS!D279-1),"")</f>
        <v>-0.03141006713</v>
      </c>
      <c r="E280" s="7">
        <f>IFERROR(IF(OR(PRECIOS!E280="",PRECIOS!E279=""),"",PRECIOS!E280/PRECIOS!E279-1),"")</f>
        <v>-0.03455132308</v>
      </c>
      <c r="F280" s="7">
        <f>IFERROR(IF(OR(PRECIOS!F280="",PRECIOS!F279=""),"",PRECIOS!F280/PRECIOS!F279-1),"")</f>
        <v>0.01282051282</v>
      </c>
      <c r="G280" s="7">
        <f>IFERROR(IF(OR(PRECIOS!G280="",PRECIOS!G279=""),"",PRECIOS!G280/PRECIOS!G279-1),"")</f>
        <v>-0.03188613802</v>
      </c>
      <c r="H280" s="7">
        <f>IFERROR(IF(OR(PRECIOS!H280="",PRECIOS!H279=""),"",PRECIOS!H280/PRECIOS!H279-1),"")</f>
        <v>-0.02521941303</v>
      </c>
      <c r="I280" s="7">
        <f>IFERROR(IF(OR(PRECIOS!I280="",PRECIOS!I279=""),"",PRECIOS!I280/PRECIOS!I279-1),"")</f>
        <v>-0.0266267721</v>
      </c>
    </row>
    <row r="281" ht="15.75" customHeight="1">
      <c r="A281" s="4">
        <f>IF(PRECIOS!A281="","",PRECIOS!A281)</f>
        <v>44818</v>
      </c>
      <c r="B281" s="7">
        <f>IFERROR(IF(OR(PRECIOS!B281="",PRECIOS!B280=""),"",PRECIOS!B281/PRECIOS!B280-1),"")</f>
        <v>0.02454617648</v>
      </c>
      <c r="C281" s="7">
        <f>IFERROR(IF(OR(PRECIOS!C281="",PRECIOS!C280=""),"",PRECIOS!C281/PRECIOS!C280-1),"")</f>
        <v>0.01533898458</v>
      </c>
      <c r="D281" s="7">
        <f>IFERROR(IF(OR(PRECIOS!D281="",PRECIOS!D280=""),"",PRECIOS!D281/PRECIOS!D280-1),"")</f>
        <v>0.01521439575</v>
      </c>
      <c r="E281" s="7">
        <f>IFERROR(IF(OR(PRECIOS!E281="",PRECIOS!E280=""),"",PRECIOS!E281/PRECIOS!E280-1),"")</f>
        <v>0.004140217238</v>
      </c>
      <c r="F281" s="7">
        <f>IFERROR(IF(OR(PRECIOS!F281="",PRECIOS!F280=""),"",PRECIOS!F281/PRECIOS!F280-1),"")</f>
        <v>0.02672292546</v>
      </c>
      <c r="G281" s="7">
        <f>IFERROR(IF(OR(PRECIOS!G281="",PRECIOS!G280=""),"",PRECIOS!G281/PRECIOS!G280-1),"")</f>
        <v>0.02012811326</v>
      </c>
      <c r="H281" s="7">
        <f>IFERROR(IF(OR(PRECIOS!H281="",PRECIOS!H280=""),"",PRECIOS!H281/PRECIOS!H280-1),"")</f>
        <v>0.02824571369</v>
      </c>
      <c r="I281" s="7">
        <f>IFERROR(IF(OR(PRECIOS!I281="",PRECIOS!I280=""),"",PRECIOS!I281/PRECIOS!I280-1),"")</f>
        <v>0.008153263794</v>
      </c>
    </row>
    <row r="282" ht="15.75" customHeight="1">
      <c r="A282" s="4">
        <f>IF(PRECIOS!A282="","",PRECIOS!A282)</f>
        <v>44819</v>
      </c>
      <c r="B282" s="7">
        <f>IFERROR(IF(OR(PRECIOS!B282="",PRECIOS!B281=""),"",PRECIOS!B282/PRECIOS!B281-1),"")</f>
        <v>-0.02907730416</v>
      </c>
      <c r="C282" s="7">
        <f>IFERROR(IF(OR(PRECIOS!C282="",PRECIOS!C281=""),"",PRECIOS!C282/PRECIOS!C281-1),"")</f>
        <v>-0.02694216138</v>
      </c>
      <c r="D282" s="7">
        <f>IFERROR(IF(OR(PRECIOS!D282="",PRECIOS!D281=""),"",PRECIOS!D282/PRECIOS!D281-1),"")</f>
        <v>0.0003923766816</v>
      </c>
      <c r="E282" s="7">
        <f>IFERROR(IF(OR(PRECIOS!E282="",PRECIOS!E281=""),"",PRECIOS!E282/PRECIOS!E281-1),"")</f>
        <v>-0.01390771738</v>
      </c>
      <c r="F282" s="7">
        <f>IFERROR(IF(OR(PRECIOS!F282="",PRECIOS!F281=""),"",PRECIOS!F282/PRECIOS!F281-1),"")</f>
        <v>-0.08630136986</v>
      </c>
      <c r="G282" s="7">
        <f>IFERROR(IF(OR(PRECIOS!G282="",PRECIOS!G281=""),"",PRECIOS!G282/PRECIOS!G281-1),"")</f>
        <v>-0.01853505827</v>
      </c>
      <c r="H282" s="7">
        <f>IFERROR(IF(OR(PRECIOS!H282="",PRECIOS!H281=""),"",PRECIOS!H282/PRECIOS!H281-1),"")</f>
        <v>-0.02576857751</v>
      </c>
      <c r="I282" s="7">
        <f>IFERROR(IF(OR(PRECIOS!I282="",PRECIOS!I281=""),"",PRECIOS!I282/PRECIOS!I281-1),"")</f>
        <v>-0.0249124478</v>
      </c>
    </row>
    <row r="283" ht="15.75" customHeight="1">
      <c r="A283" s="4">
        <f>IF(PRECIOS!A283="","",PRECIOS!A283)</f>
        <v>44820</v>
      </c>
      <c r="B283" s="7">
        <f>IFERROR(IF(OR(PRECIOS!B283="",PRECIOS!B282=""),"",PRECIOS!B283/PRECIOS!B282-1),"")</f>
        <v>-0.01708359598</v>
      </c>
      <c r="C283" s="7">
        <f>IFERROR(IF(OR(PRECIOS!C283="",PRECIOS!C282=""),"",PRECIOS!C283/PRECIOS!C282-1),"")</f>
        <v>-0.0005164721942</v>
      </c>
      <c r="D283" s="7">
        <f>IFERROR(IF(OR(PRECIOS!D283="",PRECIOS!D282=""),"",PRECIOS!D283/PRECIOS!D282-1),"")</f>
        <v>-0.002365343515</v>
      </c>
      <c r="E283" s="7">
        <f>IFERROR(IF(OR(PRECIOS!E283="",PRECIOS!E282=""),"",PRECIOS!E283/PRECIOS!E282-1),"")</f>
        <v>-0.02012294586</v>
      </c>
      <c r="F283" s="7">
        <f>IFERROR(IF(OR(PRECIOS!F283="",PRECIOS!F282=""),"",PRECIOS!F283/PRECIOS!F282-1),"")</f>
        <v>0.04497751124</v>
      </c>
      <c r="G283" s="7">
        <f>IFERROR(IF(OR(PRECIOS!G283="",PRECIOS!G282=""),"",PRECIOS!G283/PRECIOS!G282-1),"")</f>
        <v>-0.03472549981</v>
      </c>
      <c r="H283" s="7">
        <f>IFERROR(IF(OR(PRECIOS!H283="",PRECIOS!H282=""),"",PRECIOS!H283/PRECIOS!H282-1),"")</f>
        <v>-0.02133277665</v>
      </c>
      <c r="I283" s="7">
        <f>IFERROR(IF(OR(PRECIOS!I283="",PRECIOS!I282=""),"",PRECIOS!I283/PRECIOS!I282-1),"")</f>
        <v>-0.003746422583</v>
      </c>
    </row>
    <row r="284" ht="15.75" customHeight="1">
      <c r="A284" s="4">
        <f>IF(PRECIOS!A284="","",PRECIOS!A284)</f>
        <v>44823</v>
      </c>
      <c r="B284" s="7">
        <f>IFERROR(IF(OR(PRECIOS!B284="",PRECIOS!B283=""),"",PRECIOS!B284/PRECIOS!B283-1),"")</f>
        <v>-0.0001070668443</v>
      </c>
      <c r="C284" s="7">
        <f>IFERROR(IF(OR(PRECIOS!C284="",PRECIOS!C283=""),"",PRECIOS!C284/PRECIOS!C283-1),"")</f>
        <v>0.01320366453</v>
      </c>
      <c r="D284" s="7">
        <f>IFERROR(IF(OR(PRECIOS!D284="",PRECIOS!D283=""),"",PRECIOS!D284/PRECIOS!D283-1),"")</f>
        <v>0.01224791087</v>
      </c>
      <c r="E284" s="7">
        <f>IFERROR(IF(OR(PRECIOS!E284="",PRECIOS!E283=""),"",PRECIOS!E284/PRECIOS!E283-1),"")</f>
        <v>0.01410273186</v>
      </c>
      <c r="F284" s="7">
        <f>IFERROR(IF(OR(PRECIOS!F284="",PRECIOS!F283=""),"",PRECIOS!F284/PRECIOS!F283-1),"")</f>
        <v>0.03443328551</v>
      </c>
      <c r="G284" s="7">
        <f>IFERROR(IF(OR(PRECIOS!G284="",PRECIOS!G283=""),"",PRECIOS!G284/PRECIOS!G283-1),"")</f>
        <v>0.01167732987</v>
      </c>
      <c r="H284" s="7">
        <f>IFERROR(IF(OR(PRECIOS!H284="",PRECIOS!H283=""),"",PRECIOS!H284/PRECIOS!H283-1),"")</f>
        <v>0.0006428069043</v>
      </c>
      <c r="I284" s="7">
        <f>IFERROR(IF(OR(PRECIOS!I284="",PRECIOS!I283=""),"",PRECIOS!I284/PRECIOS!I283-1),"")</f>
        <v>0.0133829952</v>
      </c>
    </row>
    <row r="285" ht="15.75" customHeight="1">
      <c r="A285" s="4">
        <f>IF(PRECIOS!A285="","",PRECIOS!A285)</f>
        <v>44824</v>
      </c>
      <c r="B285" s="7">
        <f>IFERROR(IF(OR(PRECIOS!B285="",PRECIOS!B284=""),"",PRECIOS!B285/PRECIOS!B284-1),"")</f>
        <v>-0.008154175459</v>
      </c>
      <c r="C285" s="7">
        <f>IFERROR(IF(OR(PRECIOS!C285="",PRECIOS!C284=""),"",PRECIOS!C285/PRECIOS!C284-1),"")</f>
        <v>-0.01341507188</v>
      </c>
      <c r="D285" s="7">
        <f>IFERROR(IF(OR(PRECIOS!D285="",PRECIOS!D284=""),"",PRECIOS!D285/PRECIOS!D284-1),"")</f>
        <v>-0.02067612555</v>
      </c>
      <c r="E285" s="7">
        <f>IFERROR(IF(OR(PRECIOS!E285="",PRECIOS!E284=""),"",PRECIOS!E285/PRECIOS!E284-1),"")</f>
        <v>-0.00741924847</v>
      </c>
      <c r="F285" s="7">
        <f>IFERROR(IF(OR(PRECIOS!F285="",PRECIOS!F284=""),"",PRECIOS!F285/PRECIOS!F284-1),"")</f>
        <v>-0.00693481276</v>
      </c>
      <c r="G285" s="7">
        <f>IFERROR(IF(OR(PRECIOS!G285="",PRECIOS!G284=""),"",PRECIOS!G285/PRECIOS!G284-1),"")</f>
        <v>-0.007173814157</v>
      </c>
      <c r="H285" s="7">
        <f>IFERROR(IF(OR(PRECIOS!H285="",PRECIOS!H284=""),"",PRECIOS!H285/PRECIOS!H284-1),"")</f>
        <v>-0.006959748112</v>
      </c>
      <c r="I285" s="7">
        <f>IFERROR(IF(OR(PRECIOS!I285="",PRECIOS!I284=""),"",PRECIOS!I285/PRECIOS!I284-1),"")</f>
        <v>-0.01454251547</v>
      </c>
    </row>
    <row r="286" ht="15.75" customHeight="1">
      <c r="A286" s="4">
        <f>IF(PRECIOS!A286="","",PRECIOS!A286)</f>
        <v>44825</v>
      </c>
      <c r="B286" s="7">
        <f>IFERROR(IF(OR(PRECIOS!B286="",PRECIOS!B285=""),"",PRECIOS!B286/PRECIOS!B285-1),"")</f>
        <v>-0.01611854947</v>
      </c>
      <c r="C286" s="7">
        <f>IFERROR(IF(OR(PRECIOS!C286="",PRECIOS!C285=""),"",PRECIOS!C286/PRECIOS!C285-1),"")</f>
        <v>-0.01411573173</v>
      </c>
      <c r="D286" s="7">
        <f>IFERROR(IF(OR(PRECIOS!D286="",PRECIOS!D285=""),"",PRECIOS!D286/PRECIOS!D285-1),"")</f>
        <v>-0.01887067336</v>
      </c>
      <c r="E286" s="7">
        <f>IFERROR(IF(OR(PRECIOS!E286="",PRECIOS!E285=""),"",PRECIOS!E286/PRECIOS!E285-1),"")</f>
        <v>-0.00969906187</v>
      </c>
      <c r="F286" s="7">
        <f>IFERROR(IF(OR(PRECIOS!F286="",PRECIOS!F285=""),"",PRECIOS!F286/PRECIOS!F285-1),"")</f>
        <v>-0.04748603352</v>
      </c>
      <c r="G286" s="7">
        <f>IFERROR(IF(OR(PRECIOS!G286="",PRECIOS!G285=""),"",PRECIOS!G286/PRECIOS!G285-1),"")</f>
        <v>-0.01131095747</v>
      </c>
      <c r="H286" s="7">
        <f>IFERROR(IF(OR(PRECIOS!H286="",PRECIOS!H285=""),"",PRECIOS!H286/PRECIOS!H285-1),"")</f>
        <v>-0.01465234406</v>
      </c>
      <c r="I286" s="7">
        <f>IFERROR(IF(OR(PRECIOS!I286="",PRECIOS!I285=""),"",PRECIOS!I286/PRECIOS!I285-1),"")</f>
        <v>-0.01367054203</v>
      </c>
    </row>
    <row r="287" ht="15.75" customHeight="1">
      <c r="A287" s="4">
        <f>IF(PRECIOS!A287="","",PRECIOS!A287)</f>
        <v>44826</v>
      </c>
      <c r="B287" s="7">
        <f>IFERROR(IF(OR(PRECIOS!B287="",PRECIOS!B286=""),"",PRECIOS!B287/PRECIOS!B286-1),"")</f>
        <v>-0.004178502988</v>
      </c>
      <c r="C287" s="7">
        <f>IFERROR(IF(OR(PRECIOS!C287="",PRECIOS!C286=""),"",PRECIOS!C287/PRECIOS!C286-1),"")</f>
        <v>-0.002495599515</v>
      </c>
      <c r="D287" s="7">
        <f>IFERROR(IF(OR(PRECIOS!D287="",PRECIOS!D286=""),"",PRECIOS!D287/PRECIOS!D286-1),"")</f>
        <v>-0.0155461145</v>
      </c>
      <c r="E287" s="7">
        <f>IFERROR(IF(OR(PRECIOS!E287="",PRECIOS!E286=""),"",PRECIOS!E287/PRECIOS!E286-1),"")</f>
        <v>-0.01958811003</v>
      </c>
      <c r="F287" s="7">
        <f>IFERROR(IF(OR(PRECIOS!F287="",PRECIOS!F286=""),"",PRECIOS!F287/PRECIOS!F286-1),"")</f>
        <v>0.0146627566</v>
      </c>
      <c r="G287" s="7">
        <f>IFERROR(IF(OR(PRECIOS!G287="",PRECIOS!G286=""),"",PRECIOS!G287/PRECIOS!G286-1),"")</f>
        <v>-0.009850615623</v>
      </c>
      <c r="H287" s="7">
        <f>IFERROR(IF(OR(PRECIOS!H287="",PRECIOS!H286=""),"",PRECIOS!H287/PRECIOS!H286-1),"")</f>
        <v>-0.003550483996</v>
      </c>
      <c r="I287" s="7">
        <f>IFERROR(IF(OR(PRECIOS!I287="",PRECIOS!I286=""),"",PRECIOS!I287/PRECIOS!I286-1),"")</f>
        <v>-0.003568946523</v>
      </c>
    </row>
    <row r="288" ht="15.75" customHeight="1">
      <c r="A288" s="4">
        <f>IF(PRECIOS!A288="","",PRECIOS!A288)</f>
        <v>44827</v>
      </c>
      <c r="B288" s="7">
        <f>IFERROR(IF(OR(PRECIOS!B288="",PRECIOS!B287=""),"",PRECIOS!B288/PRECIOS!B287-1),"")</f>
        <v>-0.0532184265</v>
      </c>
      <c r="C288" s="7">
        <f>IFERROR(IF(OR(PRECIOS!C288="",PRECIOS!C287=""),"",PRECIOS!C288/PRECIOS!C287-1),"")</f>
        <v>-0.01251054633</v>
      </c>
      <c r="D288" s="7">
        <f>IFERROR(IF(OR(PRECIOS!D288="",PRECIOS!D287=""),"",PRECIOS!D288/PRECIOS!D287-1),"")</f>
        <v>-0.02867964688</v>
      </c>
      <c r="E288" s="7">
        <f>IFERROR(IF(OR(PRECIOS!E288="",PRECIOS!E287=""),"",PRECIOS!E288/PRECIOS!E287-1),"")</f>
        <v>-0.007326797483</v>
      </c>
      <c r="F288" s="7">
        <f>IFERROR(IF(OR(PRECIOS!F288="",PRECIOS!F287=""),"",PRECIOS!F288/PRECIOS!F287-1),"")</f>
        <v>-0.09971098266</v>
      </c>
      <c r="G288" s="7">
        <f>IFERROR(IF(OR(PRECIOS!G288="",PRECIOS!G287=""),"",PRECIOS!G288/PRECIOS!G287-1),"")</f>
        <v>-0.06450512056</v>
      </c>
      <c r="H288" s="7">
        <f>IFERROR(IF(OR(PRECIOS!H288="",PRECIOS!H287=""),"",PRECIOS!H288/PRECIOS!H287-1),"")</f>
        <v>-0.06895818191</v>
      </c>
      <c r="I288" s="7">
        <f>IFERROR(IF(OR(PRECIOS!I288="",PRECIOS!I287=""),"",PRECIOS!I288/PRECIOS!I287-1),"")</f>
        <v>-0.01157057012</v>
      </c>
    </row>
    <row r="289" ht="15.75" customHeight="1">
      <c r="A289" s="4">
        <f>IF(PRECIOS!A289="","",PRECIOS!A289)</f>
        <v>44830</v>
      </c>
      <c r="B289" s="7">
        <f>IFERROR(IF(OR(PRECIOS!B289="",PRECIOS!B288=""),"",PRECIOS!B289/PRECIOS!B288-1),"")</f>
        <v>-0.02064181357</v>
      </c>
      <c r="C289" s="7">
        <f>IFERROR(IF(OR(PRECIOS!C289="",PRECIOS!C288=""),"",PRECIOS!C289/PRECIOS!C288-1),"")</f>
        <v>-0.0245362478</v>
      </c>
      <c r="D289" s="7">
        <f>IFERROR(IF(OR(PRECIOS!D289="",PRECIOS!D288=""),"",PRECIOS!D289/PRECIOS!D288-1),"")</f>
        <v>-0.03851164235</v>
      </c>
      <c r="E289" s="7">
        <f>IFERROR(IF(OR(PRECIOS!E289="",PRECIOS!E288=""),"",PRECIOS!E289/PRECIOS!E288-1),"")</f>
        <v>-0.004548417795</v>
      </c>
      <c r="F289" s="7">
        <f>IFERROR(IF(OR(PRECIOS!F289="",PRECIOS!F288=""),"",PRECIOS!F289/PRECIOS!F288-1),"")</f>
        <v>0.003210272873</v>
      </c>
      <c r="G289" s="7">
        <f>IFERROR(IF(OR(PRECIOS!G289="",PRECIOS!G288=""),"",PRECIOS!G289/PRECIOS!G288-1),"")</f>
        <v>-0.02504568606</v>
      </c>
      <c r="H289" s="7">
        <f>IFERROR(IF(OR(PRECIOS!H289="",PRECIOS!H288=""),"",PRECIOS!H289/PRECIOS!H288-1),"")</f>
        <v>-0.02454891059</v>
      </c>
      <c r="I289" s="7">
        <f>IFERROR(IF(OR(PRECIOS!I289="",PRECIOS!I288=""),"",PRECIOS!I289/PRECIOS!I288-1),"")</f>
        <v>-0.02410841391</v>
      </c>
    </row>
    <row r="290" ht="15.75" customHeight="1">
      <c r="A290" s="4">
        <f>IF(PRECIOS!A290="","",PRECIOS!A290)</f>
        <v>44831</v>
      </c>
      <c r="B290" s="7">
        <f>IFERROR(IF(OR(PRECIOS!B290="",PRECIOS!B289=""),"",PRECIOS!B290/PRECIOS!B289-1),"")</f>
        <v>0.0209580443</v>
      </c>
      <c r="C290" s="7">
        <f>IFERROR(IF(OR(PRECIOS!C290="",PRECIOS!C289=""),"",PRECIOS!C290/PRECIOS!C289-1),"")</f>
        <v>-0.01954857302</v>
      </c>
      <c r="D290" s="7">
        <f>IFERROR(IF(OR(PRECIOS!D290="",PRECIOS!D289=""),"",PRECIOS!D290/PRECIOS!D289-1),"")</f>
        <v>-0.0200270976</v>
      </c>
      <c r="E290" s="7">
        <f>IFERROR(IF(OR(PRECIOS!E290="",PRECIOS!E289=""),"",PRECIOS!E290/PRECIOS!E289-1),"")</f>
        <v>-0.01669602397</v>
      </c>
      <c r="F290" s="7">
        <f>IFERROR(IF(OR(PRECIOS!F290="",PRECIOS!F289=""),"",PRECIOS!F290/PRECIOS!F289-1),"")</f>
        <v>-0.0064</v>
      </c>
      <c r="G290" s="7">
        <f>IFERROR(IF(OR(PRECIOS!G290="",PRECIOS!G289=""),"",PRECIOS!G290/PRECIOS!G289-1),"")</f>
        <v>0.004222717149</v>
      </c>
      <c r="H290" s="7">
        <f>IFERROR(IF(OR(PRECIOS!H290="",PRECIOS!H289=""),"",PRECIOS!H290/PRECIOS!H289-1),"")</f>
        <v>0.01120400794</v>
      </c>
      <c r="I290" s="7">
        <f>IFERROR(IF(OR(PRECIOS!I290="",PRECIOS!I289=""),"",PRECIOS!I290/PRECIOS!I289-1),"")</f>
        <v>-0.0168545357</v>
      </c>
    </row>
    <row r="291" ht="15.75" customHeight="1">
      <c r="A291" s="4">
        <f>IF(PRECIOS!A291="","",PRECIOS!A291)</f>
        <v>44832</v>
      </c>
      <c r="B291" s="7">
        <f>IFERROR(IF(OR(PRECIOS!B291="",PRECIOS!B290=""),"",PRECIOS!B291/PRECIOS!B290-1),"")</f>
        <v>0.03638926675</v>
      </c>
      <c r="C291" s="7">
        <f>IFERROR(IF(OR(PRECIOS!C291="",PRECIOS!C290=""),"",PRECIOS!C291/PRECIOS!C290-1),"")</f>
        <v>0.01115419734</v>
      </c>
      <c r="D291" s="7">
        <f>IFERROR(IF(OR(PRECIOS!D291="",PRECIOS!D290=""),"",PRECIOS!D291/PRECIOS!D290-1),"")</f>
        <v>0.01271780034</v>
      </c>
      <c r="E291" s="7">
        <f>IFERROR(IF(OR(PRECIOS!E291="",PRECIOS!E290=""),"",PRECIOS!E291/PRECIOS!E290-1),"")</f>
        <v>0.01987322779</v>
      </c>
      <c r="F291" s="7">
        <f>IFERROR(IF(OR(PRECIOS!F291="",PRECIOS!F290=""),"",PRECIOS!F291/PRECIOS!F290-1),"")</f>
        <v>0.02898550725</v>
      </c>
      <c r="G291" s="7">
        <f>IFERROR(IF(OR(PRECIOS!G291="",PRECIOS!G290=""),"",PRECIOS!G291/PRECIOS!G290-1),"")</f>
        <v>0.0304850786</v>
      </c>
      <c r="H291" s="7">
        <f>IFERROR(IF(OR(PRECIOS!H291="",PRECIOS!H290=""),"",PRECIOS!H291/PRECIOS!H290-1),"")</f>
        <v>0.04430339023</v>
      </c>
      <c r="I291" s="7">
        <f>IFERROR(IF(OR(PRECIOS!I291="",PRECIOS!I290=""),"",PRECIOS!I291/PRECIOS!I290-1),"")</f>
        <v>0.01075241191</v>
      </c>
    </row>
    <row r="292" ht="15.75" customHeight="1">
      <c r="A292" s="4">
        <f>IF(PRECIOS!A292="","",PRECIOS!A292)</f>
        <v>44833</v>
      </c>
      <c r="B292" s="7">
        <f>IFERROR(IF(OR(PRECIOS!B292="",PRECIOS!B291=""),"",PRECIOS!B292/PRECIOS!B291-1),"")</f>
        <v>-0.002026082695</v>
      </c>
      <c r="C292" s="7">
        <f>IFERROR(IF(OR(PRECIOS!C292="",PRECIOS!C291=""),"",PRECIOS!C292/PRECIOS!C291-1),"")</f>
        <v>-0.04329825363</v>
      </c>
      <c r="D292" s="7">
        <f>IFERROR(IF(OR(PRECIOS!D292="",PRECIOS!D291=""),"",PRECIOS!D292/PRECIOS!D291-1),"")</f>
        <v>-0.04125454315</v>
      </c>
      <c r="E292" s="7">
        <f>IFERROR(IF(OR(PRECIOS!E292="",PRECIOS!E291=""),"",PRECIOS!E292/PRECIOS!E291-1),"")</f>
        <v>0.001793971056</v>
      </c>
      <c r="F292" s="7">
        <f>IFERROR(IF(OR(PRECIOS!F292="",PRECIOS!F291=""),"",PRECIOS!F292/PRECIOS!F291-1),"")</f>
        <v>-0.02660406886</v>
      </c>
      <c r="G292" s="7">
        <f>IFERROR(IF(OR(PRECIOS!G292="",PRECIOS!G291=""),"",PRECIOS!G292/PRECIOS!G291-1),"")</f>
        <v>-0.01529953409</v>
      </c>
      <c r="H292" s="7">
        <f>IFERROR(IF(OR(PRECIOS!H292="",PRECIOS!H291=""),"",PRECIOS!H292/PRECIOS!H291-1),"")</f>
        <v>0</v>
      </c>
      <c r="I292" s="7">
        <f>IFERROR(IF(OR(PRECIOS!I292="",PRECIOS!I291=""),"",PRECIOS!I292/PRECIOS!I291-1),"")</f>
        <v>-0.04009278088</v>
      </c>
    </row>
    <row r="293" ht="15.75" customHeight="1">
      <c r="A293" s="4">
        <f>IF(PRECIOS!A293="","",PRECIOS!A293)</f>
        <v>44834</v>
      </c>
      <c r="B293" s="7">
        <f>IFERROR(IF(OR(PRECIOS!B293="",PRECIOS!B292=""),"",PRECIOS!B293/PRECIOS!B292-1),"")</f>
        <v>-0.01544926897</v>
      </c>
      <c r="C293" s="7">
        <f>IFERROR(IF(OR(PRECIOS!C293="",PRECIOS!C292=""),"",PRECIOS!C293/PRECIOS!C292-1),"")</f>
        <v>-0.01989125068</v>
      </c>
      <c r="D293" s="7">
        <f>IFERROR(IF(OR(PRECIOS!D293="",PRECIOS!D292=""),"",PRECIOS!D293/PRECIOS!D292-1),"")</f>
        <v>-0.01777580793</v>
      </c>
      <c r="E293" s="7">
        <f>IFERROR(IF(OR(PRECIOS!E293="",PRECIOS!E292=""),"",PRECIOS!E293/PRECIOS!E292-1),"")</f>
        <v>-0.005889272682</v>
      </c>
      <c r="F293" s="7">
        <f>IFERROR(IF(OR(PRECIOS!F293="",PRECIOS!F292=""),"",PRECIOS!F293/PRECIOS!F292-1),"")</f>
        <v>-0.001607717042</v>
      </c>
      <c r="G293" s="7">
        <f>IFERROR(IF(OR(PRECIOS!G293="",PRECIOS!G292=""),"",PRECIOS!G293/PRECIOS!G292-1),"")</f>
        <v>-0.01139677855</v>
      </c>
      <c r="H293" s="7">
        <f>IFERROR(IF(OR(PRECIOS!H293="",PRECIOS!H292=""),"",PRECIOS!H293/PRECIOS!H292-1),"")</f>
        <v>-0.007991250905</v>
      </c>
      <c r="I293" s="7">
        <f>IFERROR(IF(OR(PRECIOS!I293="",PRECIOS!I292=""),"",PRECIOS!I293/PRECIOS!I292-1),"")</f>
        <v>-0.01930804828</v>
      </c>
    </row>
    <row r="294" ht="15.75" customHeight="1">
      <c r="A294" s="4">
        <f>IF(PRECIOS!A294="","",PRECIOS!A294)</f>
        <v>44837</v>
      </c>
      <c r="B294" s="7">
        <f>IFERROR(IF(OR(PRECIOS!B294="",PRECIOS!B293=""),"",PRECIOS!B294/PRECIOS!B293-1),"")</f>
        <v>0.05280057082</v>
      </c>
      <c r="C294" s="7">
        <f>IFERROR(IF(OR(PRECIOS!C294="",PRECIOS!C293=""),"",PRECIOS!C294/PRECIOS!C293-1),"")</f>
        <v>0.02544149971</v>
      </c>
      <c r="D294" s="7">
        <f>IFERROR(IF(OR(PRECIOS!D294="",PRECIOS!D293=""),"",PRECIOS!D294/PRECIOS!D293-1),"")</f>
        <v>0.02237946197</v>
      </c>
      <c r="E294" s="7">
        <f>IFERROR(IF(OR(PRECIOS!E294="",PRECIOS!E293=""),"",PRECIOS!E294/PRECIOS!E293-1),"")</f>
        <v>0.03321600579</v>
      </c>
      <c r="F294" s="7">
        <f>IFERROR(IF(OR(PRECIOS!F294="",PRECIOS!F293=""),"",PRECIOS!F294/PRECIOS!F293-1),"")</f>
        <v>0.09822866345</v>
      </c>
      <c r="G294" s="7">
        <f>IFERROR(IF(OR(PRECIOS!G294="",PRECIOS!G293=""),"",PRECIOS!G294/PRECIOS!G293-1),"")</f>
        <v>0.02794137935</v>
      </c>
      <c r="H294" s="7">
        <f>IFERROR(IF(OR(PRECIOS!H294="",PRECIOS!H293=""),"",PRECIOS!H294/PRECIOS!H293-1),"")</f>
        <v>0.05651359736</v>
      </c>
      <c r="I294" s="7">
        <f>IFERROR(IF(OR(PRECIOS!I294="",PRECIOS!I293=""),"",PRECIOS!I294/PRECIOS!I293-1),"")</f>
        <v>0.02930782498</v>
      </c>
    </row>
    <row r="295" ht="15.75" customHeight="1">
      <c r="A295" s="4">
        <f>IF(PRECIOS!A295="","",PRECIOS!A295)</f>
        <v>44838</v>
      </c>
      <c r="B295" s="7">
        <f>IFERROR(IF(OR(PRECIOS!B295="",PRECIOS!B294=""),"",PRECIOS!B295/PRECIOS!B294-1),"")</f>
        <v>0.03644532762</v>
      </c>
      <c r="C295" s="7">
        <f>IFERROR(IF(OR(PRECIOS!C295="",PRECIOS!C294=""),"",PRECIOS!C295/PRECIOS!C294-1),"")</f>
        <v>0.01376819576</v>
      </c>
      <c r="D295" s="7">
        <f>IFERROR(IF(OR(PRECIOS!D295="",PRECIOS!D294=""),"",PRECIOS!D295/PRECIOS!D294-1),"")</f>
        <v>0.06847186094</v>
      </c>
      <c r="E295" s="7">
        <f>IFERROR(IF(OR(PRECIOS!E295="",PRECIOS!E294=""),"",PRECIOS!E295/PRECIOS!E294-1),"")</f>
        <v>0.0412958478</v>
      </c>
      <c r="F295" s="7">
        <f>IFERROR(IF(OR(PRECIOS!F295="",PRECIOS!F294=""),"",PRECIOS!F295/PRECIOS!F294-1),"")</f>
        <v>0.01612903226</v>
      </c>
      <c r="G295" s="7">
        <f>IFERROR(IF(OR(PRECIOS!G295="",PRECIOS!G294=""),"",PRECIOS!G295/PRECIOS!G294-1),"")</f>
        <v>0.0434930729</v>
      </c>
      <c r="H295" s="7">
        <f>IFERROR(IF(OR(PRECIOS!H295="",PRECIOS!H294=""),"",PRECIOS!H295/PRECIOS!H294-1),"")</f>
        <v>0.04297358389</v>
      </c>
      <c r="I295" s="7">
        <f>IFERROR(IF(OR(PRECIOS!I295="",PRECIOS!I294=""),"",PRECIOS!I295/PRECIOS!I294-1),"")</f>
        <v>0.02120661612</v>
      </c>
    </row>
    <row r="296" ht="15.75" customHeight="1">
      <c r="A296" s="4">
        <f>IF(PRECIOS!A296="","",PRECIOS!A296)</f>
        <v>44839</v>
      </c>
      <c r="B296" s="7">
        <f>IFERROR(IF(OR(PRECIOS!B296="",PRECIOS!B295=""),"",PRECIOS!B296/PRECIOS!B295-1),"")</f>
        <v>0.04041088063</v>
      </c>
      <c r="C296" s="7">
        <f>IFERROR(IF(OR(PRECIOS!C296="",PRECIOS!C295=""),"",PRECIOS!C296/PRECIOS!C295-1),"")</f>
        <v>-0.02772710637</v>
      </c>
      <c r="D296" s="7">
        <f>IFERROR(IF(OR(PRECIOS!D296="",PRECIOS!D295=""),"",PRECIOS!D296/PRECIOS!D295-1),"")</f>
        <v>-0.002179635351</v>
      </c>
      <c r="E296" s="7">
        <f>IFERROR(IF(OR(PRECIOS!E296="",PRECIOS!E295=""),"",PRECIOS!E296/PRECIOS!E295-1),"")</f>
        <v>0.007110581807</v>
      </c>
      <c r="F296" s="7">
        <f>IFERROR(IF(OR(PRECIOS!F296="",PRECIOS!F295=""),"",PRECIOS!F296/PRECIOS!F295-1),"")</f>
        <v>0.06782106782</v>
      </c>
      <c r="G296" s="7">
        <f>IFERROR(IF(OR(PRECIOS!G296="",PRECIOS!G295=""),"",PRECIOS!G296/PRECIOS!G295-1),"")</f>
        <v>-0.008138848491</v>
      </c>
      <c r="H296" s="7">
        <f>IFERROR(IF(OR(PRECIOS!H296="",PRECIOS!H295=""),"",PRECIOS!H296/PRECIOS!H295-1),"")</f>
        <v>0.02066911104</v>
      </c>
      <c r="I296" s="7">
        <f>IFERROR(IF(OR(PRECIOS!I296="",PRECIOS!I295=""),"",PRECIOS!I296/PRECIOS!I295-1),"")</f>
        <v>-0.02222086642</v>
      </c>
    </row>
    <row r="297" ht="15.75" customHeight="1">
      <c r="A297" s="4">
        <f>IF(PRECIOS!A297="","",PRECIOS!A297)</f>
        <v>44840</v>
      </c>
      <c r="B297" s="7">
        <f>IFERROR(IF(OR(PRECIOS!B297="",PRECIOS!B296=""),"",PRECIOS!B297/PRECIOS!B296-1),"")</f>
        <v>0.0296618271</v>
      </c>
      <c r="C297" s="7">
        <f>IFERROR(IF(OR(PRECIOS!C297="",PRECIOS!C296=""),"",PRECIOS!C297/PRECIOS!C296-1),"")</f>
        <v>-0.04364939913</v>
      </c>
      <c r="D297" s="7">
        <f>IFERROR(IF(OR(PRECIOS!D297="",PRECIOS!D296=""),"",PRECIOS!D297/PRECIOS!D296-1),"")</f>
        <v>-0.01048598419</v>
      </c>
      <c r="E297" s="7">
        <f>IFERROR(IF(OR(PRECIOS!E297="",PRECIOS!E296=""),"",PRECIOS!E297/PRECIOS!E296-1),"")</f>
        <v>-0.01418336116</v>
      </c>
      <c r="F297" s="7">
        <f>IFERROR(IF(OR(PRECIOS!F297="",PRECIOS!F296=""),"",PRECIOS!F297/PRECIOS!F296-1),"")</f>
        <v>-0.02567567568</v>
      </c>
      <c r="G297" s="7">
        <f>IFERROR(IF(OR(PRECIOS!G297="",PRECIOS!G296=""),"",PRECIOS!G297/PRECIOS!G296-1),"")</f>
        <v>-0.0114905459</v>
      </c>
      <c r="H297" s="7">
        <f>IFERROR(IF(OR(PRECIOS!H297="",PRECIOS!H296=""),"",PRECIOS!H297/PRECIOS!H296-1),"")</f>
        <v>0.01777652604</v>
      </c>
      <c r="I297" s="7">
        <f>IFERROR(IF(OR(PRECIOS!I297="",PRECIOS!I296=""),"",PRECIOS!I297/PRECIOS!I296-1),"")</f>
        <v>-0.03297219367</v>
      </c>
    </row>
    <row r="298" ht="15.75" customHeight="1">
      <c r="A298" s="4">
        <f>IF(PRECIOS!A298="","",PRECIOS!A298)</f>
        <v>44841</v>
      </c>
      <c r="B298" s="7">
        <f>IFERROR(IF(OR(PRECIOS!B298="",PRECIOS!B297=""),"",PRECIOS!B298/PRECIOS!B297-1),"")</f>
        <v>-0.01009432565</v>
      </c>
      <c r="C298" s="7">
        <f>IFERROR(IF(OR(PRECIOS!C298="",PRECIOS!C297=""),"",PRECIOS!C298/PRECIOS!C297-1),"")</f>
        <v>-0.02449359255</v>
      </c>
      <c r="D298" s="7">
        <f>IFERROR(IF(OR(PRECIOS!D298="",PRECIOS!D297=""),"",PRECIOS!D298/PRECIOS!D297-1),"")</f>
        <v>-0.03002438981</v>
      </c>
      <c r="E298" s="7">
        <f>IFERROR(IF(OR(PRECIOS!E298="",PRECIOS!E297=""),"",PRECIOS!E298/PRECIOS!E297-1),"")</f>
        <v>-0.03945780795</v>
      </c>
      <c r="F298" s="7">
        <f>IFERROR(IF(OR(PRECIOS!F298="",PRECIOS!F297=""),"",PRECIOS!F298/PRECIOS!F297-1),"")</f>
        <v>-0.002773925104</v>
      </c>
      <c r="G298" s="7">
        <f>IFERROR(IF(OR(PRECIOS!G298="",PRECIOS!G297=""),"",PRECIOS!G298/PRECIOS!G297-1),"")</f>
        <v>-0.01062852953</v>
      </c>
      <c r="H298" s="7">
        <f>IFERROR(IF(OR(PRECIOS!H298="",PRECIOS!H297=""),"",PRECIOS!H298/PRECIOS!H297-1),"")</f>
        <v>-0.007767206275</v>
      </c>
      <c r="I298" s="7">
        <f>IFERROR(IF(OR(PRECIOS!I298="",PRECIOS!I297=""),"",PRECIOS!I298/PRECIOS!I297-1),"")</f>
        <v>-0.02073293735</v>
      </c>
    </row>
    <row r="299" ht="15.75" customHeight="1">
      <c r="A299" s="4">
        <f>IF(PRECIOS!A299="","",PRECIOS!A299)</f>
        <v>44844</v>
      </c>
      <c r="B299" s="7">
        <f>IFERROR(IF(OR(PRECIOS!B299="",PRECIOS!B298=""),"",PRECIOS!B299/PRECIOS!B298-1),"")</f>
        <v>-0.0216746655</v>
      </c>
      <c r="C299" s="7">
        <f>IFERROR(IF(OR(PRECIOS!C299="",PRECIOS!C298=""),"",PRECIOS!C299/PRECIOS!C298-1),"")</f>
        <v>-0.002028419944</v>
      </c>
      <c r="D299" s="7">
        <f>IFERROR(IF(OR(PRECIOS!D299="",PRECIOS!D298=""),"",PRECIOS!D299/PRECIOS!D298-1),"")</f>
        <v>-0.01319641366</v>
      </c>
      <c r="E299" s="7">
        <f>IFERROR(IF(OR(PRECIOS!E299="",PRECIOS!E298=""),"",PRECIOS!E299/PRECIOS!E298-1),"")</f>
        <v>-0.003283650067</v>
      </c>
      <c r="F299" s="7">
        <f>IFERROR(IF(OR(PRECIOS!F299="",PRECIOS!F298=""),"",PRECIOS!F299/PRECIOS!F298-1),"")</f>
        <v>-0.04311543811</v>
      </c>
      <c r="G299" s="7">
        <f>IFERROR(IF(OR(PRECIOS!G299="",PRECIOS!G298=""),"",PRECIOS!G299/PRECIOS!G298-1),"")</f>
        <v>-0.0147712245</v>
      </c>
      <c r="H299" s="7">
        <f>IFERROR(IF(OR(PRECIOS!H299="",PRECIOS!H298=""),"",PRECIOS!H299/PRECIOS!H298-1),"")</f>
        <v>-0.02053655896</v>
      </c>
      <c r="I299" s="7">
        <f>IFERROR(IF(OR(PRECIOS!I299="",PRECIOS!I298=""),"",PRECIOS!I299/PRECIOS!I298-1),"")</f>
        <v>0.001727043842</v>
      </c>
    </row>
    <row r="300" ht="15.75" customHeight="1">
      <c r="A300" s="4">
        <f>IF(PRECIOS!A300="","",PRECIOS!A300)</f>
        <v>44845</v>
      </c>
      <c r="B300" s="7">
        <f>IFERROR(IF(OR(PRECIOS!B300="",PRECIOS!B299=""),"",PRECIOS!B300/PRECIOS!B299-1),"")</f>
        <v>-0.008498664466</v>
      </c>
      <c r="C300" s="7">
        <f>IFERROR(IF(OR(PRECIOS!C300="",PRECIOS!C299=""),"",PRECIOS!C300/PRECIOS!C299-1),"")</f>
        <v>-0.005469072027</v>
      </c>
      <c r="D300" s="7">
        <f>IFERROR(IF(OR(PRECIOS!D300="",PRECIOS!D299=""),"",PRECIOS!D300/PRECIOS!D299-1),"")</f>
        <v>0.005533288075</v>
      </c>
      <c r="E300" s="7">
        <f>IFERROR(IF(OR(PRECIOS!E300="",PRECIOS!E299=""),"",PRECIOS!E300/PRECIOS!E299-1),"")</f>
        <v>0.0002874368008</v>
      </c>
      <c r="F300" s="7">
        <f>IFERROR(IF(OR(PRECIOS!F300="",PRECIOS!F299=""),"",PRECIOS!F300/PRECIOS!F299-1),"")</f>
        <v>-0.02180232558</v>
      </c>
      <c r="G300" s="7">
        <f>IFERROR(IF(OR(PRECIOS!G300="",PRECIOS!G299=""),"",PRECIOS!G300/PRECIOS!G299-1),"")</f>
        <v>0.01362971347</v>
      </c>
      <c r="H300" s="7">
        <f>IFERROR(IF(OR(PRECIOS!H300="",PRECIOS!H299=""),"",PRECIOS!H300/PRECIOS!H299-1),"")</f>
        <v>-0.007989347537</v>
      </c>
      <c r="I300" s="7">
        <f>IFERROR(IF(OR(PRECIOS!I300="",PRECIOS!I299=""),"",PRECIOS!I300/PRECIOS!I299-1),"")</f>
        <v>-0.003603921732</v>
      </c>
    </row>
    <row r="301" ht="15.75" customHeight="1">
      <c r="A301" s="4">
        <f>IF(PRECIOS!A301="","",PRECIOS!A301)</f>
        <v>44846</v>
      </c>
      <c r="B301" s="7">
        <f>IFERROR(IF(OR(PRECIOS!B301="",PRECIOS!B300=""),"",PRECIOS!B301/PRECIOS!B300-1),"")</f>
        <v>0.004387074742</v>
      </c>
      <c r="C301" s="7">
        <f>IFERROR(IF(OR(PRECIOS!C301="",PRECIOS!C300=""),"",PRECIOS!C301/PRECIOS!C300-1),"")</f>
        <v>-0.03362689644</v>
      </c>
      <c r="D301" s="7">
        <f>IFERROR(IF(OR(PRECIOS!D301="",PRECIOS!D300=""),"",PRECIOS!D301/PRECIOS!D300-1),"")</f>
        <v>-0.01651314207</v>
      </c>
      <c r="E301" s="7">
        <f>IFERROR(IF(OR(PRECIOS!E301="",PRECIOS!E300=""),"",PRECIOS!E301/PRECIOS!E300-1),"")</f>
        <v>-0.007110174549</v>
      </c>
      <c r="F301" s="7">
        <f>IFERROR(IF(OR(PRECIOS!F301="",PRECIOS!F300=""),"",PRECIOS!F301/PRECIOS!F300-1),"")</f>
        <v>-0.01931649331</v>
      </c>
      <c r="G301" s="7">
        <f>IFERROR(IF(OR(PRECIOS!G301="",PRECIOS!G300=""),"",PRECIOS!G301/PRECIOS!G300-1),"")</f>
        <v>-0.01310943021</v>
      </c>
      <c r="H301" s="7">
        <f>IFERROR(IF(OR(PRECIOS!H301="",PRECIOS!H300=""),"",PRECIOS!H301/PRECIOS!H300-1),"")</f>
        <v>0.008053691275</v>
      </c>
      <c r="I301" s="7">
        <f>IFERROR(IF(OR(PRECIOS!I301="",PRECIOS!I300=""),"",PRECIOS!I301/PRECIOS!I300-1),"")</f>
        <v>-0.03331352867</v>
      </c>
    </row>
    <row r="302" ht="15.75" customHeight="1">
      <c r="A302" s="4">
        <f>IF(PRECIOS!A302="","",PRECIOS!A302)</f>
        <v>44847</v>
      </c>
      <c r="B302" s="7">
        <f>IFERROR(IF(OR(PRECIOS!B302="",PRECIOS!B301=""),"",PRECIOS!B302/PRECIOS!B301-1),"")</f>
        <v>0.0349443232</v>
      </c>
      <c r="C302" s="7">
        <f>IFERROR(IF(OR(PRECIOS!C302="",PRECIOS!C301=""),"",PRECIOS!C302/PRECIOS!C301-1),"")</f>
        <v>0.04146359098</v>
      </c>
      <c r="D302" s="7">
        <f>IFERROR(IF(OR(PRECIOS!D302="",PRECIOS!D301=""),"",PRECIOS!D302/PRECIOS!D301-1),"")</f>
        <v>0.01119517023</v>
      </c>
      <c r="E302" s="7">
        <f>IFERROR(IF(OR(PRECIOS!E302="",PRECIOS!E301=""),"",PRECIOS!E302/PRECIOS!E301-1),"")</f>
        <v>0.01956870195</v>
      </c>
      <c r="F302" s="7">
        <f>IFERROR(IF(OR(PRECIOS!F302="",PRECIOS!F301=""),"",PRECIOS!F302/PRECIOS!F301-1),"")</f>
        <v>0.04090909091</v>
      </c>
      <c r="G302" s="7">
        <f>IFERROR(IF(OR(PRECIOS!G302="",PRECIOS!G301=""),"",PRECIOS!G302/PRECIOS!G301-1),"")</f>
        <v>0.03576319302</v>
      </c>
      <c r="H302" s="7">
        <f>IFERROR(IF(OR(PRECIOS!H302="",PRECIOS!H301=""),"",PRECIOS!H302/PRECIOS!H301-1),"")</f>
        <v>0.04081490228</v>
      </c>
      <c r="I302" s="7">
        <f>IFERROR(IF(OR(PRECIOS!I302="",PRECIOS!I301=""),"",PRECIOS!I302/PRECIOS!I301-1),"")</f>
        <v>0.0250338757</v>
      </c>
    </row>
    <row r="303" ht="15.75" customHeight="1">
      <c r="A303" s="4">
        <f>IF(PRECIOS!A303="","",PRECIOS!A303)</f>
        <v>44848</v>
      </c>
      <c r="B303" s="7">
        <f>IFERROR(IF(OR(PRECIOS!B303="",PRECIOS!B302=""),"",PRECIOS!B303/PRECIOS!B302-1),"")</f>
        <v>-0.02630323781</v>
      </c>
      <c r="C303" s="7">
        <f>IFERROR(IF(OR(PRECIOS!C303="",PRECIOS!C302=""),"",PRECIOS!C303/PRECIOS!C302-1),"")</f>
        <v>-0.008430223844</v>
      </c>
      <c r="D303" s="7">
        <f>IFERROR(IF(OR(PRECIOS!D303="",PRECIOS!D302=""),"",PRECIOS!D303/PRECIOS!D302-1),"")</f>
        <v>-0.01199654053</v>
      </c>
      <c r="E303" s="7">
        <f>IFERROR(IF(OR(PRECIOS!E303="",PRECIOS!E302=""),"",PRECIOS!E303/PRECIOS!E302-1),"")</f>
        <v>-0.02744681316</v>
      </c>
      <c r="F303" s="7">
        <f>IFERROR(IF(OR(PRECIOS!F303="",PRECIOS!F302=""),"",PRECIOS!F303/PRECIOS!F302-1),"")</f>
        <v>-0.03056768559</v>
      </c>
      <c r="G303" s="7">
        <f>IFERROR(IF(OR(PRECIOS!G303="",PRECIOS!G302=""),"",PRECIOS!G303/PRECIOS!G302-1),"")</f>
        <v>-0.03288319041</v>
      </c>
      <c r="H303" s="7">
        <f>IFERROR(IF(OR(PRECIOS!H303="",PRECIOS!H302=""),"",PRECIOS!H303/PRECIOS!H302-1),"")</f>
        <v>-0.0372967</v>
      </c>
      <c r="I303" s="7">
        <f>IFERROR(IF(OR(PRECIOS!I303="",PRECIOS!I302=""),"",PRECIOS!I303/PRECIOS!I302-1),"")</f>
        <v>-0.01442907836</v>
      </c>
    </row>
    <row r="304" ht="15.75" customHeight="1">
      <c r="A304" s="4">
        <f>IF(PRECIOS!A304="","",PRECIOS!A304)</f>
        <v>44851</v>
      </c>
      <c r="B304" s="7">
        <f>IFERROR(IF(OR(PRECIOS!B304="",PRECIOS!B303=""),"",PRECIOS!B304/PRECIOS!B303-1),"")</f>
        <v>0.01441697435</v>
      </c>
      <c r="C304" s="7">
        <f>IFERROR(IF(OR(PRECIOS!C304="",PRECIOS!C303=""),"",PRECIOS!C304/PRECIOS!C303-1),"")</f>
        <v>0.01212351698</v>
      </c>
      <c r="D304" s="7">
        <f>IFERROR(IF(OR(PRECIOS!D304="",PRECIOS!D303=""),"",PRECIOS!D304/PRECIOS!D303-1),"")</f>
        <v>0.02848241263</v>
      </c>
      <c r="E304" s="7">
        <f>IFERROR(IF(OR(PRECIOS!E304="",PRECIOS!E303=""),"",PRECIOS!E304/PRECIOS!E303-1),"")</f>
        <v>0.02911197258</v>
      </c>
      <c r="F304" s="7">
        <f>IFERROR(IF(OR(PRECIOS!F304="",PRECIOS!F303=""),"",PRECIOS!F304/PRECIOS!F303-1),"")</f>
        <v>0.06156156156</v>
      </c>
      <c r="G304" s="7">
        <f>IFERROR(IF(OR(PRECIOS!G304="",PRECIOS!G303=""),"",PRECIOS!G304/PRECIOS!G303-1),"")</f>
        <v>0.01870172623</v>
      </c>
      <c r="H304" s="7">
        <f>IFERROR(IF(OR(PRECIOS!H304="",PRECIOS!H303=""),"",PRECIOS!H304/PRECIOS!H303-1),"")</f>
        <v>0.01245883736</v>
      </c>
      <c r="I304" s="7">
        <f>IFERROR(IF(OR(PRECIOS!I304="",PRECIOS!I303=""),"",PRECIOS!I304/PRECIOS!I303-1),"")</f>
        <v>0.02091983221</v>
      </c>
    </row>
    <row r="305" ht="15.75" customHeight="1">
      <c r="A305" s="4">
        <f>IF(PRECIOS!A305="","",PRECIOS!A305)</f>
        <v>44852</v>
      </c>
      <c r="B305" s="7">
        <f>IFERROR(IF(OR(PRECIOS!B305="",PRECIOS!B304=""),"",PRECIOS!B305/PRECIOS!B304-1),"")</f>
        <v>0.001788281497</v>
      </c>
      <c r="C305" s="7">
        <f>IFERROR(IF(OR(PRECIOS!C305="",PRECIOS!C304=""),"",PRECIOS!C305/PRECIOS!C304-1),"")</f>
        <v>0.01726862107</v>
      </c>
      <c r="D305" s="7">
        <f>IFERROR(IF(OR(PRECIOS!D305="",PRECIOS!D304=""),"",PRECIOS!D305/PRECIOS!D304-1),"")</f>
        <v>0.02405575334</v>
      </c>
      <c r="E305" s="7">
        <f>IFERROR(IF(OR(PRECIOS!E305="",PRECIOS!E304=""),"",PRECIOS!E305/PRECIOS!E304-1),"")</f>
        <v>0.01751119902</v>
      </c>
      <c r="F305" s="7">
        <f>IFERROR(IF(OR(PRECIOS!F305="",PRECIOS!F304=""),"",PRECIOS!F305/PRECIOS!F304-1),"")</f>
        <v>-0.01838755304</v>
      </c>
      <c r="G305" s="7">
        <f>IFERROR(IF(OR(PRECIOS!G305="",PRECIOS!G304=""),"",PRECIOS!G305/PRECIOS!G304-1),"")</f>
        <v>0.01601922713</v>
      </c>
      <c r="H305" s="7">
        <f>IFERROR(IF(OR(PRECIOS!H305="",PRECIOS!H304=""),"",PRECIOS!H305/PRECIOS!H304-1),"")</f>
        <v>0.008733840744</v>
      </c>
      <c r="I305" s="7">
        <f>IFERROR(IF(OR(PRECIOS!I305="",PRECIOS!I304=""),"",PRECIOS!I305/PRECIOS!I304-1),"")</f>
        <v>0.01827476974</v>
      </c>
    </row>
    <row r="306" ht="15.75" customHeight="1">
      <c r="A306" s="4">
        <f>IF(PRECIOS!A306="","",PRECIOS!A306)</f>
        <v>44853</v>
      </c>
      <c r="B306" s="7">
        <f>IFERROR(IF(OR(PRECIOS!B306="",PRECIOS!B305=""),"",PRECIOS!B306/PRECIOS!B305-1),"")</f>
        <v>0.02966148307</v>
      </c>
      <c r="C306" s="7">
        <f>IFERROR(IF(OR(PRECIOS!C306="",PRECIOS!C305=""),"",PRECIOS!C306/PRECIOS!C305-1),"")</f>
        <v>-0.01070549308</v>
      </c>
      <c r="D306" s="7">
        <f>IFERROR(IF(OR(PRECIOS!D306="",PRECIOS!D305=""),"",PRECIOS!D306/PRECIOS!D305-1),"")</f>
        <v>-0.0159568526</v>
      </c>
      <c r="E306" s="7">
        <f>IFERROR(IF(OR(PRECIOS!E306="",PRECIOS!E305=""),"",PRECIOS!E306/PRECIOS!E305-1),"")</f>
        <v>-0.01166380789</v>
      </c>
      <c r="F306" s="7">
        <f>IFERROR(IF(OR(PRECIOS!F306="",PRECIOS!F305=""),"",PRECIOS!F306/PRECIOS!F305-1),"")</f>
        <v>0.0144092219</v>
      </c>
      <c r="G306" s="7">
        <f>IFERROR(IF(OR(PRECIOS!G306="",PRECIOS!G305=""),"",PRECIOS!G306/PRECIOS!G305-1),"")</f>
        <v>0.01445581909</v>
      </c>
      <c r="H306" s="7">
        <f>IFERROR(IF(OR(PRECIOS!H306="",PRECIOS!H305=""),"",PRECIOS!H306/PRECIOS!H305-1),"")</f>
        <v>0.02951815117</v>
      </c>
      <c r="I306" s="7">
        <f>IFERROR(IF(OR(PRECIOS!I306="",PRECIOS!I305=""),"",PRECIOS!I306/PRECIOS!I305-1),"")</f>
        <v>-0.01299465771</v>
      </c>
    </row>
    <row r="307" ht="15.75" customHeight="1">
      <c r="A307" s="4">
        <f>IF(PRECIOS!A307="","",PRECIOS!A307)</f>
        <v>44854</v>
      </c>
      <c r="B307" s="7">
        <f>IFERROR(IF(OR(PRECIOS!B307="",PRECIOS!B306=""),"",PRECIOS!B307/PRECIOS!B306-1),"")</f>
        <v>0.001350025738</v>
      </c>
      <c r="C307" s="7">
        <f>IFERROR(IF(OR(PRECIOS!C307="",PRECIOS!C306=""),"",PRECIOS!C307/PRECIOS!C306-1),"")</f>
        <v>-0.01839487349</v>
      </c>
      <c r="D307" s="7">
        <f>IFERROR(IF(OR(PRECIOS!D307="",PRECIOS!D306=""),"",PRECIOS!D307/PRECIOS!D306-1),"")</f>
        <v>-0.03063300336</v>
      </c>
      <c r="E307" s="7">
        <f>IFERROR(IF(OR(PRECIOS!E307="",PRECIOS!E306=""),"",PRECIOS!E307/PRECIOS!E306-1),"")</f>
        <v>-0.0269076131</v>
      </c>
      <c r="F307" s="7">
        <f>IFERROR(IF(OR(PRECIOS!F307="",PRECIOS!F306=""),"",PRECIOS!F307/PRECIOS!F306-1),"")</f>
        <v>0.001420454545</v>
      </c>
      <c r="G307" s="7">
        <f>IFERROR(IF(OR(PRECIOS!G307="",PRECIOS!G306=""),"",PRECIOS!G307/PRECIOS!G306-1),"")</f>
        <v>0.000646079576</v>
      </c>
      <c r="H307" s="7">
        <f>IFERROR(IF(OR(PRECIOS!H307="",PRECIOS!H306=""),"",PRECIOS!H307/PRECIOS!H306-1),"")</f>
        <v>0.0009512226788</v>
      </c>
      <c r="I307" s="7">
        <f>IFERROR(IF(OR(PRECIOS!I307="",PRECIOS!I306=""),"",PRECIOS!I307/PRECIOS!I306-1),"")</f>
        <v>-0.02524618585</v>
      </c>
    </row>
    <row r="308" ht="15.75" customHeight="1">
      <c r="A308" s="4">
        <f>IF(PRECIOS!A308="","",PRECIOS!A308)</f>
        <v>44855</v>
      </c>
      <c r="B308" s="7">
        <f>IFERROR(IF(OR(PRECIOS!B308="",PRECIOS!B307=""),"",PRECIOS!B308/PRECIOS!B307-1),"")</f>
        <v>0.01857419981</v>
      </c>
      <c r="C308" s="7">
        <f>IFERROR(IF(OR(PRECIOS!C308="",PRECIOS!C307=""),"",PRECIOS!C308/PRECIOS!C307-1),"")</f>
        <v>0.01574761796</v>
      </c>
      <c r="D308" s="7">
        <f>IFERROR(IF(OR(PRECIOS!D308="",PRECIOS!D307=""),"",PRECIOS!D308/PRECIOS!D307-1),"")</f>
        <v>0.0106898264</v>
      </c>
      <c r="E308" s="7">
        <f>IFERROR(IF(OR(PRECIOS!E308="",PRECIOS!E307=""),"",PRECIOS!E308/PRECIOS!E307-1),"")</f>
        <v>0.03009653184</v>
      </c>
      <c r="F308" s="7">
        <f>IFERROR(IF(OR(PRECIOS!F308="",PRECIOS!F307=""),"",PRECIOS!F308/PRECIOS!F307-1),"")</f>
        <v>0.0170212766</v>
      </c>
      <c r="G308" s="7">
        <f>IFERROR(IF(OR(PRECIOS!G308="",PRECIOS!G307=""),"",PRECIOS!G308/PRECIOS!G307-1),"")</f>
        <v>0.02006797482</v>
      </c>
      <c r="H308" s="7">
        <f>IFERROR(IF(OR(PRECIOS!H308="",PRECIOS!H307=""),"",PRECIOS!H308/PRECIOS!H307-1),"")</f>
        <v>0.02887751212</v>
      </c>
      <c r="I308" s="7">
        <f>IFERROR(IF(OR(PRECIOS!I308="",PRECIOS!I307=""),"",PRECIOS!I308/PRECIOS!I307-1),"")</f>
        <v>0.01850106183</v>
      </c>
    </row>
    <row r="309" ht="15.75" customHeight="1">
      <c r="A309" s="4">
        <f>IF(PRECIOS!A309="","",PRECIOS!A309)</f>
        <v>44858</v>
      </c>
      <c r="B309" s="7">
        <f>IFERROR(IF(OR(PRECIOS!B309="",PRECIOS!B308=""),"",PRECIOS!B309/PRECIOS!B308-1),"")</f>
        <v>0.006989477694</v>
      </c>
      <c r="C309" s="7">
        <f>IFERROR(IF(OR(PRECIOS!C309="",PRECIOS!C308=""),"",PRECIOS!C309/PRECIOS!C308-1),"")</f>
        <v>0.001396017824</v>
      </c>
      <c r="D309" s="7">
        <f>IFERROR(IF(OR(PRECIOS!D309="",PRECIOS!D308=""),"",PRECIOS!D309/PRECIOS!D308-1),"")</f>
        <v>-0.01195331764</v>
      </c>
      <c r="E309" s="7">
        <f>IFERROR(IF(OR(PRECIOS!E309="",PRECIOS!E308=""),"",PRECIOS!E309/PRECIOS!E308-1),"")</f>
        <v>0.01607306463</v>
      </c>
      <c r="F309" s="7">
        <f>IFERROR(IF(OR(PRECIOS!F309="",PRECIOS!F308=""),"",PRECIOS!F309/PRECIOS!F308-1),"")</f>
        <v>0.03068340307</v>
      </c>
      <c r="G309" s="7">
        <f>IFERROR(IF(OR(PRECIOS!G309="",PRECIOS!G308=""),"",PRECIOS!G309/PRECIOS!G308-1),"")</f>
        <v>-0.0133275071</v>
      </c>
      <c r="H309" s="7">
        <f>IFERROR(IF(OR(PRECIOS!H309="",PRECIOS!H308=""),"",PRECIOS!H309/PRECIOS!H308-1),"")</f>
        <v>0.004713425286</v>
      </c>
      <c r="I309" s="7">
        <f>IFERROR(IF(OR(PRECIOS!I309="",PRECIOS!I308=""),"",PRECIOS!I309/PRECIOS!I308-1),"")</f>
        <v>0.00836825929</v>
      </c>
    </row>
    <row r="310" ht="15.75" customHeight="1">
      <c r="A310" s="4">
        <f>IF(PRECIOS!A310="","",PRECIOS!A310)</f>
        <v>44859</v>
      </c>
      <c r="B310" s="7">
        <f>IFERROR(IF(OR(PRECIOS!B310="",PRECIOS!B309=""),"",PRECIOS!B310/PRECIOS!B309-1),"")</f>
        <v>-0.006761293251</v>
      </c>
      <c r="C310" s="7">
        <f>IFERROR(IF(OR(PRECIOS!C310="",PRECIOS!C309=""),"",PRECIOS!C310/PRECIOS!C309-1),"")</f>
        <v>0.01749395668</v>
      </c>
      <c r="D310" s="7">
        <f>IFERROR(IF(OR(PRECIOS!D310="",PRECIOS!D309=""),"",PRECIOS!D310/PRECIOS!D309-1),"")</f>
        <v>0.02326705039</v>
      </c>
      <c r="E310" s="7">
        <f>IFERROR(IF(OR(PRECIOS!E310="",PRECIOS!E309=""),"",PRECIOS!E310/PRECIOS!E309-1),"")</f>
        <v>0.03164471582</v>
      </c>
      <c r="F310" s="7">
        <f>IFERROR(IF(OR(PRECIOS!F310="",PRECIOS!F309=""),"",PRECIOS!F310/PRECIOS!F309-1),"")</f>
        <v>0.03247631935</v>
      </c>
      <c r="G310" s="7">
        <f>IFERROR(IF(OR(PRECIOS!G310="",PRECIOS!G309=""),"",PRECIOS!G310/PRECIOS!G309-1),"")</f>
        <v>0.02411686552</v>
      </c>
      <c r="H310" s="7">
        <f>IFERROR(IF(OR(PRECIOS!H310="",PRECIOS!H309=""),"",PRECIOS!H310/PRECIOS!H309-1),"")</f>
        <v>0.001031986459</v>
      </c>
      <c r="I310" s="7">
        <f>IFERROR(IF(OR(PRECIOS!I310="",PRECIOS!I309=""),"",PRECIOS!I310/PRECIOS!I309-1),"")</f>
        <v>0.02005084581</v>
      </c>
    </row>
    <row r="311" ht="15.75" customHeight="1">
      <c r="A311" s="4">
        <f>IF(PRECIOS!A311="","",PRECIOS!A311)</f>
        <v>44860</v>
      </c>
      <c r="B311" s="7">
        <f>IFERROR(IF(OR(PRECIOS!B311="",PRECIOS!B310=""),"",PRECIOS!B311/PRECIOS!B310-1),"")</f>
        <v>0.01190090828</v>
      </c>
      <c r="C311" s="7">
        <f>IFERROR(IF(OR(PRECIOS!C311="",PRECIOS!C310=""),"",PRECIOS!C311/PRECIOS!C310-1),"")</f>
        <v>-0.001216331753</v>
      </c>
      <c r="D311" s="7">
        <f>IFERROR(IF(OR(PRECIOS!D311="",PRECIOS!D310=""),"",PRECIOS!D311/PRECIOS!D310-1),"")</f>
        <v>-0.004093757593</v>
      </c>
      <c r="E311" s="7">
        <f>IFERROR(IF(OR(PRECIOS!E311="",PRECIOS!E310=""),"",PRECIOS!E311/PRECIOS!E310-1),"")</f>
        <v>-0.003626928742</v>
      </c>
      <c r="F311" s="7">
        <f>IFERROR(IF(OR(PRECIOS!F311="",PRECIOS!F310=""),"",PRECIOS!F311/PRECIOS!F310-1),"")</f>
        <v>0.01965923984</v>
      </c>
      <c r="G311" s="7">
        <f>IFERROR(IF(OR(PRECIOS!G311="",PRECIOS!G310=""),"",PRECIOS!G311/PRECIOS!G310-1),"")</f>
        <v>0.009418303688</v>
      </c>
      <c r="H311" s="7">
        <f>IFERROR(IF(OR(PRECIOS!H311="",PRECIOS!H310=""),"",PRECIOS!H311/PRECIOS!H310-1),"")</f>
        <v>0.01360920105</v>
      </c>
      <c r="I311" s="7">
        <f>IFERROR(IF(OR(PRECIOS!I311="",PRECIOS!I310=""),"",PRECIOS!I311/PRECIOS!I310-1),"")</f>
        <v>-0.0004617918202</v>
      </c>
    </row>
    <row r="312" ht="15.75" customHeight="1">
      <c r="A312" s="4">
        <f>IF(PRECIOS!A312="","",PRECIOS!A312)</f>
        <v>44861</v>
      </c>
      <c r="B312" s="7">
        <f>IFERROR(IF(OR(PRECIOS!B312="",PRECIOS!B311=""),"",PRECIOS!B312/PRECIOS!B311-1),"")</f>
        <v>0.003829362839</v>
      </c>
      <c r="C312" s="7">
        <f>IFERROR(IF(OR(PRECIOS!C312="",PRECIOS!C311=""),"",PRECIOS!C312/PRECIOS!C311-1),"")</f>
        <v>-0.007160617374</v>
      </c>
      <c r="D312" s="7">
        <f>IFERROR(IF(OR(PRECIOS!D312="",PRECIOS!D311=""),"",PRECIOS!D312/PRECIOS!D311-1),"")</f>
        <v>0.003654876544</v>
      </c>
      <c r="E312" s="7">
        <f>IFERROR(IF(OR(PRECIOS!E312="",PRECIOS!E311=""),"",PRECIOS!E312/PRECIOS!E311-1),"")</f>
        <v>0.008040062165</v>
      </c>
      <c r="F312" s="7">
        <f>IFERROR(IF(OR(PRECIOS!F312="",PRECIOS!F311=""),"",PRECIOS!F312/PRECIOS!F311-1),"")</f>
        <v>0.01156812339</v>
      </c>
      <c r="G312" s="7">
        <f>IFERROR(IF(OR(PRECIOS!G312="",PRECIOS!G311=""),"",PRECIOS!G312/PRECIOS!G311-1),"")</f>
        <v>0.01088654806</v>
      </c>
      <c r="H312" s="7">
        <f>IFERROR(IF(OR(PRECIOS!H312="",PRECIOS!H311=""),"",PRECIOS!H312/PRECIOS!H311-1),"")</f>
        <v>0.003608996749</v>
      </c>
      <c r="I312" s="7">
        <f>IFERROR(IF(OR(PRECIOS!I312="",PRECIOS!I311=""),"",PRECIOS!I312/PRECIOS!I311-1),"")</f>
        <v>0.00798997177</v>
      </c>
    </row>
    <row r="313" ht="15.75" customHeight="1">
      <c r="A313" s="4">
        <f>IF(PRECIOS!A313="","",PRECIOS!A313)</f>
        <v>44862</v>
      </c>
      <c r="B313" s="7">
        <f>IFERROR(IF(OR(PRECIOS!B313="",PRECIOS!B312=""),"",PRECIOS!B313/PRECIOS!B312-1),"")</f>
        <v>0.02929019317</v>
      </c>
      <c r="C313" s="7">
        <f>IFERROR(IF(OR(PRECIOS!C313="",PRECIOS!C312=""),"",PRECIOS!C313/PRECIOS!C312-1),"")</f>
        <v>0.01795234418</v>
      </c>
      <c r="D313" s="7">
        <f>IFERROR(IF(OR(PRECIOS!D313="",PRECIOS!D312=""),"",PRECIOS!D313/PRECIOS!D312-1),"")</f>
        <v>0.04549207019</v>
      </c>
      <c r="E313" s="7">
        <f>IFERROR(IF(OR(PRECIOS!E313="",PRECIOS!E312=""),"",PRECIOS!E313/PRECIOS!E312-1),"")</f>
        <v>0.02447597969</v>
      </c>
      <c r="F313" s="7">
        <f>IFERROR(IF(OR(PRECIOS!F313="",PRECIOS!F312=""),"",PRECIOS!F313/PRECIOS!F312-1),"")</f>
        <v>-0.0292249047</v>
      </c>
      <c r="G313" s="7">
        <f>IFERROR(IF(OR(PRECIOS!G313="",PRECIOS!G312=""),"",PRECIOS!G313/PRECIOS!G312-1),"")</f>
        <v>0.005231963903</v>
      </c>
      <c r="H313" s="7">
        <f>IFERROR(IF(OR(PRECIOS!H313="",PRECIOS!H312=""),"",PRECIOS!H313/PRECIOS!H312-1),"")</f>
        <v>0.003485371999</v>
      </c>
      <c r="I313" s="7">
        <f>IFERROR(IF(OR(PRECIOS!I313="",PRECIOS!I312=""),"",PRECIOS!I313/PRECIOS!I312-1),"")</f>
        <v>0.02743317797</v>
      </c>
    </row>
    <row r="314" ht="15.75" customHeight="1">
      <c r="A314" s="4">
        <f>IF(PRECIOS!A314="","",PRECIOS!A314)</f>
        <v>44865</v>
      </c>
      <c r="B314" s="7">
        <f>IFERROR(IF(OR(PRECIOS!B314="",PRECIOS!B313=""),"",PRECIOS!B314/PRECIOS!B313-1),"")</f>
        <v>0.0009925693888</v>
      </c>
      <c r="C314" s="7">
        <f>IFERROR(IF(OR(PRECIOS!C314="",PRECIOS!C313=""),"",PRECIOS!C314/PRECIOS!C313-1),"")</f>
        <v>-0.01296364847</v>
      </c>
      <c r="D314" s="7">
        <f>IFERROR(IF(OR(PRECIOS!D314="",PRECIOS!D313=""),"",PRECIOS!D314/PRECIOS!D313-1),"")</f>
        <v>-0.0004342924323</v>
      </c>
      <c r="E314" s="7">
        <f>IFERROR(IF(OR(PRECIOS!E314="",PRECIOS!E313=""),"",PRECIOS!E314/PRECIOS!E313-1),"")</f>
        <v>-0.001397890456</v>
      </c>
      <c r="F314" s="7">
        <f>IFERROR(IF(OR(PRECIOS!F314="",PRECIOS!F313=""),"",PRECIOS!F314/PRECIOS!F313-1),"")</f>
        <v>0</v>
      </c>
      <c r="G314" s="7">
        <f>IFERROR(IF(OR(PRECIOS!G314="",PRECIOS!G313=""),"",PRECIOS!G314/PRECIOS!G313-1),"")</f>
        <v>0.001835141092</v>
      </c>
      <c r="H314" s="7">
        <f>IFERROR(IF(OR(PRECIOS!H314="",PRECIOS!H313=""),"",PRECIOS!H314/PRECIOS!H313-1),"")</f>
        <v>0.008405003909</v>
      </c>
      <c r="I314" s="7">
        <f>IFERROR(IF(OR(PRECIOS!I314="",PRECIOS!I313=""),"",PRECIOS!I314/PRECIOS!I313-1),"")</f>
        <v>-0.009345242586</v>
      </c>
    </row>
    <row r="315" ht="15.75" customHeight="1">
      <c r="A315" s="4">
        <f>IF(PRECIOS!A315="","",PRECIOS!A315)</f>
        <v>44866</v>
      </c>
      <c r="B315" s="7">
        <f>IFERROR(IF(OR(PRECIOS!B315="",PRECIOS!B314=""),"",PRECIOS!B315/PRECIOS!B314-1),"")</f>
        <v>0.009924948829</v>
      </c>
      <c r="C315" s="7">
        <f>IFERROR(IF(OR(PRECIOS!C315="",PRECIOS!C314=""),"",PRECIOS!C315/PRECIOS!C314-1),"")</f>
        <v>0.0007639584468</v>
      </c>
      <c r="D315" s="7">
        <f>IFERROR(IF(OR(PRECIOS!D315="",PRECIOS!D314=""),"",PRECIOS!D315/PRECIOS!D314-1),"")</f>
        <v>-0.004353588639</v>
      </c>
      <c r="E315" s="7">
        <f>IFERROR(IF(OR(PRECIOS!E315="",PRECIOS!E314=""),"",PRECIOS!E315/PRECIOS!E314-1),"")</f>
        <v>0.01046201658</v>
      </c>
      <c r="F315" s="7">
        <f>IFERROR(IF(OR(PRECIOS!F315="",PRECIOS!F314=""),"",PRECIOS!F315/PRECIOS!F314-1),"")</f>
        <v>0.08115183246</v>
      </c>
      <c r="G315" s="7">
        <f>IFERROR(IF(OR(PRECIOS!G315="",PRECIOS!G314=""),"",PRECIOS!G315/PRECIOS!G314-1),"")</f>
        <v>0.02169359156</v>
      </c>
      <c r="H315" s="7">
        <f>IFERROR(IF(OR(PRECIOS!H315="",PRECIOS!H314=""),"",PRECIOS!H315/PRECIOS!H314-1),"")</f>
        <v>0.009664464888</v>
      </c>
      <c r="I315" s="7">
        <f>IFERROR(IF(OR(PRECIOS!I315="",PRECIOS!I314=""),"",PRECIOS!I315/PRECIOS!I314-1),"")</f>
        <v>0.003890573884</v>
      </c>
    </row>
    <row r="316" ht="15.75" customHeight="1">
      <c r="A316" s="4">
        <f>IF(PRECIOS!A316="","",PRECIOS!A316)</f>
        <v>44867</v>
      </c>
      <c r="B316" s="7">
        <f>IFERROR(IF(OR(PRECIOS!B316="",PRECIOS!B315=""),"",PRECIOS!B316/PRECIOS!B315-1),"")</f>
        <v>-0.02054658788</v>
      </c>
      <c r="C316" s="7">
        <f>IFERROR(IF(OR(PRECIOS!C316="",PRECIOS!C315=""),"",PRECIOS!C316/PRECIOS!C315-1),"")</f>
        <v>-0.0111391101</v>
      </c>
      <c r="D316" s="7">
        <f>IFERROR(IF(OR(PRECIOS!D316="",PRECIOS!D315=""),"",PRECIOS!D316/PRECIOS!D315-1),"")</f>
        <v>0</v>
      </c>
      <c r="E316" s="7">
        <f>IFERROR(IF(OR(PRECIOS!E316="",PRECIOS!E315=""),"",PRECIOS!E316/PRECIOS!E315-1),"")</f>
        <v>-0.006794198749</v>
      </c>
      <c r="F316" s="7">
        <f>IFERROR(IF(OR(PRECIOS!F316="",PRECIOS!F315=""),"",PRECIOS!F316/PRECIOS!F315-1),"")</f>
        <v>-0.03995157385</v>
      </c>
      <c r="G316" s="7">
        <f>IFERROR(IF(OR(PRECIOS!G316="",PRECIOS!G315=""),"",PRECIOS!G316/PRECIOS!G315-1),"")</f>
        <v>-0.01196266437</v>
      </c>
      <c r="H316" s="7">
        <f>IFERROR(IF(OR(PRECIOS!H316="",PRECIOS!H315=""),"",PRECIOS!H316/PRECIOS!H315-1),"")</f>
        <v>-0.02409849098</v>
      </c>
      <c r="I316" s="7">
        <f>IFERROR(IF(OR(PRECIOS!I316="",PRECIOS!I315=""),"",PRECIOS!I316/PRECIOS!I315-1),"")</f>
        <v>-0.0096903891</v>
      </c>
    </row>
    <row r="317" ht="15.75" customHeight="1">
      <c r="A317" s="4">
        <f>IF(PRECIOS!A317="","",PRECIOS!A317)</f>
        <v>44868</v>
      </c>
      <c r="B317" s="7">
        <f>IFERROR(IF(OR(PRECIOS!B317="",PRECIOS!B316=""),"",PRECIOS!B317/PRECIOS!B316-1),"")</f>
        <v>0.01359267945</v>
      </c>
      <c r="C317" s="7">
        <f>IFERROR(IF(OR(PRECIOS!C317="",PRECIOS!C316=""),"",PRECIOS!C317/PRECIOS!C316-1),"")</f>
        <v>0.0007704148232</v>
      </c>
      <c r="D317" s="7">
        <f>IFERROR(IF(OR(PRECIOS!D317="",PRECIOS!D316=""),"",PRECIOS!D317/PRECIOS!D316-1),"")</f>
        <v>0.01574056932</v>
      </c>
      <c r="E317" s="7">
        <f>IFERROR(IF(OR(PRECIOS!E317="",PRECIOS!E316=""),"",PRECIOS!E317/PRECIOS!E316-1),"")</f>
        <v>0.02642169262</v>
      </c>
      <c r="F317" s="7">
        <f>IFERROR(IF(OR(PRECIOS!F317="",PRECIOS!F316=""),"",PRECIOS!F317/PRECIOS!F316-1),"")</f>
        <v>0.02395964691</v>
      </c>
      <c r="G317" s="7">
        <f>IFERROR(IF(OR(PRECIOS!G317="",PRECIOS!G316=""),"",PRECIOS!G317/PRECIOS!G316-1),"")</f>
        <v>0.003328796851</v>
      </c>
      <c r="H317" s="7">
        <f>IFERROR(IF(OR(PRECIOS!H317="",PRECIOS!H316=""),"",PRECIOS!H317/PRECIOS!H316-1),"")</f>
        <v>0.01849432535</v>
      </c>
      <c r="I317" s="7">
        <f>IFERROR(IF(OR(PRECIOS!I317="",PRECIOS!I316=""),"",PRECIOS!I317/PRECIOS!I316-1),"")</f>
        <v>0.004369706477</v>
      </c>
    </row>
    <row r="318" ht="15.75" customHeight="1">
      <c r="A318" s="4">
        <f>IF(PRECIOS!A318="","",PRECIOS!A318)</f>
        <v>44869</v>
      </c>
      <c r="B318" s="7">
        <f>IFERROR(IF(OR(PRECIOS!B318="",PRECIOS!B317=""),"",PRECIOS!B318/PRECIOS!B317-1),"")</f>
        <v>0.01088800777</v>
      </c>
      <c r="C318" s="7">
        <f>IFERROR(IF(OR(PRECIOS!C318="",PRECIOS!C317=""),"",PRECIOS!C318/PRECIOS!C317-1),"")</f>
        <v>0.0009256561016</v>
      </c>
      <c r="D318" s="7">
        <f>IFERROR(IF(OR(PRECIOS!D318="",PRECIOS!D317=""),"",PRECIOS!D318/PRECIOS!D317-1),"")</f>
        <v>-0.01635588035</v>
      </c>
      <c r="E318" s="7">
        <f>IFERROR(IF(OR(PRECIOS!E318="",PRECIOS!E317=""),"",PRECIOS!E318/PRECIOS!E317-1),"")</f>
        <v>0.02652180132</v>
      </c>
      <c r="F318" s="7">
        <f>IFERROR(IF(OR(PRECIOS!F318="",PRECIOS!F317=""),"",PRECIOS!F318/PRECIOS!F317-1),"")</f>
        <v>-0.009852216749</v>
      </c>
      <c r="G318" s="7">
        <f>IFERROR(IF(OR(PRECIOS!G318="",PRECIOS!G317=""),"",PRECIOS!G318/PRECIOS!G317-1),"")</f>
        <v>0.01176488559</v>
      </c>
      <c r="H318" s="7">
        <f>IFERROR(IF(OR(PRECIOS!H318="",PRECIOS!H317=""),"",PRECIOS!H318/PRECIOS!H317-1),"")</f>
        <v>0.01217830143</v>
      </c>
      <c r="I318" s="7">
        <f>IFERROR(IF(OR(PRECIOS!I318="",PRECIOS!I317=""),"",PRECIOS!I318/PRECIOS!I317-1),"")</f>
        <v>0.006141377698</v>
      </c>
    </row>
    <row r="319" ht="15.75" customHeight="1">
      <c r="A319" s="4">
        <f>IF(PRECIOS!A319="","",PRECIOS!A319)</f>
        <v>44872</v>
      </c>
      <c r="B319" s="7">
        <f>IFERROR(IF(OR(PRECIOS!B319="",PRECIOS!B318=""),"",PRECIOS!B319/PRECIOS!B318-1),"")</f>
        <v>0.01183883389</v>
      </c>
      <c r="C319" s="7">
        <f>IFERROR(IF(OR(PRECIOS!C319="",PRECIOS!C318=""),"",PRECIOS!C319/PRECIOS!C318-1),"")</f>
        <v>-0.02387976977</v>
      </c>
      <c r="D319" s="7">
        <f>IFERROR(IF(OR(PRECIOS!D319="",PRECIOS!D318=""),"",PRECIOS!D319/PRECIOS!D318-1),"")</f>
        <v>0.04288651243</v>
      </c>
      <c r="E319" s="7">
        <f>IFERROR(IF(OR(PRECIOS!E319="",PRECIOS!E318=""),"",PRECIOS!E319/PRECIOS!E318-1),"")</f>
        <v>-0.001824204919</v>
      </c>
      <c r="F319" s="7">
        <f>IFERROR(IF(OR(PRECIOS!F319="",PRECIOS!F318=""),"",PRECIOS!F319/PRECIOS!F318-1),"")</f>
        <v>-0.01368159204</v>
      </c>
      <c r="G319" s="7">
        <f>IFERROR(IF(OR(PRECIOS!G319="",PRECIOS!G318=""),"",PRECIOS!G319/PRECIOS!G318-1),"")</f>
        <v>0.008946769289</v>
      </c>
      <c r="H319" s="7">
        <f>IFERROR(IF(OR(PRECIOS!H319="",PRECIOS!H318=""),"",PRECIOS!H319/PRECIOS!H318-1),"")</f>
        <v>0.01717182343</v>
      </c>
      <c r="I319" s="7">
        <f>IFERROR(IF(OR(PRECIOS!I319="",PRECIOS!I318=""),"",PRECIOS!I319/PRECIOS!I318-1),"")</f>
        <v>-0.01907630853</v>
      </c>
    </row>
    <row r="320" ht="15.75" customHeight="1">
      <c r="A320" s="4">
        <f>IF(PRECIOS!A320="","",PRECIOS!A320)</f>
        <v>44873</v>
      </c>
      <c r="B320" s="7">
        <f>IFERROR(IF(OR(PRECIOS!B320="",PRECIOS!B319=""),"",PRECIOS!B320/PRECIOS!B319-1),"")</f>
        <v>0.003175673278</v>
      </c>
      <c r="C320" s="7">
        <f>IFERROR(IF(OR(PRECIOS!C320="",PRECIOS!C319=""),"",PRECIOS!C320/PRECIOS!C319-1),"")</f>
        <v>0.009313149261</v>
      </c>
      <c r="D320" s="7">
        <f>IFERROR(IF(OR(PRECIOS!D320="",PRECIOS!D319=""),"",PRECIOS!D320/PRECIOS!D319-1),"")</f>
        <v>0.01217061708</v>
      </c>
      <c r="E320" s="7">
        <f>IFERROR(IF(OR(PRECIOS!E320="",PRECIOS!E319=""),"",PRECIOS!E320/PRECIOS!E319-1),"")</f>
        <v>-0.001326234699</v>
      </c>
      <c r="F320" s="7">
        <f>IFERROR(IF(OR(PRECIOS!F320="",PRECIOS!F319=""),"",PRECIOS!F320/PRECIOS!F319-1),"")</f>
        <v>-0.02269861286</v>
      </c>
      <c r="G320" s="7">
        <f>IFERROR(IF(OR(PRECIOS!G320="",PRECIOS!G319=""),"",PRECIOS!G320/PRECIOS!G319-1),"")</f>
        <v>0.003546375215</v>
      </c>
      <c r="H320" s="7">
        <f>IFERROR(IF(OR(PRECIOS!H320="",PRECIOS!H319=""),"",PRECIOS!H320/PRECIOS!H319-1),"")</f>
        <v>0.0009692859033</v>
      </c>
      <c r="I320" s="7">
        <f>IFERROR(IF(OR(PRECIOS!I320="",PRECIOS!I319=""),"",PRECIOS!I320/PRECIOS!I319-1),"")</f>
        <v>0.006988660227</v>
      </c>
    </row>
    <row r="321" ht="15.75" customHeight="1">
      <c r="A321" s="4">
        <f>IF(PRECIOS!A321="","",PRECIOS!A321)</f>
        <v>44874</v>
      </c>
      <c r="B321" s="7">
        <f>IFERROR(IF(OR(PRECIOS!B321="",PRECIOS!B320=""),"",PRECIOS!B321/PRECIOS!B320-1),"")</f>
        <v>-0.04474312494</v>
      </c>
      <c r="C321" s="7">
        <f>IFERROR(IF(OR(PRECIOS!C321="",PRECIOS!C320=""),"",PRECIOS!C321/PRECIOS!C320-1),"")</f>
        <v>-0.007975638509</v>
      </c>
      <c r="D321" s="7">
        <f>IFERROR(IF(OR(PRECIOS!D321="",PRECIOS!D320=""),"",PRECIOS!D321/PRECIOS!D320-1),"")</f>
        <v>-0.0236306036</v>
      </c>
      <c r="E321" s="7">
        <f>IFERROR(IF(OR(PRECIOS!E321="",PRECIOS!E320=""),"",PRECIOS!E321/PRECIOS!E320-1),"")</f>
        <v>-0.006862371331</v>
      </c>
      <c r="F321" s="7">
        <f>IFERROR(IF(OR(PRECIOS!F321="",PRECIOS!F320=""),"",PRECIOS!F321/PRECIOS!F320-1),"")</f>
        <v>-0.08129032258</v>
      </c>
      <c r="G321" s="7">
        <f>IFERROR(IF(OR(PRECIOS!G321="",PRECIOS!G320=""),"",PRECIOS!G321/PRECIOS!G320-1),"")</f>
        <v>-0.03798657438</v>
      </c>
      <c r="H321" s="7">
        <f>IFERROR(IF(OR(PRECIOS!H321="",PRECIOS!H320=""),"",PRECIOS!H321/PRECIOS!H320-1),"")</f>
        <v>-0.04888111434</v>
      </c>
      <c r="I321" s="7">
        <f>IFERROR(IF(OR(PRECIOS!I321="",PRECIOS!I320=""),"",PRECIOS!I321/PRECIOS!I320-1),"")</f>
        <v>-0.007841043693</v>
      </c>
    </row>
    <row r="322" ht="15.75" customHeight="1">
      <c r="A322" s="4">
        <f>IF(PRECIOS!A322="","",PRECIOS!A322)</f>
        <v>44875</v>
      </c>
      <c r="B322" s="7">
        <f>IFERROR(IF(OR(PRECIOS!B322="",PRECIOS!B321=""),"",PRECIOS!B322/PRECIOS!B321-1),"")</f>
        <v>0.01469962048</v>
      </c>
      <c r="C322" s="7">
        <f>IFERROR(IF(OR(PRECIOS!C322="",PRECIOS!C321=""),"",PRECIOS!C322/PRECIOS!C321-1),"")</f>
        <v>0.03578147526</v>
      </c>
      <c r="D322" s="7">
        <f>IFERROR(IF(OR(PRECIOS!D322="",PRECIOS!D321=""),"",PRECIOS!D322/PRECIOS!D321-1),"")</f>
        <v>0.04415869048</v>
      </c>
      <c r="E322" s="7">
        <f>IFERROR(IF(OR(PRECIOS!E322="",PRECIOS!E321=""),"",PRECIOS!E322/PRECIOS!E321-1),"")</f>
        <v>0.03730006398</v>
      </c>
      <c r="F322" s="7">
        <f>IFERROR(IF(OR(PRECIOS!F322="",PRECIOS!F321=""),"",PRECIOS!F322/PRECIOS!F321-1),"")</f>
        <v>0.009831460674</v>
      </c>
      <c r="G322" s="7">
        <f>IFERROR(IF(OR(PRECIOS!G322="",PRECIOS!G321=""),"",PRECIOS!G322/PRECIOS!G321-1),"")</f>
        <v>0.02907706663</v>
      </c>
      <c r="H322" s="7">
        <f>IFERROR(IF(OR(PRECIOS!H322="",PRECIOS!H321=""),"",PRECIOS!H322/PRECIOS!H321-1),"")</f>
        <v>0.02225197686</v>
      </c>
      <c r="I322" s="7">
        <f>IFERROR(IF(OR(PRECIOS!I322="",PRECIOS!I321=""),"",PRECIOS!I322/PRECIOS!I321-1),"")</f>
        <v>0.04713894167</v>
      </c>
    </row>
    <row r="323" ht="15.75" customHeight="1">
      <c r="A323" s="4">
        <f>IF(PRECIOS!A323="","",PRECIOS!A323)</f>
        <v>44876</v>
      </c>
      <c r="B323" s="7">
        <f>IFERROR(IF(OR(PRECIOS!B323="",PRECIOS!B322=""),"",PRECIOS!B323/PRECIOS!B322-1),"")</f>
        <v>0.03121750078</v>
      </c>
      <c r="C323" s="7">
        <f>IFERROR(IF(OR(PRECIOS!C323="",PRECIOS!C322=""),"",PRECIOS!C323/PRECIOS!C322-1),"")</f>
        <v>-0.009435311596</v>
      </c>
      <c r="D323" s="7">
        <f>IFERROR(IF(OR(PRECIOS!D323="",PRECIOS!D322=""),"",PRECIOS!D323/PRECIOS!D322-1),"")</f>
        <v>-0.02033386901</v>
      </c>
      <c r="E323" s="7">
        <f>IFERROR(IF(OR(PRECIOS!E323="",PRECIOS!E322=""),"",PRECIOS!E323/PRECIOS!E322-1),"")</f>
        <v>-0.003268981681</v>
      </c>
      <c r="F323" s="7">
        <f>IFERROR(IF(OR(PRECIOS!F323="",PRECIOS!F322=""),"",PRECIOS!F323/PRECIOS!F322-1),"")</f>
        <v>0.06397774687</v>
      </c>
      <c r="G323" s="7">
        <f>IFERROR(IF(OR(PRECIOS!G323="",PRECIOS!G322=""),"",PRECIOS!G323/PRECIOS!G322-1),"")</f>
        <v>0.01368493031</v>
      </c>
      <c r="H323" s="7">
        <f>IFERROR(IF(OR(PRECIOS!H323="",PRECIOS!H322=""),"",PRECIOS!H323/PRECIOS!H322-1),"")</f>
        <v>0.02906301435</v>
      </c>
      <c r="I323" s="7">
        <f>IFERROR(IF(OR(PRECIOS!I323="",PRECIOS!I322=""),"",PRECIOS!I323/PRECIOS!I322-1),"")</f>
        <v>-0.01118276531</v>
      </c>
    </row>
    <row r="324" ht="15.75" customHeight="1">
      <c r="A324" s="4">
        <f>IF(PRECIOS!A324="","",PRECIOS!A324)</f>
        <v>44879</v>
      </c>
      <c r="B324" s="7">
        <f>IFERROR(IF(OR(PRECIOS!B324="",PRECIOS!B323=""),"",PRECIOS!B324/PRECIOS!B323-1),"")</f>
        <v>0.002919320594</v>
      </c>
      <c r="C324" s="7">
        <f>IFERROR(IF(OR(PRECIOS!C324="",PRECIOS!C323=""),"",PRECIOS!C324/PRECIOS!C323-1),"")</f>
        <v>-0.008449234725</v>
      </c>
      <c r="D324" s="7">
        <f>IFERROR(IF(OR(PRECIOS!D324="",PRECIOS!D323=""),"",PRECIOS!D324/PRECIOS!D323-1),"")</f>
        <v>-0.04732014328</v>
      </c>
      <c r="E324" s="7">
        <f>IFERROR(IF(OR(PRECIOS!E324="",PRECIOS!E323=""),"",PRECIOS!E324/PRECIOS!E323-1),"")</f>
        <v>0.0003094059406</v>
      </c>
      <c r="F324" s="7">
        <f>IFERROR(IF(OR(PRECIOS!F324="",PRECIOS!F323=""),"",PRECIOS!F324/PRECIOS!F323-1),"")</f>
        <v>0.05098039216</v>
      </c>
      <c r="G324" s="7">
        <f>IFERROR(IF(OR(PRECIOS!G324="",PRECIOS!G323=""),"",PRECIOS!G324/PRECIOS!G323-1),"")</f>
        <v>-0.009096204021</v>
      </c>
      <c r="H324" s="7">
        <f>IFERROR(IF(OR(PRECIOS!H324="",PRECIOS!H323=""),"",PRECIOS!H324/PRECIOS!H323-1),"")</f>
        <v>-0.00032420905</v>
      </c>
      <c r="I324" s="7">
        <f>IFERROR(IF(OR(PRECIOS!I324="",PRECIOS!I323=""),"",PRECIOS!I324/PRECIOS!I323-1),"")</f>
        <v>-0.01189710611</v>
      </c>
    </row>
    <row r="325" ht="15.75" customHeight="1">
      <c r="A325" s="4">
        <f>IF(PRECIOS!A325="","",PRECIOS!A325)</f>
        <v>44880</v>
      </c>
      <c r="B325" s="7">
        <f>IFERROR(IF(OR(PRECIOS!B325="",PRECIOS!B324=""),"",PRECIOS!B325/PRECIOS!B324-1),"")</f>
        <v>0.006703713504</v>
      </c>
      <c r="C325" s="7">
        <f>IFERROR(IF(OR(PRECIOS!C325="",PRECIOS!C324=""),"",PRECIOS!C325/PRECIOS!C324-1),"")</f>
        <v>0.02091632218</v>
      </c>
      <c r="D325" s="7">
        <f>IFERROR(IF(OR(PRECIOS!D325="",PRECIOS!D324=""),"",PRECIOS!D325/PRECIOS!D324-1),"")</f>
        <v>-0.01089343758</v>
      </c>
      <c r="E325" s="7">
        <f>IFERROR(IF(OR(PRECIOS!E325="",PRECIOS!E324=""),"",PRECIOS!E325/PRECIOS!E324-1),"")</f>
        <v>0.004577791525</v>
      </c>
      <c r="F325" s="7">
        <f>IFERROR(IF(OR(PRECIOS!F325="",PRECIOS!F324=""),"",PRECIOS!F325/PRECIOS!F324-1),"")</f>
        <v>0.004975124378</v>
      </c>
      <c r="G325" s="7">
        <f>IFERROR(IF(OR(PRECIOS!G325="",PRECIOS!G324=""),"",PRECIOS!G325/PRECIOS!G324-1),"")</f>
        <v>0.003847618705</v>
      </c>
      <c r="H325" s="7">
        <f>IFERROR(IF(OR(PRECIOS!H325="",PRECIOS!H324=""),"",PRECIOS!H325/PRECIOS!H324-1),"")</f>
        <v>0.01052699856</v>
      </c>
      <c r="I325" s="7">
        <f>IFERROR(IF(OR(PRECIOS!I325="",PRECIOS!I324=""),"",PRECIOS!I325/PRECIOS!I324-1),"")</f>
        <v>0.01100165337</v>
      </c>
    </row>
    <row r="326" ht="15.75" customHeight="1">
      <c r="A326" s="4">
        <f>IF(PRECIOS!A326="","",PRECIOS!A326)</f>
        <v>44881</v>
      </c>
      <c r="B326" s="7">
        <f>IFERROR(IF(OR(PRECIOS!B326="",PRECIOS!B325=""),"",PRECIOS!B326/PRECIOS!B325-1),"")</f>
        <v>-0.01068956453</v>
      </c>
      <c r="C326" s="7">
        <f>IFERROR(IF(OR(PRECIOS!C326="",PRECIOS!C325=""),"",PRECIOS!C326/PRECIOS!C325-1),"")</f>
        <v>-0.0009095119924</v>
      </c>
      <c r="D326" s="7">
        <f>IFERROR(IF(OR(PRECIOS!D326="",PRECIOS!D325=""),"",PRECIOS!D326/PRECIOS!D325-1),"")</f>
        <v>0.005724309441</v>
      </c>
      <c r="E326" s="7">
        <f>IFERROR(IF(OR(PRECIOS!E326="",PRECIOS!E325=""),"",PRECIOS!E326/PRECIOS!E325-1),"")</f>
        <v>-0.004002709526</v>
      </c>
      <c r="F326" s="7">
        <f>IFERROR(IF(OR(PRECIOS!F326="",PRECIOS!F325=""),"",PRECIOS!F326/PRECIOS!F325-1),"")</f>
        <v>-0.05445544554</v>
      </c>
      <c r="G326" s="7">
        <f>IFERROR(IF(OR(PRECIOS!G326="",PRECIOS!G325=""),"",PRECIOS!G326/PRECIOS!G325-1),"")</f>
        <v>-0.003832871278</v>
      </c>
      <c r="H326" s="7">
        <f>IFERROR(IF(OR(PRECIOS!H326="",PRECIOS!H325=""),"",PRECIOS!H326/PRECIOS!H325-1),"")</f>
        <v>-0.02040913359</v>
      </c>
      <c r="I326" s="7">
        <f>IFERROR(IF(OR(PRECIOS!I326="",PRECIOS!I325=""),"",PRECIOS!I326/PRECIOS!I325-1),"")</f>
        <v>0.008970199042</v>
      </c>
    </row>
    <row r="327" ht="15.75" customHeight="1">
      <c r="A327" s="4">
        <f>IF(PRECIOS!A327="","",PRECIOS!A327)</f>
        <v>44882</v>
      </c>
      <c r="B327" s="7">
        <f>IFERROR(IF(OR(PRECIOS!B327="",PRECIOS!B326=""),"",PRECIOS!B327/PRECIOS!B326-1),"")</f>
        <v>0.001328491719</v>
      </c>
      <c r="C327" s="7">
        <f>IFERROR(IF(OR(PRECIOS!C327="",PRECIOS!C326=""),"",PRECIOS!C327/PRECIOS!C326-1),"")</f>
        <v>-0.01382396512</v>
      </c>
      <c r="D327" s="7">
        <f>IFERROR(IF(OR(PRECIOS!D327="",PRECIOS!D326=""),"",PRECIOS!D327/PRECIOS!D326-1),"")</f>
        <v>-0.01620530845</v>
      </c>
      <c r="E327" s="7">
        <f>IFERROR(IF(OR(PRECIOS!E327="",PRECIOS!E326=""),"",PRECIOS!E327/PRECIOS!E326-1),"")</f>
        <v>0.005502658588</v>
      </c>
      <c r="F327" s="7">
        <f>IFERROR(IF(OR(PRECIOS!F327="",PRECIOS!F326=""),"",PRECIOS!F327/PRECIOS!F326-1),"")</f>
        <v>-0.03272251309</v>
      </c>
      <c r="G327" s="7">
        <f>IFERROR(IF(OR(PRECIOS!G327="",PRECIOS!G326=""),"",PRECIOS!G327/PRECIOS!G326-1),"")</f>
        <v>-0.01984087713</v>
      </c>
      <c r="H327" s="7">
        <f>IFERROR(IF(OR(PRECIOS!H327="",PRECIOS!H326=""),"",PRECIOS!H327/PRECIOS!H326-1),"")</f>
        <v>0.002169586953</v>
      </c>
      <c r="I327" s="7">
        <f>IFERROR(IF(OR(PRECIOS!I327="",PRECIOS!I326=""),"",PRECIOS!I327/PRECIOS!I326-1),"")</f>
        <v>-0.01748766647</v>
      </c>
    </row>
    <row r="328" ht="15.75" customHeight="1">
      <c r="A328" s="4">
        <f>IF(PRECIOS!A328="","",PRECIOS!A328)</f>
        <v>44883</v>
      </c>
      <c r="B328" s="7">
        <f>IFERROR(IF(OR(PRECIOS!B328="",PRECIOS!B327=""),"",PRECIOS!B328/PRECIOS!B327-1),"")</f>
        <v>-0.008667963913</v>
      </c>
      <c r="C328" s="7">
        <f>IFERROR(IF(OR(PRECIOS!C328="",PRECIOS!C327=""),"",PRECIOS!C328/PRECIOS!C327-1),"")</f>
        <v>0.02070361146</v>
      </c>
      <c r="D328" s="7">
        <f>IFERROR(IF(OR(PRECIOS!D328="",PRECIOS!D327=""),"",PRECIOS!D328/PRECIOS!D327-1),"")</f>
        <v>0.02003599657</v>
      </c>
      <c r="E328" s="7">
        <f>IFERROR(IF(OR(PRECIOS!E328="",PRECIOS!E327=""),"",PRECIOS!E328/PRECIOS!E327-1),"")</f>
        <v>0.01463444629</v>
      </c>
      <c r="F328" s="7">
        <f>IFERROR(IF(OR(PRECIOS!F328="",PRECIOS!F327=""),"",PRECIOS!F328/PRECIOS!F327-1),"")</f>
        <v>-0.004059539919</v>
      </c>
      <c r="G328" s="7">
        <f>IFERROR(IF(OR(PRECIOS!G328="",PRECIOS!G327=""),"",PRECIOS!G328/PRECIOS!G327-1),"")</f>
        <v>0.009062621429</v>
      </c>
      <c r="H328" s="7">
        <f>IFERROR(IF(OR(PRECIOS!H328="",PRECIOS!H327=""),"",PRECIOS!H328/PRECIOS!H327-1),"")</f>
        <v>-0.007901606474</v>
      </c>
      <c r="I328" s="7">
        <f>IFERROR(IF(OR(PRECIOS!I328="",PRECIOS!I327=""),"",PRECIOS!I328/PRECIOS!I327-1),"")</f>
        <v>0.02120653578</v>
      </c>
    </row>
    <row r="329" ht="15.75" customHeight="1">
      <c r="A329" s="4">
        <f>IF(PRECIOS!A329="","",PRECIOS!A329)</f>
        <v>44886</v>
      </c>
      <c r="B329" s="7">
        <f>IFERROR(IF(OR(PRECIOS!B329="",PRECIOS!B328=""),"",PRECIOS!B329/PRECIOS!B328-1),"")</f>
        <v>-0.009903640257</v>
      </c>
      <c r="C329" s="7">
        <f>IFERROR(IF(OR(PRECIOS!C329="",PRECIOS!C328=""),"",PRECIOS!C329/PRECIOS!C328-1),"")</f>
        <v>0.002440140308</v>
      </c>
      <c r="D329" s="7">
        <f>IFERROR(IF(OR(PRECIOS!D329="",PRECIOS!D328=""),"",PRECIOS!D329/PRECIOS!D328-1),"")</f>
        <v>-0.001311256122</v>
      </c>
      <c r="E329" s="7">
        <f>IFERROR(IF(OR(PRECIOS!E329="",PRECIOS!E328=""),"",PRECIOS!E329/PRECIOS!E328-1),"")</f>
        <v>-0.002787709836</v>
      </c>
      <c r="F329" s="7">
        <f>IFERROR(IF(OR(PRECIOS!F329="",PRECIOS!F328=""),"",PRECIOS!F329/PRECIOS!F328-1),"")</f>
        <v>-0.01222826087</v>
      </c>
      <c r="G329" s="7">
        <f>IFERROR(IF(OR(PRECIOS!G329="",PRECIOS!G328=""),"",PRECIOS!G329/PRECIOS!G328-1),"")</f>
        <v>-0.007486378067</v>
      </c>
      <c r="H329" s="7">
        <f>IFERROR(IF(OR(PRECIOS!H329="",PRECIOS!H328=""),"",PRECIOS!H329/PRECIOS!H328-1),"")</f>
        <v>-0.01353214984</v>
      </c>
      <c r="I329" s="7">
        <f>IFERROR(IF(OR(PRECIOS!I329="",PRECIOS!I328=""),"",PRECIOS!I329/PRECIOS!I328-1),"")</f>
        <v>0.004505864368</v>
      </c>
    </row>
    <row r="330" ht="15.75" customHeight="1">
      <c r="A330" s="4">
        <f>IF(PRECIOS!A330="","",PRECIOS!A330)</f>
        <v>44887</v>
      </c>
      <c r="B330" s="7">
        <f>IFERROR(IF(OR(PRECIOS!B330="",PRECIOS!B329=""),"",PRECIOS!B330/PRECIOS!B329-1),"")</f>
        <v>0.02892673696</v>
      </c>
      <c r="C330" s="7">
        <f>IFERROR(IF(OR(PRECIOS!C330="",PRECIOS!C329=""),"",PRECIOS!C330/PRECIOS!C329-1),"")</f>
        <v>0.003347025711</v>
      </c>
      <c r="D330" s="7">
        <f>IFERROR(IF(OR(PRECIOS!D330="",PRECIOS!D329=""),"",PRECIOS!D330/PRECIOS!D329-1),"")</f>
        <v>0.02403894874</v>
      </c>
      <c r="E330" s="7">
        <f>IFERROR(IF(OR(PRECIOS!E330="",PRECIOS!E329=""),"",PRECIOS!E330/PRECIOS!E329-1),"")</f>
        <v>0.01172895776</v>
      </c>
      <c r="F330" s="7">
        <f>IFERROR(IF(OR(PRECIOS!F330="",PRECIOS!F329=""),"",PRECIOS!F330/PRECIOS!F329-1),"")</f>
        <v>0.02888583219</v>
      </c>
      <c r="G330" s="7">
        <f>IFERROR(IF(OR(PRECIOS!G330="",PRECIOS!G329=""),"",PRECIOS!G330/PRECIOS!G329-1),"")</f>
        <v>0.03197690404</v>
      </c>
      <c r="H330" s="7">
        <f>IFERROR(IF(OR(PRECIOS!H330="",PRECIOS!H329=""),"",PRECIOS!H330/PRECIOS!H329-1),"")</f>
        <v>0.03130544084</v>
      </c>
      <c r="I330" s="7">
        <f>IFERROR(IF(OR(PRECIOS!I330="",PRECIOS!I329=""),"",PRECIOS!I330/PRECIOS!I329-1),"")</f>
        <v>0.008530093518</v>
      </c>
    </row>
    <row r="331" ht="15.75" customHeight="1">
      <c r="A331" s="4">
        <f>IF(PRECIOS!A331="","",PRECIOS!A331)</f>
        <v>44888</v>
      </c>
      <c r="B331" s="7">
        <f>IFERROR(IF(OR(PRECIOS!B331="",PRECIOS!B330=""),"",PRECIOS!B331/PRECIOS!B330-1),"")</f>
        <v>-0.004992117709</v>
      </c>
      <c r="C331" s="7">
        <f>IFERROR(IF(OR(PRECIOS!C331="",PRECIOS!C330=""),"",PRECIOS!C331/PRECIOS!C330-1),"")</f>
        <v>0.006216830933</v>
      </c>
      <c r="D331" s="7">
        <f>IFERROR(IF(OR(PRECIOS!D331="",PRECIOS!D330=""),"",PRECIOS!D331/PRECIOS!D330-1),"")</f>
        <v>0.0243308479</v>
      </c>
      <c r="E331" s="7">
        <f>IFERROR(IF(OR(PRECIOS!E331="",PRECIOS!E330=""),"",PRECIOS!E331/PRECIOS!E330-1),"")</f>
        <v>-0.006727534839</v>
      </c>
      <c r="F331" s="7">
        <f>IFERROR(IF(OR(PRECIOS!F331="",PRECIOS!F330=""),"",PRECIOS!F331/PRECIOS!F330-1),"")</f>
        <v>0.02406417112</v>
      </c>
      <c r="G331" s="7">
        <f>IFERROR(IF(OR(PRECIOS!G331="",PRECIOS!G330=""),"",PRECIOS!G331/PRECIOS!G330-1),"")</f>
        <v>-0.01110726265</v>
      </c>
      <c r="H331" s="7">
        <f>IFERROR(IF(OR(PRECIOS!H331="",PRECIOS!H330=""),"",PRECIOS!H331/PRECIOS!H330-1),"")</f>
        <v>-0.01083495882</v>
      </c>
      <c r="I331" s="7">
        <f>IFERROR(IF(OR(PRECIOS!I331="",PRECIOS!I330=""),"",PRECIOS!I331/PRECIOS!I330-1),"")</f>
        <v>0.01118744115</v>
      </c>
    </row>
    <row r="332" ht="15.75" customHeight="1">
      <c r="A332" s="4">
        <f>IF(PRECIOS!A332="","",PRECIOS!A332)</f>
        <v>44890</v>
      </c>
      <c r="B332" s="7">
        <f>IFERROR(IF(OR(PRECIOS!B332="",PRECIOS!B331=""),"",PRECIOS!B332/PRECIOS!B331-1),"")</f>
        <v>-0.00352081683</v>
      </c>
      <c r="C332" s="7">
        <f>IFERROR(IF(OR(PRECIOS!C332="",PRECIOS!C331=""),"",PRECIOS!C332/PRECIOS!C331-1),"")</f>
        <v>0.008288125377</v>
      </c>
      <c r="D332" s="7">
        <f>IFERROR(IF(OR(PRECIOS!D332="",PRECIOS!D331=""),"",PRECIOS!D332/PRECIOS!D331-1),"")</f>
        <v>0.003330869134</v>
      </c>
      <c r="E332" s="7">
        <f>IFERROR(IF(OR(PRECIOS!E332="",PRECIOS!E331=""),"",PRECIOS!E332/PRECIOS!E331-1),"")</f>
        <v>0.004535558781</v>
      </c>
      <c r="F332" s="7">
        <f>IFERROR(IF(OR(PRECIOS!F332="",PRECIOS!F331=""),"",PRECIOS!F332/PRECIOS!F331-1),"")</f>
        <v>0.07310704961</v>
      </c>
      <c r="G332" s="7">
        <f>IFERROR(IF(OR(PRECIOS!G332="",PRECIOS!G331=""),"",PRECIOS!G332/PRECIOS!G331-1),"")</f>
        <v>0.002068583574</v>
      </c>
      <c r="H332" s="7">
        <f>IFERROR(IF(OR(PRECIOS!H332="",PRECIOS!H331=""),"",PRECIOS!H332/PRECIOS!H331-1),"")</f>
        <v>-0.003686787959</v>
      </c>
      <c r="I332" s="7">
        <f>IFERROR(IF(OR(PRECIOS!I332="",PRECIOS!I331=""),"",PRECIOS!I332/PRECIOS!I331-1),"")</f>
        <v>0.005809287336</v>
      </c>
    </row>
    <row r="333" ht="15.75" customHeight="1">
      <c r="A333" s="4">
        <f>IF(PRECIOS!A333="","",PRECIOS!A333)</f>
        <v>44893</v>
      </c>
      <c r="B333" s="7">
        <f>IFERROR(IF(OR(PRECIOS!B333="",PRECIOS!B332=""),"",PRECIOS!B333/PRECIOS!B332-1),"")</f>
        <v>-0.03003268263</v>
      </c>
      <c r="C333" s="7">
        <f>IFERROR(IF(OR(PRECIOS!C333="",PRECIOS!C332=""),"",PRECIOS!C333/PRECIOS!C332-1),"")</f>
        <v>-0.01599163055</v>
      </c>
      <c r="D333" s="7">
        <f>IFERROR(IF(OR(PRECIOS!D333="",PRECIOS!D332=""),"",PRECIOS!D333/PRECIOS!D332-1),"")</f>
        <v>-0.01204425857</v>
      </c>
      <c r="E333" s="7">
        <f>IFERROR(IF(OR(PRECIOS!E333="",PRECIOS!E332=""),"",PRECIOS!E333/PRECIOS!E332-1),"")</f>
        <v>-0.02143158148</v>
      </c>
      <c r="F333" s="7">
        <f>IFERROR(IF(OR(PRECIOS!F333="",PRECIOS!F332=""),"",PRECIOS!F333/PRECIOS!F332-1),"")</f>
        <v>0.007299270073</v>
      </c>
      <c r="G333" s="7">
        <f>IFERROR(IF(OR(PRECIOS!G333="",PRECIOS!G332=""),"",PRECIOS!G333/PRECIOS!G332-1),"")</f>
        <v>-0.01238886764</v>
      </c>
      <c r="H333" s="7">
        <f>IFERROR(IF(OR(PRECIOS!H333="",PRECIOS!H332=""),"",PRECIOS!H333/PRECIOS!H332-1),"")</f>
        <v>-0.02743187678</v>
      </c>
      <c r="I333" s="7">
        <f>IFERROR(IF(OR(PRECIOS!I333="",PRECIOS!I332=""),"",PRECIOS!I333/PRECIOS!I332-1),"")</f>
        <v>-0.01028598145</v>
      </c>
    </row>
    <row r="334" ht="15.75" customHeight="1">
      <c r="A334" s="4">
        <f>IF(PRECIOS!A334="","",PRECIOS!A334)</f>
        <v>44894</v>
      </c>
      <c r="B334" s="7">
        <f>IFERROR(IF(OR(PRECIOS!B334="",PRECIOS!B333=""),"",PRECIOS!B334/PRECIOS!B333-1),"")</f>
        <v>0.00664784628</v>
      </c>
      <c r="C334" s="7">
        <f>IFERROR(IF(OR(PRECIOS!C334="",PRECIOS!C333=""),"",PRECIOS!C334/PRECIOS!C333-1),"")</f>
        <v>-0.001670716889</v>
      </c>
      <c r="D334" s="7">
        <f>IFERROR(IF(OR(PRECIOS!D334="",PRECIOS!D333=""),"",PRECIOS!D334/PRECIOS!D333-1),"")</f>
        <v>0.01849638971</v>
      </c>
      <c r="E334" s="7">
        <f>IFERROR(IF(OR(PRECIOS!E334="",PRECIOS!E333=""),"",PRECIOS!E334/PRECIOS!E333-1),"")</f>
        <v>-0.002460781298</v>
      </c>
      <c r="F334" s="7">
        <f>IFERROR(IF(OR(PRECIOS!F334="",PRECIOS!F333=""),"",PRECIOS!F334/PRECIOS!F333-1),"")</f>
        <v>0.038647343</v>
      </c>
      <c r="G334" s="7">
        <f>IFERROR(IF(OR(PRECIOS!G334="",PRECIOS!G333=""),"",PRECIOS!G334/PRECIOS!G333-1),"")</f>
        <v>0.02508855407</v>
      </c>
      <c r="H334" s="7">
        <f>IFERROR(IF(OR(PRECIOS!H334="",PRECIOS!H333=""),"",PRECIOS!H334/PRECIOS!H333-1),"")</f>
        <v>0.01511408153</v>
      </c>
      <c r="I334" s="7">
        <f>IFERROR(IF(OR(PRECIOS!I334="",PRECIOS!I333=""),"",PRECIOS!I334/PRECIOS!I333-1),"")</f>
        <v>-0.007410440123</v>
      </c>
    </row>
    <row r="335" ht="15.75" customHeight="1">
      <c r="A335" s="4">
        <f>IF(PRECIOS!A335="","",PRECIOS!A335)</f>
        <v>44895</v>
      </c>
      <c r="B335" s="7">
        <f>IFERROR(IF(OR(PRECIOS!B335="",PRECIOS!B334=""),"",PRECIOS!B335/PRECIOS!B334-1),"")</f>
        <v>0.007237199204</v>
      </c>
      <c r="C335" s="7">
        <f>IFERROR(IF(OR(PRECIOS!C335="",PRECIOS!C334=""),"",PRECIOS!C335/PRECIOS!C334-1),"")</f>
        <v>0.02905826867</v>
      </c>
      <c r="D335" s="7">
        <f>IFERROR(IF(OR(PRECIOS!D335="",PRECIOS!D334=""),"",PRECIOS!D335/PRECIOS!D334-1),"")</f>
        <v>0.004127194132</v>
      </c>
      <c r="E335" s="7">
        <f>IFERROR(IF(OR(PRECIOS!E335="",PRECIOS!E334=""),"",PRECIOS!E335/PRECIOS!E334-1),"")</f>
        <v>0.008017267962</v>
      </c>
      <c r="F335" s="7">
        <f>IFERROR(IF(OR(PRECIOS!F335="",PRECIOS!F334=""),"",PRECIOS!F335/PRECIOS!F334-1),"")</f>
        <v>-0.02441860465</v>
      </c>
      <c r="G335" s="7">
        <f>IFERROR(IF(OR(PRECIOS!G335="",PRECIOS!G334=""),"",PRECIOS!G335/PRECIOS!G334-1),"")</f>
        <v>0.01107461867</v>
      </c>
      <c r="H335" s="7">
        <f>IFERROR(IF(OR(PRECIOS!H335="",PRECIOS!H334=""),"",PRECIOS!H335/PRECIOS!H334-1),"")</f>
        <v>0.004958905934</v>
      </c>
      <c r="I335" s="7">
        <f>IFERROR(IF(OR(PRECIOS!I335="",PRECIOS!I334=""),"",PRECIOS!I335/PRECIOS!I334-1),"")</f>
        <v>0.02496414656</v>
      </c>
    </row>
    <row r="336" ht="15.75" customHeight="1">
      <c r="A336" s="4">
        <f>IF(PRECIOS!A336="","",PRECIOS!A336)</f>
        <v>44896</v>
      </c>
      <c r="B336" s="7">
        <f>IFERROR(IF(OR(PRECIOS!B336="",PRECIOS!B335=""),"",PRECIOS!B336/PRECIOS!B335-1),"")</f>
        <v>-0.004850008981</v>
      </c>
      <c r="C336" s="7">
        <f>IFERROR(IF(OR(PRECIOS!C336="",PRECIOS!C335=""),"",PRECIOS!C336/PRECIOS!C335-1),"")</f>
        <v>0.001182732111</v>
      </c>
      <c r="D336" s="7">
        <f>IFERROR(IF(OR(PRECIOS!D336="",PRECIOS!D335=""),"",PRECIOS!D336/PRECIOS!D335-1),"")</f>
        <v>0.008220460826</v>
      </c>
      <c r="E336" s="7">
        <f>IFERROR(IF(OR(PRECIOS!E336="",PRECIOS!E335=""),"",PRECIOS!E336/PRECIOS!E335-1),"")</f>
        <v>-0.0005506271031</v>
      </c>
      <c r="F336" s="7">
        <f>IFERROR(IF(OR(PRECIOS!F336="",PRECIOS!F335=""),"",PRECIOS!F336/PRECIOS!F335-1),"")</f>
        <v>-0.001191895113</v>
      </c>
      <c r="G336" s="7">
        <f>IFERROR(IF(OR(PRECIOS!G336="",PRECIOS!G335=""),"",PRECIOS!G336/PRECIOS!G335-1),"")</f>
        <v>0.006339088712</v>
      </c>
      <c r="H336" s="7">
        <f>IFERROR(IF(OR(PRECIOS!H336="",PRECIOS!H335=""),"",PRECIOS!H336/PRECIOS!H335-1),"")</f>
        <v>-0.003290442259</v>
      </c>
      <c r="I336" s="7">
        <f>IFERROR(IF(OR(PRECIOS!I336="",PRECIOS!I335=""),"",PRECIOS!I336/PRECIOS!I335-1),"")</f>
        <v>-0.0008358098068</v>
      </c>
    </row>
    <row r="337" ht="15.75" customHeight="1">
      <c r="A337" s="4">
        <f>IF(PRECIOS!A337="","",PRECIOS!A337)</f>
        <v>44897</v>
      </c>
      <c r="B337" s="7">
        <f>IFERROR(IF(OR(PRECIOS!B337="",PRECIOS!B336=""),"",PRECIOS!B337/PRECIOS!B336-1),"")</f>
        <v>-0.008483754513</v>
      </c>
      <c r="C337" s="7">
        <f>IFERROR(IF(OR(PRECIOS!C337="",PRECIOS!C336=""),"",PRECIOS!C337/PRECIOS!C336-1),"")</f>
        <v>-0.005611340815</v>
      </c>
      <c r="D337" s="7">
        <f>IFERROR(IF(OR(PRECIOS!D337="",PRECIOS!D336=""),"",PRECIOS!D337/PRECIOS!D336-1),"")</f>
        <v>-0.02201509865</v>
      </c>
      <c r="E337" s="7">
        <f>IFERROR(IF(OR(PRECIOS!E337="",PRECIOS!E336=""),"",PRECIOS!E337/PRECIOS!E336-1),"")</f>
        <v>-0.000306072478</v>
      </c>
      <c r="F337" s="7">
        <f>IFERROR(IF(OR(PRECIOS!F337="",PRECIOS!F336=""),"",PRECIOS!F337/PRECIOS!F336-1),"")</f>
        <v>-0.01431980907</v>
      </c>
      <c r="G337" s="7">
        <f>IFERROR(IF(OR(PRECIOS!G337="",PRECIOS!G336=""),"",PRECIOS!G337/PRECIOS!G336-1),"")</f>
        <v>0.001145565068</v>
      </c>
      <c r="H337" s="7">
        <f>IFERROR(IF(OR(PRECIOS!H337="",PRECIOS!H336=""),"",PRECIOS!H337/PRECIOS!H336-1),"")</f>
        <v>-0.00594530321</v>
      </c>
      <c r="I337" s="7">
        <f>IFERROR(IF(OR(PRECIOS!I337="",PRECIOS!I336=""),"",PRECIOS!I337/PRECIOS!I336-1),"")</f>
        <v>-0.004765002943</v>
      </c>
    </row>
    <row r="338" ht="15.75" customHeight="1">
      <c r="A338" s="4">
        <f>IF(PRECIOS!A338="","",PRECIOS!A338)</f>
        <v>44900</v>
      </c>
      <c r="B338" s="7">
        <f>IFERROR(IF(OR(PRECIOS!B338="",PRECIOS!B337=""),"",PRECIOS!B338/PRECIOS!B337-1),"")</f>
        <v>-0.02739850719</v>
      </c>
      <c r="C338" s="7">
        <f>IFERROR(IF(OR(PRECIOS!C338="",PRECIOS!C337=""),"",PRECIOS!C338/PRECIOS!C337-1),"")</f>
        <v>0.002079002079</v>
      </c>
      <c r="D338" s="7">
        <f>IFERROR(IF(OR(PRECIOS!D338="",PRECIOS!D337=""),"",PRECIOS!D338/PRECIOS!D337-1),"")</f>
        <v>-0.02292247958</v>
      </c>
      <c r="E338" s="7">
        <f>IFERROR(IF(OR(PRECIOS!E338="",PRECIOS!E337=""),"",PRECIOS!E338/PRECIOS!E337-1),"")</f>
        <v>-0.01806380503</v>
      </c>
      <c r="F338" s="7">
        <f>IFERROR(IF(OR(PRECIOS!F338="",PRECIOS!F337=""),"",PRECIOS!F338/PRECIOS!F337-1),"")</f>
        <v>-0.05811138015</v>
      </c>
      <c r="G338" s="7">
        <f>IFERROR(IF(OR(PRECIOS!G338="",PRECIOS!G337=""),"",PRECIOS!G338/PRECIOS!G337-1),"")</f>
        <v>-0.02259829723</v>
      </c>
      <c r="H338" s="7">
        <f>IFERROR(IF(OR(PRECIOS!H338="",PRECIOS!H337=""),"",PRECIOS!H338/PRECIOS!H337-1),"")</f>
        <v>-0.02967398734</v>
      </c>
      <c r="I338" s="7">
        <f>IFERROR(IF(OR(PRECIOS!I338="",PRECIOS!I337=""),"",PRECIOS!I338/PRECIOS!I337-1),"")</f>
        <v>-0.005631443941</v>
      </c>
    </row>
    <row r="339" ht="15.75" customHeight="1">
      <c r="A339" s="4">
        <f>IF(PRECIOS!A339="","",PRECIOS!A339)</f>
        <v>44901</v>
      </c>
      <c r="B339" s="7">
        <f>IFERROR(IF(OR(PRECIOS!B339="",PRECIOS!B338=""),"",PRECIOS!B339/PRECIOS!B338-1),"")</f>
        <v>-0.02779597567</v>
      </c>
      <c r="C339" s="7">
        <f>IFERROR(IF(OR(PRECIOS!C339="",PRECIOS!C338=""),"",PRECIOS!C339/PRECIOS!C338-1),"")</f>
        <v>0.01481920569</v>
      </c>
      <c r="D339" s="7">
        <f>IFERROR(IF(OR(PRECIOS!D339="",PRECIOS!D338=""),"",PRECIOS!D339/PRECIOS!D338-1),"")</f>
        <v>0.0119430073</v>
      </c>
      <c r="E339" s="7">
        <f>IFERROR(IF(OR(PRECIOS!E339="",PRECIOS!E338=""),"",PRECIOS!E339/PRECIOS!E338-1),"")</f>
        <v>-0.01590172113</v>
      </c>
      <c r="F339" s="7">
        <f>IFERROR(IF(OR(PRECIOS!F339="",PRECIOS!F338=""),"",PRECIOS!F339/PRECIOS!F338-1),"")</f>
        <v>-0.01670951157</v>
      </c>
      <c r="G339" s="7">
        <f>IFERROR(IF(OR(PRECIOS!G339="",PRECIOS!G338=""),"",PRECIOS!G339/PRECIOS!G338-1),"")</f>
        <v>-0.02048594851</v>
      </c>
      <c r="H339" s="7">
        <f>IFERROR(IF(OR(PRECIOS!H339="",PRECIOS!H338=""),"",PRECIOS!H339/PRECIOS!H338-1),"")</f>
        <v>-0.02635998428</v>
      </c>
      <c r="I339" s="7">
        <f>IFERROR(IF(OR(PRECIOS!I339="",PRECIOS!I338=""),"",PRECIOS!I339/PRECIOS!I338-1),"")</f>
        <v>0.006233114084</v>
      </c>
    </row>
    <row r="340" ht="15.75" customHeight="1">
      <c r="A340" s="4">
        <f>IF(PRECIOS!A340="","",PRECIOS!A340)</f>
        <v>44902</v>
      </c>
      <c r="B340" s="7">
        <f>IFERROR(IF(OR(PRECIOS!B340="",PRECIOS!B339=""),"",PRECIOS!B340/PRECIOS!B339-1),"")</f>
        <v>-0.002214093184</v>
      </c>
      <c r="C340" s="7">
        <f>IFERROR(IF(OR(PRECIOS!C340="",PRECIOS!C339=""),"",PRECIOS!C340/PRECIOS!C339-1),"")</f>
        <v>0.0002920560748</v>
      </c>
      <c r="D340" s="7">
        <f>IFERROR(IF(OR(PRECIOS!D340="",PRECIOS!D339=""),"",PRECIOS!D340/PRECIOS!D339-1),"")</f>
        <v>-0.003374444322</v>
      </c>
      <c r="E340" s="7">
        <f>IFERROR(IF(OR(PRECIOS!E340="",PRECIOS!E339=""),"",PRECIOS!E340/PRECIOS!E339-1),"")</f>
        <v>-0.003421836386</v>
      </c>
      <c r="F340" s="7">
        <f>IFERROR(IF(OR(PRECIOS!F340="",PRECIOS!F339=""),"",PRECIOS!F340/PRECIOS!F339-1),"")</f>
        <v>0.01699346405</v>
      </c>
      <c r="G340" s="7">
        <f>IFERROR(IF(OR(PRECIOS!G340="",PRECIOS!G339=""),"",PRECIOS!G340/PRECIOS!G339-1),"")</f>
        <v>0.009561560108</v>
      </c>
      <c r="H340" s="7">
        <f>IFERROR(IF(OR(PRECIOS!H340="",PRECIOS!H339=""),"",PRECIOS!H340/PRECIOS!H339-1),"")</f>
        <v>-0.002343516533</v>
      </c>
      <c r="I340" s="7">
        <f>IFERROR(IF(OR(PRECIOS!I340="",PRECIOS!I339=""),"",PRECIOS!I340/PRECIOS!I339-1),"")</f>
        <v>-0.004645099467</v>
      </c>
    </row>
    <row r="341" ht="15.75" customHeight="1">
      <c r="A341" s="4">
        <f>IF(PRECIOS!A341="","",PRECIOS!A341)</f>
        <v>44903</v>
      </c>
      <c r="B341" s="7">
        <f>IFERROR(IF(OR(PRECIOS!B341="",PRECIOS!B340=""),"",PRECIOS!B341/PRECIOS!B340-1),"")</f>
        <v>0.007428847082</v>
      </c>
      <c r="C341" s="7">
        <f>IFERROR(IF(OR(PRECIOS!C341="",PRECIOS!C340=""),"",PRECIOS!C341/PRECIOS!C340-1),"")</f>
        <v>0.002627737226</v>
      </c>
      <c r="D341" s="7">
        <f>IFERROR(IF(OR(PRECIOS!D341="",PRECIOS!D340=""),"",PRECIOS!D341/PRECIOS!D340-1),"")</f>
        <v>-0.002115102514</v>
      </c>
      <c r="E341" s="7">
        <f>IFERROR(IF(OR(PRECIOS!E341="",PRECIOS!E340=""),"",PRECIOS!E341/PRECIOS!E340-1),"")</f>
        <v>0.009410567813</v>
      </c>
      <c r="F341" s="7">
        <f>IFERROR(IF(OR(PRECIOS!F341="",PRECIOS!F340=""),"",PRECIOS!F341/PRECIOS!F340-1),"")</f>
        <v>-0.04884318766</v>
      </c>
      <c r="G341" s="7">
        <f>IFERROR(IF(OR(PRECIOS!G341="",PRECIOS!G340=""),"",PRECIOS!G341/PRECIOS!G340-1),"")</f>
        <v>-0.01363704481</v>
      </c>
      <c r="H341" s="7">
        <f>IFERROR(IF(OR(PRECIOS!H341="",PRECIOS!H340=""),"",PRECIOS!H341/PRECIOS!H340-1),"")</f>
        <v>-0.004464191874</v>
      </c>
      <c r="I341" s="7">
        <f>IFERROR(IF(OR(PRECIOS!I341="",PRECIOS!I340=""),"",PRECIOS!I341/PRECIOS!I340-1),"")</f>
        <v>0.006501605084</v>
      </c>
    </row>
    <row r="342" ht="15.75" customHeight="1">
      <c r="A342" s="4">
        <f>IF(PRECIOS!A342="","",PRECIOS!A342)</f>
        <v>44904</v>
      </c>
      <c r="B342" s="7">
        <f>IFERROR(IF(OR(PRECIOS!B342="",PRECIOS!B341=""),"",PRECIOS!B342/PRECIOS!B341-1),"")</f>
        <v>-0.00842750431</v>
      </c>
      <c r="C342" s="7">
        <f>IFERROR(IF(OR(PRECIOS!C342="",PRECIOS!C341=""),"",PRECIOS!C342/PRECIOS!C341-1),"")</f>
        <v>-0.004659289458</v>
      </c>
      <c r="D342" s="7">
        <f>IFERROR(IF(OR(PRECIOS!D342="",PRECIOS!D341=""),"",PRECIOS!D342/PRECIOS!D341-1),"")</f>
        <v>0.01144832655</v>
      </c>
      <c r="E342" s="7">
        <f>IFERROR(IF(OR(PRECIOS!E342="",PRECIOS!E341=""),"",PRECIOS!E342/PRECIOS!E341-1),"")</f>
        <v>-0.002960629921</v>
      </c>
      <c r="F342" s="7">
        <f>IFERROR(IF(OR(PRECIOS!F342="",PRECIOS!F341=""),"",PRECIOS!F342/PRECIOS!F341-1),"")</f>
        <v>-0.002702702703</v>
      </c>
      <c r="G342" s="7">
        <f>IFERROR(IF(OR(PRECIOS!G342="",PRECIOS!G341=""),"",PRECIOS!G342/PRECIOS!G341-1),"")</f>
        <v>-0.009723488301</v>
      </c>
      <c r="H342" s="7">
        <f>IFERROR(IF(OR(PRECIOS!H342="",PRECIOS!H341=""),"",PRECIOS!H342/PRECIOS!H341-1),"")</f>
        <v>-0.02431344603</v>
      </c>
      <c r="I342" s="7">
        <f>IFERROR(IF(OR(PRECIOS!I342="",PRECIOS!I341=""),"",PRECIOS!I342/PRECIOS!I341-1),"")</f>
        <v>-0.005192530458</v>
      </c>
    </row>
    <row r="343" ht="15.75" customHeight="1">
      <c r="A343" s="4">
        <f>IF(PRECIOS!A343="","",PRECIOS!A343)</f>
        <v>44907</v>
      </c>
      <c r="B343" s="7">
        <f>IFERROR(IF(OR(PRECIOS!B343="",PRECIOS!B342=""),"",PRECIOS!B343/PRECIOS!B342-1),"")</f>
        <v>0.02462816303</v>
      </c>
      <c r="C343" s="7">
        <f>IFERROR(IF(OR(PRECIOS!C343="",PRECIOS!C342=""),"",PRECIOS!C343/PRECIOS!C342-1),"")</f>
        <v>0.03905792861</v>
      </c>
      <c r="D343" s="7">
        <f>IFERROR(IF(OR(PRECIOS!D343="",PRECIOS!D342=""),"",PRECIOS!D343/PRECIOS!D342-1),"")</f>
        <v>0.01508743615</v>
      </c>
      <c r="E343" s="7">
        <f>IFERROR(IF(OR(PRECIOS!E343="",PRECIOS!E342=""),"",PRECIOS!E343/PRECIOS!E342-1),"")</f>
        <v>0.01611068992</v>
      </c>
      <c r="F343" s="7">
        <f>IFERROR(IF(OR(PRECIOS!F343="",PRECIOS!F342=""),"",PRECIOS!F343/PRECIOS!F342-1),"")</f>
        <v>0.01490514905</v>
      </c>
      <c r="G343" s="7">
        <f>IFERROR(IF(OR(PRECIOS!G343="",PRECIOS!G342=""),"",PRECIOS!G343/PRECIOS!G342-1),"")</f>
        <v>0.01841055539</v>
      </c>
      <c r="H343" s="7">
        <f>IFERROR(IF(OR(PRECIOS!H343="",PRECIOS!H342=""),"",PRECIOS!H343/PRECIOS!H342-1),"")</f>
        <v>0.02624752146</v>
      </c>
      <c r="I343" s="7">
        <f>IFERROR(IF(OR(PRECIOS!I343="",PRECIOS!I342=""),"",PRECIOS!I343/PRECIOS!I342-1),"")</f>
        <v>0.02286711475</v>
      </c>
    </row>
    <row r="344" ht="15.75" customHeight="1">
      <c r="A344" s="4">
        <f>IF(PRECIOS!A344="","",PRECIOS!A344)</f>
        <v>44908</v>
      </c>
      <c r="B344" s="7">
        <f>IFERROR(IF(OR(PRECIOS!B344="",PRECIOS!B343=""),"",PRECIOS!B344/PRECIOS!B343-1),"")</f>
        <v>0.01093411255</v>
      </c>
      <c r="C344" s="7">
        <f>IFERROR(IF(OR(PRECIOS!C344="",PRECIOS!C343=""),"",PRECIOS!C344/PRECIOS!C343-1),"")</f>
        <v>0.002534140504</v>
      </c>
      <c r="D344" s="7">
        <f>IFERROR(IF(OR(PRECIOS!D344="",PRECIOS!D343=""),"",PRECIOS!D344/PRECIOS!D343-1),"")</f>
        <v>0.002888561463</v>
      </c>
      <c r="E344" s="7">
        <f>IFERROR(IF(OR(PRECIOS!E344="",PRECIOS!E343=""),"",PRECIOS!E344/PRECIOS!E343-1),"")</f>
        <v>0.0174718647</v>
      </c>
      <c r="F344" s="7">
        <f>IFERROR(IF(OR(PRECIOS!F344="",PRECIOS!F343=""),"",PRECIOS!F344/PRECIOS!F343-1),"")</f>
        <v>0.002670226969</v>
      </c>
      <c r="G344" s="7">
        <f>IFERROR(IF(OR(PRECIOS!G344="",PRECIOS!G343=""),"",PRECIOS!G344/PRECIOS!G343-1),"")</f>
        <v>0.01807773426</v>
      </c>
      <c r="H344" s="7">
        <f>IFERROR(IF(OR(PRECIOS!H344="",PRECIOS!H343=""),"",PRECIOS!H344/PRECIOS!H343-1),"")</f>
        <v>0.01897589726</v>
      </c>
      <c r="I344" s="7">
        <f>IFERROR(IF(OR(PRECIOS!I344="",PRECIOS!I343=""),"",PRECIOS!I344/PRECIOS!I343-1),"")</f>
        <v>0.003039791976</v>
      </c>
    </row>
    <row r="345" ht="15.75" customHeight="1">
      <c r="A345" s="4">
        <f>IF(PRECIOS!A345="","",PRECIOS!A345)</f>
        <v>44909</v>
      </c>
      <c r="B345" s="7">
        <f>IFERROR(IF(OR(PRECIOS!B345="",PRECIOS!B344=""),"",PRECIOS!B345/PRECIOS!B344-1),"")</f>
        <v>-0.007365967366</v>
      </c>
      <c r="C345" s="7">
        <f>IFERROR(IF(OR(PRECIOS!C345="",PRECIOS!C344=""),"",PRECIOS!C345/PRECIOS!C344-1),"")</f>
        <v>-0.001404297149</v>
      </c>
      <c r="D345" s="7">
        <f>IFERROR(IF(OR(PRECIOS!D345="",PRECIOS!D344=""),"",PRECIOS!D345/PRECIOS!D344-1),"")</f>
        <v>0.002473521697</v>
      </c>
      <c r="E345" s="7">
        <f>IFERROR(IF(OR(PRECIOS!E345="",PRECIOS!E344=""),"",PRECIOS!E345/PRECIOS!E344-1),"")</f>
        <v>-0.01393302371</v>
      </c>
      <c r="F345" s="7">
        <f>IFERROR(IF(OR(PRECIOS!F345="",PRECIOS!F344=""),"",PRECIOS!F345/PRECIOS!F344-1),"")</f>
        <v>-0.01597869507</v>
      </c>
      <c r="G345" s="7">
        <f>IFERROR(IF(OR(PRECIOS!G345="",PRECIOS!G344=""),"",PRECIOS!G345/PRECIOS!G344-1),"")</f>
        <v>-0.002071618822</v>
      </c>
      <c r="H345" s="7">
        <f>IFERROR(IF(OR(PRECIOS!H345="",PRECIOS!H344=""),"",PRECIOS!H345/PRECIOS!H344-1),"")</f>
        <v>-0.006130763759</v>
      </c>
      <c r="I345" s="7">
        <f>IFERROR(IF(OR(PRECIOS!I345="",PRECIOS!I344=""),"",PRECIOS!I345/PRECIOS!I344-1),"")</f>
        <v>-0.001238399513</v>
      </c>
    </row>
    <row r="346" ht="15.75" customHeight="1">
      <c r="A346" s="4">
        <f>IF(PRECIOS!A346="","",PRECIOS!A346)</f>
        <v>44910</v>
      </c>
      <c r="B346" s="7">
        <f>IFERROR(IF(OR(PRECIOS!B346="",PRECIOS!B345=""),"",PRECIOS!B346/PRECIOS!B345-1),"")</f>
        <v>-0.00958106331</v>
      </c>
      <c r="C346" s="7">
        <f>IFERROR(IF(OR(PRECIOS!C346="",PRECIOS!C345=""),"",PRECIOS!C346/PRECIOS!C345-1),"")</f>
        <v>-0.0104064126</v>
      </c>
      <c r="D346" s="7">
        <f>IFERROR(IF(OR(PRECIOS!D346="",PRECIOS!D345=""),"",PRECIOS!D346/PRECIOS!D345-1),"")</f>
        <v>-0.000823852816</v>
      </c>
      <c r="E346" s="7">
        <f>IFERROR(IF(OR(PRECIOS!E346="",PRECIOS!E345=""),"",PRECIOS!E346/PRECIOS!E345-1),"")</f>
        <v>-0.03705999008</v>
      </c>
      <c r="F346" s="7">
        <f>IFERROR(IF(OR(PRECIOS!F346="",PRECIOS!F345=""),"",PRECIOS!F346/PRECIOS!F345-1),"")</f>
        <v>0.01082543978</v>
      </c>
      <c r="G346" s="7">
        <f>IFERROR(IF(OR(PRECIOS!G346="",PRECIOS!G345=""),"",PRECIOS!G346/PRECIOS!G345-1),"")</f>
        <v>-0.006524317912</v>
      </c>
      <c r="H346" s="7">
        <f>IFERROR(IF(OR(PRECIOS!H346="",PRECIOS!H345=""),"",PRECIOS!H346/PRECIOS!H345-1),"")</f>
        <v>-0.006051456905</v>
      </c>
      <c r="I346" s="7">
        <f>IFERROR(IF(OR(PRECIOS!I346="",PRECIOS!I345=""),"",PRECIOS!I346/PRECIOS!I345-1),"")</f>
        <v>-0.01212516337</v>
      </c>
    </row>
    <row r="347" ht="15.75" customHeight="1">
      <c r="A347" s="4">
        <f>IF(PRECIOS!A347="","",PRECIOS!A347)</f>
        <v>44911</v>
      </c>
      <c r="B347" s="7">
        <f>IFERROR(IF(OR(PRECIOS!B347="",PRECIOS!B346=""),"",PRECIOS!B347/PRECIOS!B346-1),"")</f>
        <v>-0.007018209408</v>
      </c>
      <c r="C347" s="7">
        <f>IFERROR(IF(OR(PRECIOS!C347="",PRECIOS!C346=""),"",PRECIOS!C347/PRECIOS!C346-1),"")</f>
        <v>-0.01335796504</v>
      </c>
      <c r="D347" s="7">
        <f>IFERROR(IF(OR(PRECIOS!D347="",PRECIOS!D346=""),"",PRECIOS!D347/PRECIOS!D346-1),"")</f>
        <v>-0.0106857704</v>
      </c>
      <c r="E347" s="7">
        <f>IFERROR(IF(OR(PRECIOS!E347="",PRECIOS!E346=""),"",PRECIOS!E347/PRECIOS!E346-1),"")</f>
        <v>-0.00566353456</v>
      </c>
      <c r="F347" s="7">
        <f>IFERROR(IF(OR(PRECIOS!F347="",PRECIOS!F346=""),"",PRECIOS!F347/PRECIOS!F346-1),"")</f>
        <v>0</v>
      </c>
      <c r="G347" s="7">
        <f>IFERROR(IF(OR(PRECIOS!G347="",PRECIOS!G346=""),"",PRECIOS!G347/PRECIOS!G346-1),"")</f>
        <v>-0.03432835821</v>
      </c>
      <c r="H347" s="7">
        <f>IFERROR(IF(OR(PRECIOS!H347="",PRECIOS!H346=""),"",PRECIOS!H347/PRECIOS!H346-1),"")</f>
        <v>-0.01229443804</v>
      </c>
      <c r="I347" s="7">
        <f>IFERROR(IF(OR(PRECIOS!I347="",PRECIOS!I346=""),"",PRECIOS!I347/PRECIOS!I346-1),"")</f>
        <v>-0.01702013489</v>
      </c>
    </row>
    <row r="348" ht="15.75" customHeight="1">
      <c r="A348" s="4">
        <f>IF(PRECIOS!A348="","",PRECIOS!A348)</f>
        <v>44914</v>
      </c>
      <c r="B348" s="7">
        <f>IFERROR(IF(OR(PRECIOS!B348="",PRECIOS!B347=""),"",PRECIOS!B348/PRECIOS!B347-1),"")</f>
        <v>0.004489016237</v>
      </c>
      <c r="C348" s="7">
        <f>IFERROR(IF(OR(PRECIOS!C348="",PRECIOS!C347=""),"",PRECIOS!C348/PRECIOS!C347-1),"")</f>
        <v>-0.007489557828</v>
      </c>
      <c r="D348" s="7">
        <f>IFERROR(IF(OR(PRECIOS!D348="",PRECIOS!D347=""),"",PRECIOS!D348/PRECIOS!D347-1),"")</f>
        <v>-0.0007119822423</v>
      </c>
      <c r="E348" s="7">
        <f>IFERROR(IF(OR(PRECIOS!E348="",PRECIOS!E347=""),"",PRECIOS!E348/PRECIOS!E347-1),"")</f>
        <v>0</v>
      </c>
      <c r="F348" s="7">
        <f>IFERROR(IF(OR(PRECIOS!F348="",PRECIOS!F347=""),"",PRECIOS!F348/PRECIOS!F347-1),"")</f>
        <v>0.06291834003</v>
      </c>
      <c r="G348" s="7">
        <f>IFERROR(IF(OR(PRECIOS!G348="",PRECIOS!G347=""),"",PRECIOS!G348/PRECIOS!G347-1),"")</f>
        <v>-0.008655332303</v>
      </c>
      <c r="H348" s="7">
        <f>IFERROR(IF(OR(PRECIOS!H348="",PRECIOS!H347=""),"",PRECIOS!H348/PRECIOS!H347-1),"")</f>
        <v>-0.0001219560693</v>
      </c>
      <c r="I348" s="7">
        <f>IFERROR(IF(OR(PRECIOS!I348="",PRECIOS!I347=""),"",PRECIOS!I348/PRECIOS!I347-1),"")</f>
        <v>-0.00397183947</v>
      </c>
    </row>
    <row r="349" ht="15.75" customHeight="1">
      <c r="A349" s="4">
        <f>IF(PRECIOS!A349="","",PRECIOS!A349)</f>
        <v>44915</v>
      </c>
      <c r="B349" s="7">
        <f>IFERROR(IF(OR(PRECIOS!B349="",PRECIOS!B348=""),"",PRECIOS!B349/PRECIOS!B348-1),"")</f>
        <v>0.01445279072</v>
      </c>
      <c r="C349" s="7">
        <f>IFERROR(IF(OR(PRECIOS!C349="",PRECIOS!C348=""),"",PRECIOS!C349/PRECIOS!C348-1),"")</f>
        <v>0.008126541866</v>
      </c>
      <c r="D349" s="7">
        <f>IFERROR(IF(OR(PRECIOS!D349="",PRECIOS!D348=""),"",PRECIOS!D349/PRECIOS!D348-1),"")</f>
        <v>-0.001676445935</v>
      </c>
      <c r="E349" s="7">
        <f>IFERROR(IF(OR(PRECIOS!E349="",PRECIOS!E348=""),"",PRECIOS!E349/PRECIOS!E348-1),"")</f>
        <v>0.009126213592</v>
      </c>
      <c r="F349" s="7">
        <f>IFERROR(IF(OR(PRECIOS!F349="",PRECIOS!F348=""),"",PRECIOS!F349/PRECIOS!F348-1),"")</f>
        <v>0.06675062972</v>
      </c>
      <c r="G349" s="7">
        <f>IFERROR(IF(OR(PRECIOS!G349="",PRECIOS!G348=""),"",PRECIOS!G349/PRECIOS!G348-1),"")</f>
        <v>0.008730901154</v>
      </c>
      <c r="H349" s="7">
        <f>IFERROR(IF(OR(PRECIOS!H349="",PRECIOS!H348=""),"",PRECIOS!H349/PRECIOS!H348-1),"")</f>
        <v>0.01508727551</v>
      </c>
      <c r="I349" s="7">
        <f>IFERROR(IF(OR(PRECIOS!I349="",PRECIOS!I348=""),"",PRECIOS!I349/PRECIOS!I348-1),"")</f>
        <v>0.0002866340345</v>
      </c>
    </row>
    <row r="350" ht="15.75" customHeight="1">
      <c r="A350" s="4">
        <f>IF(PRECIOS!A350="","",PRECIOS!A350)</f>
        <v>44916</v>
      </c>
      <c r="B350" s="7">
        <f>IFERROR(IF(OR(PRECIOS!B350="",PRECIOS!B349=""),"",PRECIOS!B350/PRECIOS!B349-1),"")</f>
        <v>0.01284094104</v>
      </c>
      <c r="C350" s="7">
        <f>IFERROR(IF(OR(PRECIOS!C350="",PRECIOS!C349=""),"",PRECIOS!C350/PRECIOS!C349-1),"")</f>
        <v>0.01813732546</v>
      </c>
      <c r="D350" s="7">
        <f>IFERROR(IF(OR(PRECIOS!D350="",PRECIOS!D349=""),"",PRECIOS!D350/PRECIOS!D349-1),"")</f>
        <v>0.01469353484</v>
      </c>
      <c r="E350" s="7">
        <f>IFERROR(IF(OR(PRECIOS!E350="",PRECIOS!E349=""),"",PRECIOS!E350/PRECIOS!E349-1),"")</f>
        <v>0.01417484446</v>
      </c>
      <c r="F350" s="7">
        <f>IFERROR(IF(OR(PRECIOS!F350="",PRECIOS!F349=""),"",PRECIOS!F350/PRECIOS!F349-1),"")</f>
        <v>0.02479338843</v>
      </c>
      <c r="G350" s="7">
        <f>IFERROR(IF(OR(PRECIOS!G350="",PRECIOS!G349=""),"",PRECIOS!G350/PRECIOS!G349-1),"")</f>
        <v>0.01916537867</v>
      </c>
      <c r="H350" s="7">
        <f>IFERROR(IF(OR(PRECIOS!H350="",PRECIOS!H349=""),"",PRECIOS!H350/PRECIOS!H349-1),"")</f>
        <v>0.01899803829</v>
      </c>
      <c r="I350" s="7">
        <f>IFERROR(IF(OR(PRECIOS!I350="",PRECIOS!I349=""),"",PRECIOS!I350/PRECIOS!I349-1),"")</f>
        <v>0.01392768186</v>
      </c>
    </row>
    <row r="351" ht="15.75" customHeight="1">
      <c r="A351" s="4">
        <f>IF(PRECIOS!A351="","",PRECIOS!A351)</f>
        <v>44917</v>
      </c>
      <c r="B351" s="7">
        <f>IFERROR(IF(OR(PRECIOS!B351="",PRECIOS!B350=""),"",PRECIOS!B351/PRECIOS!B350-1),"")</f>
        <v>-0.02017397742</v>
      </c>
      <c r="C351" s="7">
        <f>IFERROR(IF(OR(PRECIOS!C351="",PRECIOS!C350=""),"",PRECIOS!C351/PRECIOS!C350-1),"")</f>
        <v>0.0004241481691</v>
      </c>
      <c r="D351" s="7">
        <f>IFERROR(IF(OR(PRECIOS!D351="",PRECIOS!D350=""),"",PRECIOS!D351/PRECIOS!D350-1),"")</f>
        <v>-0.02565163426</v>
      </c>
      <c r="E351" s="7">
        <f>IFERROR(IF(OR(PRECIOS!E351="",PRECIOS!E350=""),"",PRECIOS!E351/PRECIOS!E350-1),"")</f>
        <v>-0.01271186441</v>
      </c>
      <c r="F351" s="7">
        <f>IFERROR(IF(OR(PRECIOS!F351="",PRECIOS!F350=""),"",PRECIOS!F351/PRECIOS!F350-1),"")</f>
        <v>0.02073732719</v>
      </c>
      <c r="G351" s="7">
        <f>IFERROR(IF(OR(PRECIOS!G351="",PRECIOS!G350=""),"",PRECIOS!G351/PRECIOS!G350-1),"")</f>
        <v>-0.01213224143</v>
      </c>
      <c r="H351" s="7">
        <f>IFERROR(IF(OR(PRECIOS!H351="",PRECIOS!H350=""),"",PRECIOS!H351/PRECIOS!H350-1),"")</f>
        <v>-0.0230426914</v>
      </c>
      <c r="I351" s="7">
        <f>IFERROR(IF(OR(PRECIOS!I351="",PRECIOS!I350=""),"",PRECIOS!I351/PRECIOS!I350-1),"")</f>
        <v>-0.006084002087</v>
      </c>
    </row>
    <row r="352" ht="15.75" customHeight="1">
      <c r="A352" s="4">
        <f>IF(PRECIOS!A352="","",PRECIOS!A352)</f>
        <v>44918</v>
      </c>
      <c r="B352" s="7">
        <f>IFERROR(IF(OR(PRECIOS!B352="",PRECIOS!B351=""),"",PRECIOS!B352/PRECIOS!B351-1),"")</f>
        <v>0.02644503211</v>
      </c>
      <c r="C352" s="7">
        <f>IFERROR(IF(OR(PRECIOS!C352="",PRECIOS!C351=""),"",PRECIOS!C352/PRECIOS!C351-1),"")</f>
        <v>0.01384963256</v>
      </c>
      <c r="D352" s="7">
        <f>IFERROR(IF(OR(PRECIOS!D352="",PRECIOS!D351=""),"",PRECIOS!D352/PRECIOS!D351-1),"")</f>
        <v>0.0135881104</v>
      </c>
      <c r="E352" s="7">
        <f>IFERROR(IF(OR(PRECIOS!E352="",PRECIOS!E351=""),"",PRECIOS!E352/PRECIOS!E351-1),"")</f>
        <v>0.004419960284</v>
      </c>
      <c r="F352" s="7">
        <f>IFERROR(IF(OR(PRECIOS!F352="",PRECIOS!F351=""),"",PRECIOS!F352/PRECIOS!F351-1),"")</f>
        <v>0.02595936795</v>
      </c>
      <c r="G352" s="7">
        <f>IFERROR(IF(OR(PRECIOS!G352="",PRECIOS!G351=""),"",PRECIOS!G352/PRECIOS!G351-1),"")</f>
        <v>0.02302732576</v>
      </c>
      <c r="H352" s="7">
        <f>IFERROR(IF(OR(PRECIOS!H352="",PRECIOS!H351=""),"",PRECIOS!H352/PRECIOS!H351-1),"")</f>
        <v>0.03188555625</v>
      </c>
      <c r="I352" s="7">
        <f>IFERROR(IF(OR(PRECIOS!I352="",PRECIOS!I351=""),"",PRECIOS!I352/PRECIOS!I351-1),"")</f>
        <v>0.01025519243</v>
      </c>
    </row>
    <row r="353" ht="15.75" customHeight="1">
      <c r="A353" s="4">
        <f>IF(PRECIOS!A353="","",PRECIOS!A353)</f>
        <v>44922</v>
      </c>
      <c r="B353" s="7">
        <f>IFERROR(IF(OR(PRECIOS!B353="",PRECIOS!B352=""),"",PRECIOS!B353/PRECIOS!B352-1),"")</f>
        <v>0.01389400074</v>
      </c>
      <c r="C353" s="7">
        <f>IFERROR(IF(OR(PRECIOS!C353="",PRECIOS!C352=""),"",PRECIOS!C353/PRECIOS!C352-1),"")</f>
        <v>0.007387789239</v>
      </c>
      <c r="D353" s="7">
        <f>IFERROR(IF(OR(PRECIOS!D353="",PRECIOS!D352=""),"",PRECIOS!D353/PRECIOS!D352-1),"")</f>
        <v>-0.007540846251</v>
      </c>
      <c r="E353" s="7">
        <f>IFERROR(IF(OR(PRECIOS!E353="",PRECIOS!E352=""),"",PRECIOS!E353/PRECIOS!E352-1),"")</f>
        <v>0.003443877551</v>
      </c>
      <c r="F353" s="7">
        <f>IFERROR(IF(OR(PRECIOS!F353="",PRECIOS!F352=""),"",PRECIOS!F353/PRECIOS!F352-1),"")</f>
        <v>-0.02750275028</v>
      </c>
      <c r="G353" s="7">
        <f>IFERROR(IF(OR(PRECIOS!G353="",PRECIOS!G352=""),"",PRECIOS!G353/PRECIOS!G352-1),"")</f>
        <v>0.002701080432</v>
      </c>
      <c r="H353" s="7">
        <f>IFERROR(IF(OR(PRECIOS!H353="",PRECIOS!H352=""),"",PRECIOS!H353/PRECIOS!H352-1),"")</f>
        <v>0.01068236431</v>
      </c>
      <c r="I353" s="7">
        <f>IFERROR(IF(OR(PRECIOS!I353="",PRECIOS!I352=""),"",PRECIOS!I353/PRECIOS!I352-1),"")</f>
        <v>0.006204475511</v>
      </c>
    </row>
    <row r="354" ht="15.75" customHeight="1">
      <c r="A354" s="4">
        <f>IF(PRECIOS!A354="","",PRECIOS!A354)</f>
        <v>44923</v>
      </c>
      <c r="B354" s="7">
        <f>IFERROR(IF(OR(PRECIOS!B354="",PRECIOS!B353=""),"",PRECIOS!B354/PRECIOS!B353-1),"")</f>
        <v>-0.01642617297</v>
      </c>
      <c r="C354" s="7">
        <f>IFERROR(IF(OR(PRECIOS!C354="",PRECIOS!C353=""),"",PRECIOS!C354/PRECIOS!C353-1),"")</f>
        <v>-0.008578940086</v>
      </c>
      <c r="D354" s="7">
        <f>IFERROR(IF(OR(PRECIOS!D354="",PRECIOS!D353=""),"",PRECIOS!D354/PRECIOS!D353-1),"")</f>
        <v>-0.001266357113</v>
      </c>
      <c r="E354" s="7">
        <f>IFERROR(IF(OR(PRECIOS!E354="",PRECIOS!E353=""),"",PRECIOS!E354/PRECIOS!E353-1),"")</f>
        <v>-0.010105504</v>
      </c>
      <c r="F354" s="7">
        <f>IFERROR(IF(OR(PRECIOS!F354="",PRECIOS!F353=""),"",PRECIOS!F354/PRECIOS!F353-1),"")</f>
        <v>0.02828054299</v>
      </c>
      <c r="G354" s="7">
        <f>IFERROR(IF(OR(PRECIOS!G354="",PRECIOS!G353=""),"",PRECIOS!G354/PRECIOS!G353-1),"")</f>
        <v>-0.02065249925</v>
      </c>
      <c r="H354" s="7">
        <f>IFERROR(IF(OR(PRECIOS!H354="",PRECIOS!H353=""),"",PRECIOS!H354/PRECIOS!H353-1),"")</f>
        <v>-0.02238933645</v>
      </c>
      <c r="I354" s="7">
        <f>IFERROR(IF(OR(PRECIOS!I354="",PRECIOS!I353=""),"",PRECIOS!I354/PRECIOS!I353-1),"")</f>
        <v>-0.009532123656</v>
      </c>
    </row>
    <row r="355" ht="15.75" customHeight="1">
      <c r="A355" s="4">
        <f>IF(PRECIOS!A355="","",PRECIOS!A355)</f>
        <v>44924</v>
      </c>
      <c r="B355" s="7">
        <f>IFERROR(IF(OR(PRECIOS!B355="",PRECIOS!B354=""),"",PRECIOS!B355/PRECIOS!B354-1),"")</f>
        <v>0.007565971581</v>
      </c>
      <c r="C355" s="7">
        <f>IFERROR(IF(OR(PRECIOS!C355="",PRECIOS!C354=""),"",PRECIOS!C355/PRECIOS!C354-1),"")</f>
        <v>0.007536636427</v>
      </c>
      <c r="D355" s="7">
        <f>IFERROR(IF(OR(PRECIOS!D355="",PRECIOS!D354=""),"",PRECIOS!D355/PRECIOS!D354-1),"")</f>
        <v>0.01732882502</v>
      </c>
      <c r="E355" s="7">
        <f>IFERROR(IF(OR(PRECIOS!E355="",PRECIOS!E354=""),"",PRECIOS!E355/PRECIOS!E354-1),"")</f>
        <v>0.01027287319</v>
      </c>
      <c r="F355" s="7">
        <f>IFERROR(IF(OR(PRECIOS!F355="",PRECIOS!F354=""),"",PRECIOS!F355/PRECIOS!F354-1),"")</f>
        <v>-0.004400440044</v>
      </c>
      <c r="G355" s="7">
        <f>IFERROR(IF(OR(PRECIOS!G355="",PRECIOS!G354=""),"",PRECIOS!G355/PRECIOS!G354-1),"")</f>
        <v>0.007640586797</v>
      </c>
      <c r="H355" s="7">
        <f>IFERROR(IF(OR(PRECIOS!H355="",PRECIOS!H354=""),"",PRECIOS!H355/PRECIOS!H354-1),"")</f>
        <v>0.01046151629</v>
      </c>
      <c r="I355" s="7">
        <f>IFERROR(IF(OR(PRECIOS!I355="",PRECIOS!I354=""),"",PRECIOS!I355/PRECIOS!I354-1),"")</f>
        <v>0.007215567004</v>
      </c>
    </row>
    <row r="356" ht="15.75" customHeight="1">
      <c r="A356" s="4">
        <f>IF(PRECIOS!A356="","",PRECIOS!A356)</f>
        <v>44925</v>
      </c>
      <c r="B356" s="7">
        <f>IFERROR(IF(OR(PRECIOS!B356="",PRECIOS!B355=""),"",PRECIOS!B356/PRECIOS!B355-1),"")</f>
        <v>0.01007326007</v>
      </c>
      <c r="C356" s="7">
        <f>IFERROR(IF(OR(PRECIOS!C356="",PRECIOS!C355=""),"",PRECIOS!C356/PRECIOS!C355-1),"")</f>
        <v>-0.01080482061</v>
      </c>
      <c r="D356" s="7">
        <f>IFERROR(IF(OR(PRECIOS!D356="",PRECIOS!D355=""),"",PRECIOS!D356/PRECIOS!D355-1),"")</f>
        <v>-0.03614457831</v>
      </c>
      <c r="E356" s="7">
        <f>IFERROR(IF(OR(PRECIOS!E356="",PRECIOS!E355=""),"",PRECIOS!E356/PRECIOS!E355-1),"")</f>
        <v>-0.002542103591</v>
      </c>
      <c r="F356" s="7">
        <f>IFERROR(IF(OR(PRECIOS!F356="",PRECIOS!F355=""),"",PRECIOS!F356/PRECIOS!F355-1),"")</f>
        <v>0.01546961326</v>
      </c>
      <c r="G356" s="7">
        <f>IFERROR(IF(OR(PRECIOS!G356="",PRECIOS!G355=""),"",PRECIOS!G356/PRECIOS!G355-1),"")</f>
        <v>-0.002123142251</v>
      </c>
      <c r="H356" s="7">
        <f>IFERROR(IF(OR(PRECIOS!H356="",PRECIOS!H355=""),"",PRECIOS!H356/PRECIOS!H355-1),"")</f>
        <v>0.006329081685</v>
      </c>
      <c r="I356" s="7">
        <f>IFERROR(IF(OR(PRECIOS!I356="",PRECIOS!I355=""),"",PRECIOS!I356/PRECIOS!I355-1),"")</f>
        <v>-0.009551834106</v>
      </c>
    </row>
    <row r="357" ht="15.75" customHeight="1">
      <c r="A357" s="4">
        <f>IF(PRECIOS!A357="","",PRECIOS!A357)</f>
        <v>44929</v>
      </c>
      <c r="B357" s="7">
        <f>IFERROR(IF(OR(PRECIOS!B357="",PRECIOS!B356=""),"",PRECIOS!B357/PRECIOS!B356-1),"")</f>
        <v>-0.03436083409</v>
      </c>
      <c r="C357" s="7">
        <f>IFERROR(IF(OR(PRECIOS!C357="",PRECIOS!C356=""),"",PRECIOS!C357/PRECIOS!C356-1),"")</f>
        <v>0.006861784064</v>
      </c>
      <c r="D357" s="7">
        <f>IFERROR(IF(OR(PRECIOS!D357="",PRECIOS!D356=""),"",PRECIOS!D357/PRECIOS!D356-1),"")</f>
        <v>-0.0400862069</v>
      </c>
      <c r="E357" s="7">
        <f>IFERROR(IF(OR(PRECIOS!E357="",PRECIOS!E356=""),"",PRECIOS!E357/PRECIOS!E356-1),"")</f>
        <v>0.005097164702</v>
      </c>
      <c r="F357" s="7">
        <f>IFERROR(IF(OR(PRECIOS!F357="",PRECIOS!F356=""),"",PRECIOS!F357/PRECIOS!F356-1),"")</f>
        <v>-0.05223068553</v>
      </c>
      <c r="G357" s="7">
        <f>IFERROR(IF(OR(PRECIOS!G357="",PRECIOS!G356=""),"",PRECIOS!G357/PRECIOS!G356-1),"")</f>
        <v>-0.02279635258</v>
      </c>
      <c r="H357" s="7">
        <f>IFERROR(IF(OR(PRECIOS!H357="",PRECIOS!H356=""),"",PRECIOS!H357/PRECIOS!H356-1),"")</f>
        <v>-0.03509593361</v>
      </c>
      <c r="I357" s="7">
        <f>IFERROR(IF(OR(PRECIOS!I357="",PRECIOS!I356=""),"",PRECIOS!I357/PRECIOS!I356-1),"")</f>
        <v>0</v>
      </c>
    </row>
    <row r="358" ht="15.75" customHeight="1">
      <c r="A358" s="4">
        <f>IF(PRECIOS!A358="","",PRECIOS!A358)</f>
        <v>44930</v>
      </c>
      <c r="B358" s="7">
        <f>IFERROR(IF(OR(PRECIOS!B358="",PRECIOS!B357=""),"",PRECIOS!B358/PRECIOS!B357-1),"")</f>
        <v>0.002910524833</v>
      </c>
      <c r="C358" s="7">
        <f>IFERROR(IF(OR(PRECIOS!C358="",PRECIOS!C357=""),"",PRECIOS!C358/PRECIOS!C357-1),"")</f>
        <v>0.008484005563</v>
      </c>
      <c r="D358" s="7">
        <f>IFERROR(IF(OR(PRECIOS!D358="",PRECIOS!D357=""),"",PRECIOS!D358/PRECIOS!D357-1),"")</f>
        <v>0.02155365963</v>
      </c>
      <c r="E358" s="7">
        <f>IFERROR(IF(OR(PRECIOS!E358="",PRECIOS!E357=""),"",PRECIOS!E358/PRECIOS!E357-1),"")</f>
        <v>0.006782884311</v>
      </c>
      <c r="F358" s="7">
        <f>IFERROR(IF(OR(PRECIOS!F358="",PRECIOS!F357=""),"",PRECIOS!F358/PRECIOS!F357-1),"")</f>
        <v>0</v>
      </c>
      <c r="G358" s="7">
        <f>IFERROR(IF(OR(PRECIOS!G358="",PRECIOS!G357=""),"",PRECIOS!G358/PRECIOS!G357-1),"")</f>
        <v>0.006220839813</v>
      </c>
      <c r="H358" s="7">
        <f>IFERROR(IF(OR(PRECIOS!H358="",PRECIOS!H357=""),"",PRECIOS!H358/PRECIOS!H357-1),"")</f>
        <v>-0.0001206557377</v>
      </c>
      <c r="I358" s="7">
        <f>IFERROR(IF(OR(PRECIOS!I358="",PRECIOS!I357=""),"",PRECIOS!I358/PRECIOS!I357-1),"")</f>
        <v>0.009077758248</v>
      </c>
    </row>
    <row r="359" ht="15.75" customHeight="1">
      <c r="A359" s="4">
        <f>IF(PRECIOS!A359="","",PRECIOS!A359)</f>
        <v>44931</v>
      </c>
      <c r="B359" s="7">
        <f>IFERROR(IF(OR(PRECIOS!B359="",PRECIOS!B358=""),"",PRECIOS!B359/PRECIOS!B358-1),"")</f>
        <v>0.02237408725</v>
      </c>
      <c r="C359" s="7">
        <f>IFERROR(IF(OR(PRECIOS!C359="",PRECIOS!C358=""),"",PRECIOS!C359/PRECIOS!C358-1),"")</f>
        <v>-0.02937525859</v>
      </c>
      <c r="D359" s="7">
        <f>IFERROR(IF(OR(PRECIOS!D359="",PRECIOS!D358=""),"",PRECIOS!D359/PRECIOS!D358-1),"")</f>
        <v>-0.0189010989</v>
      </c>
      <c r="E359" s="7">
        <f>IFERROR(IF(OR(PRECIOS!E359="",PRECIOS!E358=""),"",PRECIOS!E359/PRECIOS!E358-1),"")</f>
        <v>-0.01020022667</v>
      </c>
      <c r="F359" s="7">
        <f>IFERROR(IF(OR(PRECIOS!F359="",PRECIOS!F358=""),"",PRECIOS!F359/PRECIOS!F358-1),"")</f>
        <v>0.07347876005</v>
      </c>
      <c r="G359" s="7">
        <f>IFERROR(IF(OR(PRECIOS!G359="",PRECIOS!G358=""),"",PRECIOS!G359/PRECIOS!G358-1),"")</f>
        <v>-0.01020092736</v>
      </c>
      <c r="H359" s="7">
        <f>IFERROR(IF(OR(PRECIOS!H359="",PRECIOS!H358=""),"",PRECIOS!H359/PRECIOS!H358-1),"")</f>
        <v>0.01824744756</v>
      </c>
      <c r="I359" s="7">
        <f>IFERROR(IF(OR(PRECIOS!I359="",PRECIOS!I358=""),"",PRECIOS!I359/PRECIOS!I358-1),"")</f>
        <v>-0.02164241914</v>
      </c>
    </row>
    <row r="360" ht="15.75" customHeight="1">
      <c r="A360" s="4">
        <f>IF(PRECIOS!A360="","",PRECIOS!A360)</f>
        <v>44932</v>
      </c>
      <c r="B360" s="7">
        <f>IFERROR(IF(OR(PRECIOS!B360="",PRECIOS!B359=""),"",PRECIOS!B360/PRECIOS!B359-1),"")</f>
        <v>0.01208680524</v>
      </c>
      <c r="C360" s="7">
        <f>IFERROR(IF(OR(PRECIOS!C360="",PRECIOS!C359=""),"",PRECIOS!C360/PRECIOS!C359-1),"")</f>
        <v>0.01776072748</v>
      </c>
      <c r="D360" s="7">
        <f>IFERROR(IF(OR(PRECIOS!D360="",PRECIOS!D359=""),"",PRECIOS!D360/PRECIOS!D359-1),"")</f>
        <v>0.008512544803</v>
      </c>
      <c r="E360" s="7">
        <f>IFERROR(IF(OR(PRECIOS!E360="",PRECIOS!E359=""),"",PRECIOS!E360/PRECIOS!E359-1),"")</f>
        <v>0.02480916031</v>
      </c>
      <c r="F360" s="7">
        <f>IFERROR(IF(OR(PRECIOS!F360="",PRECIOS!F359=""),"",PRECIOS!F360/PRECIOS!F359-1),"")</f>
        <v>0.01069518717</v>
      </c>
      <c r="G360" s="7">
        <f>IFERROR(IF(OR(PRECIOS!G360="",PRECIOS!G359=""),"",PRECIOS!G360/PRECIOS!G359-1),"")</f>
        <v>0.01686445971</v>
      </c>
      <c r="H360" s="7">
        <f>IFERROR(IF(OR(PRECIOS!H360="",PRECIOS!H359=""),"",PRECIOS!H360/PRECIOS!H359-1),"")</f>
        <v>0.01896640561</v>
      </c>
      <c r="I360" s="7">
        <f>IFERROR(IF(OR(PRECIOS!I360="",PRECIOS!I359=""),"",PRECIOS!I360/PRECIOS!I359-1),"")</f>
        <v>0.02011073192</v>
      </c>
    </row>
    <row r="361" ht="15.75" customHeight="1">
      <c r="A361" s="4">
        <f>IF(PRECIOS!A361="","",PRECIOS!A361)</f>
        <v>44935</v>
      </c>
      <c r="B361" s="7">
        <f>IFERROR(IF(OR(PRECIOS!B361="",PRECIOS!B360=""),"",PRECIOS!B361/PRECIOS!B360-1),"")</f>
        <v>-0.01863747399</v>
      </c>
      <c r="C361" s="7">
        <f>IFERROR(IF(OR(PRECIOS!C361="",PRECIOS!C360=""),"",PRECIOS!C361/PRECIOS!C360-1),"")</f>
        <v>-0.001814882033</v>
      </c>
      <c r="D361" s="7">
        <f>IFERROR(IF(OR(PRECIOS!D361="",PRECIOS!D360=""),"",PRECIOS!D361/PRECIOS!D360-1),"")</f>
        <v>0.0008884940027</v>
      </c>
      <c r="E361" s="7">
        <f>IFERROR(IF(OR(PRECIOS!E361="",PRECIOS!E360=""),"",PRECIOS!E361/PRECIOS!E360-1),"")</f>
        <v>-0.001365611421</v>
      </c>
      <c r="F361" s="7">
        <f>IFERROR(IF(OR(PRECIOS!F361="",PRECIOS!F360=""),"",PRECIOS!F361/PRECIOS!F360-1),"")</f>
        <v>0.03174603175</v>
      </c>
      <c r="G361" s="7">
        <f>IFERROR(IF(OR(PRECIOS!G361="",PRECIOS!G360=""),"",PRECIOS!G361/PRECIOS!G360-1),"")</f>
        <v>0.00214987715</v>
      </c>
      <c r="H361" s="7">
        <f>IFERROR(IF(OR(PRECIOS!H361="",PRECIOS!H360=""),"",PRECIOS!H361/PRECIOS!H360-1),"")</f>
        <v>-0.00353709781</v>
      </c>
      <c r="I361" s="7">
        <f>IFERROR(IF(OR(PRECIOS!I361="",PRECIOS!I360=""),"",PRECIOS!I361/PRECIOS!I360-1),"")</f>
        <v>0.006765001158</v>
      </c>
    </row>
    <row r="362" ht="15.75" customHeight="1">
      <c r="A362" s="4">
        <f>IF(PRECIOS!A362="","",PRECIOS!A362)</f>
        <v>44936</v>
      </c>
      <c r="B362" s="7">
        <f>IFERROR(IF(OR(PRECIOS!B362="",PRECIOS!B361=""),"",PRECIOS!B362/PRECIOS!B361-1),"")</f>
        <v>0.01493500507</v>
      </c>
      <c r="C362" s="7">
        <f>IFERROR(IF(OR(PRECIOS!C362="",PRECIOS!C361=""),"",PRECIOS!C362/PRECIOS!C361-1),"")</f>
        <v>-0.005454545455</v>
      </c>
      <c r="D362" s="7">
        <f>IFERROR(IF(OR(PRECIOS!D362="",PRECIOS!D361=""),"",PRECIOS!D362/PRECIOS!D361-1),"")</f>
        <v>-0.005770084332</v>
      </c>
      <c r="E362" s="7">
        <f>IFERROR(IF(OR(PRECIOS!E362="",PRECIOS!E361=""),"",PRECIOS!E362/PRECIOS!E361-1),"")</f>
        <v>-0.002921432123</v>
      </c>
      <c r="F362" s="7">
        <f>IFERROR(IF(OR(PRECIOS!F362="",PRECIOS!F361=""),"",PRECIOS!F362/PRECIOS!F361-1),"")</f>
        <v>-0.003076923077</v>
      </c>
      <c r="G362" s="7">
        <f>IFERROR(IF(OR(PRECIOS!G362="",PRECIOS!G361=""),"",PRECIOS!G362/PRECIOS!G361-1),"")</f>
        <v>-0.01501685565</v>
      </c>
      <c r="H362" s="7">
        <f>IFERROR(IF(OR(PRECIOS!H362="",PRECIOS!H361=""),"",PRECIOS!H362/PRECIOS!H361-1),"")</f>
        <v>0.00710438112</v>
      </c>
      <c r="I362" s="7">
        <f>IFERROR(IF(OR(PRECIOS!I362="",PRECIOS!I361=""),"",PRECIOS!I362/PRECIOS!I361-1),"")</f>
        <v>0.0002792139055</v>
      </c>
    </row>
    <row r="363" ht="15.75" customHeight="1">
      <c r="A363" s="4">
        <f>IF(PRECIOS!A363="","",PRECIOS!A363)</f>
        <v>44937</v>
      </c>
      <c r="B363" s="7">
        <f>IFERROR(IF(OR(PRECIOS!B363="",PRECIOS!B362=""),"",PRECIOS!B363/PRECIOS!B362-1),"")</f>
        <v>0.01162685076</v>
      </c>
      <c r="C363" s="7">
        <f>IFERROR(IF(OR(PRECIOS!C363="",PRECIOS!C362=""),"",PRECIOS!C363/PRECIOS!C362-1),"")</f>
        <v>0.006328223878</v>
      </c>
      <c r="D363" s="7">
        <f>IFERROR(IF(OR(PRECIOS!D363="",PRECIOS!D362=""),"",PRECIOS!D363/PRECIOS!D362-1),"")</f>
        <v>0.01517857143</v>
      </c>
      <c r="E363" s="7">
        <f>IFERROR(IF(OR(PRECIOS!E363="",PRECIOS!E362=""),"",PRECIOS!E363/PRECIOS!E362-1),"")</f>
        <v>0.02294121314</v>
      </c>
      <c r="F363" s="7">
        <f>IFERROR(IF(OR(PRECIOS!F363="",PRECIOS!F362=""),"",PRECIOS!F363/PRECIOS!F362-1),"")</f>
        <v>0.01543209877</v>
      </c>
      <c r="G363" s="7">
        <f>IFERROR(IF(OR(PRECIOS!G363="",PRECIOS!G362=""),"",PRECIOS!G363/PRECIOS!G362-1),"")</f>
        <v>0.009023024269</v>
      </c>
      <c r="H363" s="7">
        <f>IFERROR(IF(OR(PRECIOS!H363="",PRECIOS!H362=""),"",PRECIOS!H363/PRECIOS!H362-1),"")</f>
        <v>0.003076163387</v>
      </c>
      <c r="I363" s="7">
        <f>IFERROR(IF(OR(PRECIOS!I363="",PRECIOS!I362=""),"",PRECIOS!I363/PRECIOS!I362-1),"")</f>
        <v>0.008110280179</v>
      </c>
    </row>
    <row r="364" ht="15.75" customHeight="1">
      <c r="A364" s="4">
        <f>IF(PRECIOS!A364="","",PRECIOS!A364)</f>
        <v>44938</v>
      </c>
      <c r="B364" s="7">
        <f>IFERROR(IF(OR(PRECIOS!B364="",PRECIOS!B363=""),"",PRECIOS!B364/PRECIOS!B363-1),"")</f>
        <v>0.01661129568</v>
      </c>
      <c r="C364" s="7">
        <f>IFERROR(IF(OR(PRECIOS!C364="",PRECIOS!C363=""),"",PRECIOS!C364/PRECIOS!C363-1),"")</f>
        <v>-0.01704863052</v>
      </c>
      <c r="D364" s="7">
        <f>IFERROR(IF(OR(PRECIOS!D364="",PRECIOS!D363=""),"",PRECIOS!D364/PRECIOS!D363-1),"")</f>
        <v>-0.00219876869</v>
      </c>
      <c r="E364" s="7">
        <f>IFERROR(IF(OR(PRECIOS!E364="",PRECIOS!E363=""),"",PRECIOS!E364/PRECIOS!E363-1),"")</f>
        <v>0.003778414285</v>
      </c>
      <c r="F364" s="7">
        <f>IFERROR(IF(OR(PRECIOS!F364="",PRECIOS!F363=""),"",PRECIOS!F364/PRECIOS!F363-1),"")</f>
        <v>0.04863221884</v>
      </c>
      <c r="G364" s="7">
        <f>IFERROR(IF(OR(PRECIOS!G364="",PRECIOS!G363=""),"",PRECIOS!G364/PRECIOS!G363-1),"")</f>
        <v>0.01634289238</v>
      </c>
      <c r="H364" s="7">
        <f>IFERROR(IF(OR(PRECIOS!H364="",PRECIOS!H363=""),"",PRECIOS!H364/PRECIOS!H363-1),"")</f>
        <v>0.01905591947</v>
      </c>
      <c r="I364" s="7">
        <f>IFERROR(IF(OR(PRECIOS!I364="",PRECIOS!I363=""),"",PRECIOS!I364/PRECIOS!I363-1),"")</f>
        <v>-0.006800547695</v>
      </c>
    </row>
    <row r="365" ht="15.75" customHeight="1">
      <c r="A365" s="4">
        <f>IF(PRECIOS!A365="","",PRECIOS!A365)</f>
        <v>44939</v>
      </c>
      <c r="B365" s="7">
        <f>IFERROR(IF(OR(PRECIOS!B365="",PRECIOS!B364=""),"",PRECIOS!B365/PRECIOS!B364-1),"")</f>
        <v>-0.0006182653241</v>
      </c>
      <c r="C365" s="7">
        <f>IFERROR(IF(OR(PRECIOS!C365="",PRECIOS!C364=""),"",PRECIOS!C365/PRECIOS!C364-1),"")</f>
        <v>-0.0002843332386</v>
      </c>
      <c r="D365" s="7">
        <f>IFERROR(IF(OR(PRECIOS!D365="",PRECIOS!D364=""),"",PRECIOS!D365/PRECIOS!D364-1),"")</f>
        <v>-0.01366240635</v>
      </c>
      <c r="E365" s="7">
        <f>IFERROR(IF(OR(PRECIOS!E365="",PRECIOS!E364=""),"",PRECIOS!E365/PRECIOS!E364-1),"")</f>
        <v>-0.001578531965</v>
      </c>
      <c r="F365" s="7">
        <f>IFERROR(IF(OR(PRECIOS!F365="",PRECIOS!F364=""),"",PRECIOS!F365/PRECIOS!F364-1),"")</f>
        <v>0.07053140097</v>
      </c>
      <c r="G365" s="7">
        <f>IFERROR(IF(OR(PRECIOS!G365="",PRECIOS!G364=""),"",PRECIOS!G365/PRECIOS!G364-1),"")</f>
        <v>-0.004550970874</v>
      </c>
      <c r="H365" s="7">
        <f>IFERROR(IF(OR(PRECIOS!H365="",PRECIOS!H364=""),"",PRECIOS!H365/PRECIOS!H364-1),"")</f>
        <v>0.001451700757</v>
      </c>
      <c r="I365" s="7">
        <f>IFERROR(IF(OR(PRECIOS!I365="",PRECIOS!I364=""),"",PRECIOS!I365/PRECIOS!I364-1),"")</f>
        <v>-0.00363034787</v>
      </c>
    </row>
    <row r="366" ht="15.75" customHeight="1">
      <c r="A366" s="4">
        <f>IF(PRECIOS!A366="","",PRECIOS!A366)</f>
        <v>44943</v>
      </c>
      <c r="B366" s="7">
        <f>IFERROR(IF(OR(PRECIOS!B366="",PRECIOS!B365=""),"",PRECIOS!B366/PRECIOS!B365-1),"")</f>
        <v>-0.001944321697</v>
      </c>
      <c r="C366" s="7">
        <f>IFERROR(IF(OR(PRECIOS!C366="",PRECIOS!C365=""),"",PRECIOS!C366/PRECIOS!C365-1),"")</f>
        <v>-0.003839590444</v>
      </c>
      <c r="D366" s="7">
        <f>IFERROR(IF(OR(PRECIOS!D366="",PRECIOS!D365=""),"",PRECIOS!D366/PRECIOS!D365-1),"")</f>
        <v>-0.01027703307</v>
      </c>
      <c r="E366" s="7">
        <f>IFERROR(IF(OR(PRECIOS!E366="",PRECIOS!E365=""),"",PRECIOS!E366/PRECIOS!E365-1),"")</f>
        <v>-0.01240498632</v>
      </c>
      <c r="F366" s="7">
        <f>IFERROR(IF(OR(PRECIOS!F366="",PRECIOS!F365=""),"",PRECIOS!F366/PRECIOS!F365-1),"")</f>
        <v>0.1028880866</v>
      </c>
      <c r="G366" s="7">
        <f>IFERROR(IF(OR(PRECIOS!G366="",PRECIOS!G365=""),"",PRECIOS!G366/PRECIOS!G365-1),"")</f>
        <v>-0.0009143553795</v>
      </c>
      <c r="H366" s="7">
        <f>IFERROR(IF(OR(PRECIOS!H366="",PRECIOS!H365=""),"",PRECIOS!H366/PRECIOS!H365-1),"")</f>
        <v>0.002109175034</v>
      </c>
      <c r="I366" s="7">
        <f>IFERROR(IF(OR(PRECIOS!I366="",PRECIOS!I365=""),"",PRECIOS!I366/PRECIOS!I365-1),"")</f>
        <v>-0.001405159426</v>
      </c>
    </row>
    <row r="367" ht="15.75" customHeight="1">
      <c r="A367" s="4">
        <f>IF(PRECIOS!A367="","",PRECIOS!A367)</f>
        <v>44944</v>
      </c>
      <c r="B367" s="7">
        <f>IFERROR(IF(OR(PRECIOS!B367="",PRECIOS!B366=""),"",PRECIOS!B367/PRECIOS!B366-1),"")</f>
        <v>-0.02054369964</v>
      </c>
      <c r="C367" s="7">
        <f>IFERROR(IF(OR(PRECIOS!C367="",PRECIOS!C366=""),"",PRECIOS!C367/PRECIOS!C366-1),"")</f>
        <v>-0.03326195575</v>
      </c>
      <c r="D367" s="7">
        <f>IFERROR(IF(OR(PRECIOS!D367="",PRECIOS!D366=""),"",PRECIOS!D367/PRECIOS!D366-1),"")</f>
        <v>-0.02934537246</v>
      </c>
      <c r="E367" s="7">
        <f>IFERROR(IF(OR(PRECIOS!E367="",PRECIOS!E366=""),"",PRECIOS!E367/PRECIOS!E366-1),"")</f>
        <v>-0.03004741087</v>
      </c>
      <c r="F367" s="7">
        <f>IFERROR(IF(OR(PRECIOS!F367="",PRECIOS!F366=""),"",PRECIOS!F367/PRECIOS!F366-1),"")</f>
        <v>-0.08265139116</v>
      </c>
      <c r="G367" s="7">
        <f>IFERROR(IF(OR(PRECIOS!G367="",PRECIOS!G366=""),"",PRECIOS!G367/PRECIOS!G366-1),"")</f>
        <v>-0.03355704698</v>
      </c>
      <c r="H367" s="7">
        <f>IFERROR(IF(OR(PRECIOS!H367="",PRECIOS!H366=""),"",PRECIOS!H367/PRECIOS!H366-1),"")</f>
        <v>-0.018306535</v>
      </c>
      <c r="I367" s="7">
        <f>IFERROR(IF(OR(PRECIOS!I367="",PRECIOS!I366=""),"",PRECIOS!I367/PRECIOS!I366-1),"")</f>
        <v>-0.02400137943</v>
      </c>
    </row>
    <row r="368" ht="15.75" customHeight="1">
      <c r="A368" s="4">
        <f>IF(PRECIOS!A368="","",PRECIOS!A368)</f>
        <v>44945</v>
      </c>
      <c r="B368" s="7">
        <f>IFERROR(IF(OR(PRECIOS!B368="",PRECIOS!B367=""),"",PRECIOS!B368/PRECIOS!B367-1),"")</f>
        <v>0.006418949462</v>
      </c>
      <c r="C368" s="7">
        <f>IFERROR(IF(OR(PRECIOS!C368="",PRECIOS!C367=""),"",PRECIOS!C368/PRECIOS!C367-1),"")</f>
        <v>-0.01875369167</v>
      </c>
      <c r="D368" s="7">
        <f>IFERROR(IF(OR(PRECIOS!D368="",PRECIOS!D367=""),"",PRECIOS!D368/PRECIOS!D367-1),"")</f>
        <v>-0.00511627907</v>
      </c>
      <c r="E368" s="7">
        <f>IFERROR(IF(OR(PRECIOS!E368="",PRECIOS!E367=""),"",PRECIOS!E368/PRECIOS!E367-1),"")</f>
        <v>-0.03599314416</v>
      </c>
      <c r="F368" s="7">
        <f>IFERROR(IF(OR(PRECIOS!F368="",PRECIOS!F367=""),"",PRECIOS!F368/PRECIOS!F367-1),"")</f>
        <v>0.0008920606601</v>
      </c>
      <c r="G368" s="7">
        <f>IFERROR(IF(OR(PRECIOS!G368="",PRECIOS!G367=""),"",PRECIOS!G368/PRECIOS!G367-1),"")</f>
        <v>0.007891414141</v>
      </c>
      <c r="H368" s="7">
        <f>IFERROR(IF(OR(PRECIOS!H368="",PRECIOS!H367=""),"",PRECIOS!H368/PRECIOS!H367-1),"")</f>
        <v>0.01243611201</v>
      </c>
      <c r="I368" s="7">
        <f>IFERROR(IF(OR(PRECIOS!I368="",PRECIOS!I367=""),"",PRECIOS!I368/PRECIOS!I367-1),"")</f>
        <v>-0.0100700995</v>
      </c>
    </row>
    <row r="369" ht="15.75" customHeight="1">
      <c r="A369" s="4">
        <f>IF(PRECIOS!A369="","",PRECIOS!A369)</f>
        <v>44946</v>
      </c>
      <c r="B369" s="7">
        <f>IFERROR(IF(OR(PRECIOS!B369="",PRECIOS!B368=""),"",PRECIOS!B369/PRECIOS!B368-1),"")</f>
        <v>0.01823571685</v>
      </c>
      <c r="C369" s="7">
        <f>IFERROR(IF(OR(PRECIOS!C369="",PRECIOS!C368=""),"",PRECIOS!C369/PRECIOS!C368-1),"")</f>
        <v>0.010082769</v>
      </c>
      <c r="D369" s="7">
        <f>IFERROR(IF(OR(PRECIOS!D369="",PRECIOS!D368=""),"",PRECIOS!D369/PRECIOS!D368-1),"")</f>
        <v>0.02150537634</v>
      </c>
      <c r="E369" s="7">
        <f>IFERROR(IF(OR(PRECIOS!E369="",PRECIOS!E368=""),"",PRECIOS!E369/PRECIOS!E368-1),"")</f>
        <v>0.02403529567</v>
      </c>
      <c r="F369" s="7">
        <f>IFERROR(IF(OR(PRECIOS!F369="",PRECIOS!F368=""),"",PRECIOS!F369/PRECIOS!F368-1),"")</f>
        <v>0.0623885918</v>
      </c>
      <c r="G369" s="7">
        <f>IFERROR(IF(OR(PRECIOS!G369="",PRECIOS!G368=""),"",PRECIOS!G369/PRECIOS!G368-1),"")</f>
        <v>-0.01471969934</v>
      </c>
      <c r="H369" s="7">
        <f>IFERROR(IF(OR(PRECIOS!H369="",PRECIOS!H368=""),"",PRECIOS!H369/PRECIOS!H368-1),"")</f>
        <v>0.009933431185</v>
      </c>
      <c r="I369" s="7">
        <f>IFERROR(IF(OR(PRECIOS!I369="",PRECIOS!I368=""),"",PRECIOS!I369/PRECIOS!I368-1),"")</f>
        <v>0.005956288681</v>
      </c>
    </row>
    <row r="370" ht="15.75" customHeight="1">
      <c r="A370" s="4">
        <f>IF(PRECIOS!A370="","",PRECIOS!A370)</f>
        <v>44949</v>
      </c>
      <c r="B370" s="7">
        <f>IFERROR(IF(OR(PRECIOS!B370="",PRECIOS!B369=""),"",PRECIOS!B370/PRECIOS!B369-1),"")</f>
        <v>-0.005205116895</v>
      </c>
      <c r="C370" s="7">
        <f>IFERROR(IF(OR(PRECIOS!C370="",PRECIOS!C369=""),"",PRECIOS!C370/PRECIOS!C369-1),"")</f>
        <v>-0.003873659118</v>
      </c>
      <c r="D370" s="7">
        <f>IFERROR(IF(OR(PRECIOS!D370="",PRECIOS!D369=""),"",PRECIOS!D370/PRECIOS!D369-1),"")</f>
        <v>0.02974828375</v>
      </c>
      <c r="E370" s="7">
        <f>IFERROR(IF(OR(PRECIOS!E370="",PRECIOS!E369=""),"",PRECIOS!E370/PRECIOS!E369-1),"")</f>
        <v>0.0219278503</v>
      </c>
      <c r="F370" s="7">
        <f>IFERROR(IF(OR(PRECIOS!F370="",PRECIOS!F369=""),"",PRECIOS!F370/PRECIOS!F369-1),"")</f>
        <v>0.005033557047</v>
      </c>
      <c r="G370" s="7">
        <f>IFERROR(IF(OR(PRECIOS!G370="",PRECIOS!G369=""),"",PRECIOS!G370/PRECIOS!G369-1),"")</f>
        <v>0.006993006993</v>
      </c>
      <c r="H370" s="7">
        <f>IFERROR(IF(OR(PRECIOS!H370="",PRECIOS!H369=""),"",PRECIOS!H370/PRECIOS!H369-1),"")</f>
        <v>0.00132366398</v>
      </c>
      <c r="I370" s="7">
        <f>IFERROR(IF(OR(PRECIOS!I370="",PRECIOS!I369=""),"",PRECIOS!I370/PRECIOS!I369-1),"")</f>
        <v>0.0002914574456</v>
      </c>
    </row>
    <row r="371" ht="15.75" customHeight="1">
      <c r="A371" s="4">
        <f>IF(PRECIOS!A371="","",PRECIOS!A371)</f>
        <v>44950</v>
      </c>
      <c r="B371" s="7">
        <f>IFERROR(IF(OR(PRECIOS!B371="",PRECIOS!B370=""),"",PRECIOS!B371/PRECIOS!B370-1),"")</f>
        <v>0.0093118127</v>
      </c>
      <c r="C371" s="7">
        <f>IFERROR(IF(OR(PRECIOS!C371="",PRECIOS!C370=""),"",PRECIOS!C371/PRECIOS!C370-1),"")</f>
        <v>-0.002393060126</v>
      </c>
      <c r="D371" s="7">
        <f>IFERROR(IF(OR(PRECIOS!D371="",PRECIOS!D370=""),"",PRECIOS!D371/PRECIOS!D370-1),"")</f>
        <v>0.01466666667</v>
      </c>
      <c r="E371" s="7">
        <f>IFERROR(IF(OR(PRECIOS!E371="",PRECIOS!E370=""),"",PRECIOS!E371/PRECIOS!E370-1),"")</f>
        <v>0.01743015354</v>
      </c>
      <c r="F371" s="7">
        <f>IFERROR(IF(OR(PRECIOS!F371="",PRECIOS!F370=""),"",PRECIOS!F371/PRECIOS!F370-1),"")</f>
        <v>0.001669449082</v>
      </c>
      <c r="G371" s="7">
        <f>IFERROR(IF(OR(PRECIOS!G371="",PRECIOS!G370=""),"",PRECIOS!G371/PRECIOS!G370-1),"")</f>
        <v>-0.007575757576</v>
      </c>
      <c r="H371" s="7">
        <f>IFERROR(IF(OR(PRECIOS!H371="",PRECIOS!H370=""),"",PRECIOS!H371/PRECIOS!H370-1),"")</f>
        <v>-0.003863117127</v>
      </c>
      <c r="I371" s="7">
        <f>IFERROR(IF(OR(PRECIOS!I371="",PRECIOS!I370=""),"",PRECIOS!I371/PRECIOS!I370-1),"")</f>
        <v>0.005054679854</v>
      </c>
    </row>
    <row r="372" ht="15.75" customHeight="1">
      <c r="A372" s="4">
        <f>IF(PRECIOS!A372="","",PRECIOS!A372)</f>
        <v>44951</v>
      </c>
      <c r="B372" s="7">
        <f>IFERROR(IF(OR(PRECIOS!B372="",PRECIOS!B371=""),"",PRECIOS!B372/PRECIOS!B371-1),"")</f>
        <v>-0.005271944469</v>
      </c>
      <c r="C372" s="7">
        <f>IFERROR(IF(OR(PRECIOS!C372="",PRECIOS!C371=""),"",PRECIOS!C372/PRECIOS!C371-1),"")</f>
        <v>0.008395802099</v>
      </c>
      <c r="D372" s="7">
        <f>IFERROR(IF(OR(PRECIOS!D372="",PRECIOS!D371=""),"",PRECIOS!D372/PRECIOS!D371-1),"")</f>
        <v>-0.01138852387</v>
      </c>
      <c r="E372" s="7">
        <f>IFERROR(IF(OR(PRECIOS!E372="",PRECIOS!E371=""),"",PRECIOS!E372/PRECIOS!E371-1),"")</f>
        <v>-0.01577091966</v>
      </c>
      <c r="F372" s="7">
        <f>IFERROR(IF(OR(PRECIOS!F372="",PRECIOS!F371=""),"",PRECIOS!F372/PRECIOS!F371-1),"")</f>
        <v>0.006666666667</v>
      </c>
      <c r="G372" s="7">
        <f>IFERROR(IF(OR(PRECIOS!G372="",PRECIOS!G371=""),"",PRECIOS!G372/PRECIOS!G371-1),"")</f>
        <v>-0.001272264631</v>
      </c>
      <c r="H372" s="7">
        <f>IFERROR(IF(OR(PRECIOS!H372="",PRECIOS!H371=""),"",PRECIOS!H372/PRECIOS!H371-1),"")</f>
        <v>0.0001103823153</v>
      </c>
      <c r="I372" s="7">
        <f>IFERROR(IF(OR(PRECIOS!I372="",PRECIOS!I371=""),"",PRECIOS!I372/PRECIOS!I371-1),"")</f>
        <v>-0.01350904227</v>
      </c>
    </row>
    <row r="373" ht="15.75" customHeight="1">
      <c r="A373" s="4">
        <f>IF(PRECIOS!A373="","",PRECIOS!A373)</f>
        <v>44952</v>
      </c>
      <c r="B373" s="7">
        <f>IFERROR(IF(OR(PRECIOS!B373="",PRECIOS!B372=""),"",PRECIOS!B373/PRECIOS!B372-1),"")</f>
        <v>0.04019079587</v>
      </c>
      <c r="C373" s="7">
        <f>IFERROR(IF(OR(PRECIOS!C373="",PRECIOS!C372=""),"",PRECIOS!C373/PRECIOS!C372-1),"")</f>
        <v>0.003865596194</v>
      </c>
      <c r="D373" s="7">
        <f>IFERROR(IF(OR(PRECIOS!D373="",PRECIOS!D372=""),"",PRECIOS!D373/PRECIOS!D372-1),"")</f>
        <v>0.01019051839</v>
      </c>
      <c r="E373" s="7">
        <f>IFERROR(IF(OR(PRECIOS!E373="",PRECIOS!E372=""),"",PRECIOS!E373/PRECIOS!E372-1),"")</f>
        <v>0.01105944451</v>
      </c>
      <c r="F373" s="7">
        <f>IFERROR(IF(OR(PRECIOS!F373="",PRECIOS!F372=""),"",PRECIOS!F373/PRECIOS!F372-1),"")</f>
        <v>-0.004966887417</v>
      </c>
      <c r="G373" s="7">
        <f>IFERROR(IF(OR(PRECIOS!G373="",PRECIOS!G372=""),"",PRECIOS!G373/PRECIOS!G372-1),"")</f>
        <v>0.0009554140127</v>
      </c>
      <c r="H373" s="7">
        <f>IFERROR(IF(OR(PRECIOS!H373="",PRECIOS!H372=""),"",PRECIOS!H373/PRECIOS!H372-1),"")</f>
        <v>0.03157812121</v>
      </c>
      <c r="I373" s="7">
        <f>IFERROR(IF(OR(PRECIOS!I373="",PRECIOS!I372=""),"",PRECIOS!I373/PRECIOS!I372-1),"")</f>
        <v>0.003350838189</v>
      </c>
    </row>
    <row r="374" ht="15.75" customHeight="1">
      <c r="A374" s="4">
        <f>IF(PRECIOS!A374="","",PRECIOS!A374)</f>
        <v>44953</v>
      </c>
      <c r="B374" s="7">
        <f>IFERROR(IF(OR(PRECIOS!B374="",PRECIOS!B373=""),"",PRECIOS!B374/PRECIOS!B373-1),"")</f>
        <v>-0.01825747283</v>
      </c>
      <c r="C374" s="7">
        <f>IFERROR(IF(OR(PRECIOS!C374="",PRECIOS!C373=""),"",PRECIOS!C374/PRECIOS!C373-1),"")</f>
        <v>0.007109004739</v>
      </c>
      <c r="D374" s="7">
        <f>IFERROR(IF(OR(PRECIOS!D374="",PRECIOS!D373=""),"",PRECIOS!D374/PRECIOS!D373-1),"")</f>
        <v>-0.005701754386</v>
      </c>
      <c r="E374" s="7">
        <f>IFERROR(IF(OR(PRECIOS!E374="",PRECIOS!E373=""),"",PRECIOS!E374/PRECIOS!E373-1),"")</f>
        <v>0.008328154133</v>
      </c>
      <c r="F374" s="7">
        <f>IFERROR(IF(OR(PRECIOS!F374="",PRECIOS!F373=""),"",PRECIOS!F374/PRECIOS!F373-1),"")</f>
        <v>-0.03993344426</v>
      </c>
      <c r="G374" s="7">
        <f>IFERROR(IF(OR(PRECIOS!G374="",PRECIOS!G373=""),"",PRECIOS!G374/PRECIOS!G373-1),"")</f>
        <v>0.002545338848</v>
      </c>
      <c r="H374" s="7">
        <f>IFERROR(IF(OR(PRECIOS!H374="",PRECIOS!H373=""),"",PRECIOS!H374/PRECIOS!H373-1),"")</f>
        <v>-0.02019287008</v>
      </c>
      <c r="I374" s="7">
        <f>IFERROR(IF(OR(PRECIOS!I374="",PRECIOS!I373=""),"",PRECIOS!I374/PRECIOS!I373-1),"")</f>
        <v>0</v>
      </c>
    </row>
    <row r="375" ht="15.75" customHeight="1">
      <c r="A375" s="4">
        <f>IF(PRECIOS!A375="","",PRECIOS!A375)</f>
        <v>44956</v>
      </c>
      <c r="B375" s="7">
        <f>IFERROR(IF(OR(PRECIOS!B375="",PRECIOS!B374=""),"",PRECIOS!B375/PRECIOS!B374-1),"")</f>
        <v>-0.0177320301</v>
      </c>
      <c r="C375" s="7">
        <f>IFERROR(IF(OR(PRECIOS!C375="",PRECIOS!C374=""),"",PRECIOS!C375/PRECIOS!C374-1),"")</f>
        <v>-0.008382352941</v>
      </c>
      <c r="D375" s="7">
        <f>IFERROR(IF(OR(PRECIOS!D375="",PRECIOS!D374=""),"",PRECIOS!D375/PRECIOS!D374-1),"")</f>
        <v>-0.01323334804</v>
      </c>
      <c r="E375" s="7">
        <f>IFERROR(IF(OR(PRECIOS!E375="",PRECIOS!E374=""),"",PRECIOS!E375/PRECIOS!E374-1),"")</f>
        <v>-0.008444280079</v>
      </c>
      <c r="F375" s="7">
        <f>IFERROR(IF(OR(PRECIOS!F375="",PRECIOS!F374=""),"",PRECIOS!F375/PRECIOS!F374-1),"")</f>
        <v>-0.03379549393</v>
      </c>
      <c r="G375" s="7">
        <f>IFERROR(IF(OR(PRECIOS!G375="",PRECIOS!G374=""),"",PRECIOS!G375/PRECIOS!G374-1),"")</f>
        <v>-0.01523325928</v>
      </c>
      <c r="H375" s="7">
        <f>IFERROR(IF(OR(PRECIOS!H375="",PRECIOS!H374=""),"",PRECIOS!H375/PRECIOS!H374-1),"")</f>
        <v>-0.0229094324</v>
      </c>
      <c r="I375" s="7">
        <f>IFERROR(IF(OR(PRECIOS!I375="",PRECIOS!I374=""),"",PRECIOS!I375/PRECIOS!I374-1),"")</f>
        <v>-0.004501679375</v>
      </c>
    </row>
    <row r="376" ht="15.75" customHeight="1">
      <c r="A376" s="4">
        <f>IF(PRECIOS!A376="","",PRECIOS!A376)</f>
        <v>44957</v>
      </c>
      <c r="B376" s="7">
        <f>IFERROR(IF(OR(PRECIOS!B376="",PRECIOS!B375=""),"",PRECIOS!B376/PRECIOS!B375-1),"")</f>
        <v>0.02157449806</v>
      </c>
      <c r="C376" s="7">
        <f>IFERROR(IF(OR(PRECIOS!C376="",PRECIOS!C375=""),"",PRECIOS!C376/PRECIOS!C375-1),"")</f>
        <v>0.003707548569</v>
      </c>
      <c r="D376" s="7">
        <f>IFERROR(IF(OR(PRECIOS!D376="",PRECIOS!D375=""),"",PRECIOS!D376/PRECIOS!D375-1),"")</f>
        <v>0.03084488154</v>
      </c>
      <c r="E376" s="7">
        <f>IFERROR(IF(OR(PRECIOS!E376="",PRECIOS!E375=""),"",PRECIOS!E376/PRECIOS!E375-1),"")</f>
        <v>0.008329707217</v>
      </c>
      <c r="F376" s="7">
        <f>IFERROR(IF(OR(PRECIOS!F376="",PRECIOS!F375=""),"",PRECIOS!F376/PRECIOS!F375-1),"")</f>
        <v>0.07174887892</v>
      </c>
      <c r="G376" s="7">
        <f>IFERROR(IF(OR(PRECIOS!G376="",PRECIOS!G375=""),"",PRECIOS!G376/PRECIOS!G375-1),"")</f>
        <v>0.03899452143</v>
      </c>
      <c r="H376" s="7">
        <f>IFERROR(IF(OR(PRECIOS!H376="",PRECIOS!H375=""),"",PRECIOS!H376/PRECIOS!H375-1),"")</f>
        <v>0.008863557344</v>
      </c>
      <c r="I376" s="7">
        <f>IFERROR(IF(OR(PRECIOS!I376="",PRECIOS!I375=""),"",PRECIOS!I376/PRECIOS!I375-1),"")</f>
        <v>0.00743545545</v>
      </c>
    </row>
    <row r="377" ht="15.75" customHeight="1">
      <c r="A377" s="4">
        <f>IF(PRECIOS!A377="","",PRECIOS!A377)</f>
        <v>44958</v>
      </c>
      <c r="B377" s="7">
        <f>IFERROR(IF(OR(PRECIOS!B377="",PRECIOS!B376=""),"",PRECIOS!B377/PRECIOS!B376-1),"")</f>
        <v>-0.01094733213</v>
      </c>
      <c r="C377" s="7">
        <f>IFERROR(IF(OR(PRECIOS!C377="",PRECIOS!C376=""),"",PRECIOS!C377/PRECIOS!C376-1),"")</f>
        <v>0.01743498818</v>
      </c>
      <c r="D377" s="7">
        <f>IFERROR(IF(OR(PRECIOS!D377="",PRECIOS!D376=""),"",PRECIOS!D377/PRECIOS!D376-1),"")</f>
        <v>0.00607111882</v>
      </c>
      <c r="E377" s="7">
        <f>IFERROR(IF(OR(PRECIOS!E377="",PRECIOS!E376=""),"",PRECIOS!E377/PRECIOS!E376-1),"")</f>
        <v>0.006966278281</v>
      </c>
      <c r="F377" s="7">
        <f>IFERROR(IF(OR(PRECIOS!F377="",PRECIOS!F376=""),"",PRECIOS!F377/PRECIOS!F376-1),"")</f>
        <v>-0.01673640167</v>
      </c>
      <c r="G377" s="7">
        <f>IFERROR(IF(OR(PRECIOS!G377="",PRECIOS!G376=""),"",PRECIOS!G377/PRECIOS!G376-1),"")</f>
        <v>-0.0117866005</v>
      </c>
      <c r="H377" s="7">
        <f>IFERROR(IF(OR(PRECIOS!H377="",PRECIOS!H376=""),"",PRECIOS!H377/PRECIOS!H376-1),"")</f>
        <v>-0.01968347902</v>
      </c>
      <c r="I377" s="7">
        <f>IFERROR(IF(OR(PRECIOS!I377="",PRECIOS!I376=""),"",PRECIOS!I377/PRECIOS!I376-1),"")</f>
        <v>0.001739594179</v>
      </c>
    </row>
    <row r="378" ht="15.75" customHeight="1">
      <c r="A378" s="4">
        <f>IF(PRECIOS!A378="","",PRECIOS!A378)</f>
        <v>44959</v>
      </c>
      <c r="B378" s="7">
        <f>IFERROR(IF(OR(PRECIOS!B378="",PRECIOS!B377=""),"",PRECIOS!B378/PRECIOS!B377-1),"")</f>
        <v>-0.03128812968</v>
      </c>
      <c r="C378" s="7">
        <f>IFERROR(IF(OR(PRECIOS!C378="",PRECIOS!C377=""),"",PRECIOS!C378/PRECIOS!C377-1),"")</f>
        <v>-0.003485332559</v>
      </c>
      <c r="D378" s="7">
        <f>IFERROR(IF(OR(PRECIOS!D378="",PRECIOS!D377=""),"",PRECIOS!D378/PRECIOS!D377-1),"")</f>
        <v>0.003448275862</v>
      </c>
      <c r="E378" s="7">
        <f>IFERROR(IF(OR(PRECIOS!E378="",PRECIOS!E377=""),"",PRECIOS!E378/PRECIOS!E377-1),"")</f>
        <v>-0.00844863475</v>
      </c>
      <c r="F378" s="7">
        <f>IFERROR(IF(OR(PRECIOS!F378="",PRECIOS!F377=""),"",PRECIOS!F378/PRECIOS!F377-1),"")</f>
        <v>-0.02382978723</v>
      </c>
      <c r="G378" s="7">
        <f>IFERROR(IF(OR(PRECIOS!G378="",PRECIOS!G377=""),"",PRECIOS!G378/PRECIOS!G377-1),"")</f>
        <v>0.01098556183</v>
      </c>
      <c r="H378" s="7">
        <f>IFERROR(IF(OR(PRECIOS!H378="",PRECIOS!H377=""),"",PRECIOS!H378/PRECIOS!H377-1),"")</f>
        <v>-0.0227957</v>
      </c>
      <c r="I378" s="7">
        <f>IFERROR(IF(OR(PRECIOS!I378="",PRECIOS!I377=""),"",PRECIOS!I378/PRECIOS!I377-1),"")</f>
        <v>0.002167547629</v>
      </c>
    </row>
    <row r="379" ht="15.75" customHeight="1">
      <c r="A379" s="4">
        <f>IF(PRECIOS!A379="","",PRECIOS!A379)</f>
        <v>44960</v>
      </c>
      <c r="B379" s="7">
        <f>IFERROR(IF(OR(PRECIOS!B379="",PRECIOS!B378=""),"",PRECIOS!B379/PRECIOS!B378-1),"")</f>
        <v>0.006927575349</v>
      </c>
      <c r="C379" s="7">
        <f>IFERROR(IF(OR(PRECIOS!C379="",PRECIOS!C378=""),"",PRECIOS!C379/PRECIOS!C378-1),"")</f>
        <v>-0.01967356456</v>
      </c>
      <c r="D379" s="7">
        <f>IFERROR(IF(OR(PRECIOS!D379="",PRECIOS!D378=""),"",PRECIOS!D379/PRECIOS!D378-1),"")</f>
        <v>-0.01718213058</v>
      </c>
      <c r="E379" s="7">
        <f>IFERROR(IF(OR(PRECIOS!E379="",PRECIOS!E378=""),"",PRECIOS!E379/PRECIOS!E378-1),"")</f>
        <v>0.007903185972</v>
      </c>
      <c r="F379" s="7">
        <f>IFERROR(IF(OR(PRECIOS!F379="",PRECIOS!F378=""),"",PRECIOS!F379/PRECIOS!F378-1),"")</f>
        <v>-0.02528334786</v>
      </c>
      <c r="G379" s="7">
        <f>IFERROR(IF(OR(PRECIOS!G379="",PRECIOS!G378=""),"",PRECIOS!G379/PRECIOS!G378-1),"")</f>
        <v>-0.00403601366</v>
      </c>
      <c r="H379" s="7">
        <f>IFERROR(IF(OR(PRECIOS!H379="",PRECIOS!H378=""),"",PRECIOS!H379/PRECIOS!H378-1),"")</f>
        <v>-0.002207346687</v>
      </c>
      <c r="I379" s="7">
        <f>IFERROR(IF(OR(PRECIOS!I379="",PRECIOS!I378=""),"",PRECIOS!I379/PRECIOS!I378-1),"")</f>
        <v>-0.02090448003</v>
      </c>
    </row>
    <row r="380" ht="15.75" customHeight="1">
      <c r="A380" s="4">
        <f>IF(PRECIOS!A380="","",PRECIOS!A380)</f>
        <v>44963</v>
      </c>
      <c r="B380" s="7">
        <f>IFERROR(IF(OR(PRECIOS!B380="",PRECIOS!B379=""),"",PRECIOS!B380/PRECIOS!B379-1),"")</f>
        <v>-0.001697641172</v>
      </c>
      <c r="C380" s="7">
        <f>IFERROR(IF(OR(PRECIOS!C380="",PRECIOS!C379=""),"",PRECIOS!C380/PRECIOS!C379-1),"")</f>
        <v>0.009365244537</v>
      </c>
      <c r="D380" s="7">
        <f>IFERROR(IF(OR(PRECIOS!D380="",PRECIOS!D379=""),"",PRECIOS!D380/PRECIOS!D379-1),"")</f>
        <v>0.003933566434</v>
      </c>
      <c r="E380" s="7">
        <f>IFERROR(IF(OR(PRECIOS!E380="",PRECIOS!E379=""),"",PRECIOS!E380/PRECIOS!E379-1),"")</f>
        <v>-0.005452095075</v>
      </c>
      <c r="F380" s="7">
        <f>IFERROR(IF(OR(PRECIOS!F380="",PRECIOS!F379=""),"",PRECIOS!F380/PRECIOS!F379-1),"")</f>
        <v>0.02683363148</v>
      </c>
      <c r="G380" s="7">
        <f>IFERROR(IF(OR(PRECIOS!G380="",PRECIOS!G379=""),"",PRECIOS!G380/PRECIOS!G379-1),"")</f>
        <v>-0.01184538653</v>
      </c>
      <c r="H380" s="7">
        <f>IFERROR(IF(OR(PRECIOS!H380="",PRECIOS!H379=""),"",PRECIOS!H380/PRECIOS!H379-1),"")</f>
        <v>-0.004535199951</v>
      </c>
      <c r="I380" s="7">
        <f>IFERROR(IF(OR(PRECIOS!I380="",PRECIOS!I379=""),"",PRECIOS!I380/PRECIOS!I379-1),"")</f>
        <v>0.008539031188</v>
      </c>
    </row>
    <row r="381" ht="15.75" customHeight="1">
      <c r="A381" s="4">
        <f>IF(PRECIOS!A381="","",PRECIOS!A381)</f>
        <v>44964</v>
      </c>
      <c r="B381" s="7">
        <f>IFERROR(IF(OR(PRECIOS!B381="",PRECIOS!B380=""),"",PRECIOS!B381/PRECIOS!B380-1),"")</f>
        <v>0.02855097109</v>
      </c>
      <c r="C381" s="7">
        <f>IFERROR(IF(OR(PRECIOS!C381="",PRECIOS!C380=""),"",PRECIOS!C381/PRECIOS!C380-1),"")</f>
        <v>-0.00235640648</v>
      </c>
      <c r="D381" s="7">
        <f>IFERROR(IF(OR(PRECIOS!D381="",PRECIOS!D380=""),"",PRECIOS!D381/PRECIOS!D380-1),"")</f>
        <v>0.01175446234</v>
      </c>
      <c r="E381" s="7">
        <f>IFERROR(IF(OR(PRECIOS!E381="",PRECIOS!E380=""),"",PRECIOS!E381/PRECIOS!E380-1),"")</f>
        <v>0.01318139821</v>
      </c>
      <c r="F381" s="7">
        <f>IFERROR(IF(OR(PRECIOS!F381="",PRECIOS!F380=""),"",PRECIOS!F381/PRECIOS!F380-1),"")</f>
        <v>0.005226480836</v>
      </c>
      <c r="G381" s="7">
        <f>IFERROR(IF(OR(PRECIOS!G381="",PRECIOS!G380=""),"",PRECIOS!G381/PRECIOS!G380-1),"")</f>
        <v>0.01293375394</v>
      </c>
      <c r="H381" s="7">
        <f>IFERROR(IF(OR(PRECIOS!H381="",PRECIOS!H380=""),"",PRECIOS!H381/PRECIOS!H380-1),"")</f>
        <v>0.03248606206</v>
      </c>
      <c r="I381" s="7">
        <f>IFERROR(IF(OR(PRECIOS!I381="",PRECIOS!I380=""),"",PRECIOS!I381/PRECIOS!I380-1),"")</f>
        <v>-0.0004387074462</v>
      </c>
    </row>
    <row r="382" ht="15.75" customHeight="1">
      <c r="A382" s="4">
        <f>IF(PRECIOS!A382="","",PRECIOS!A382)</f>
        <v>44965</v>
      </c>
      <c r="B382" s="7">
        <f>IFERROR(IF(OR(PRECIOS!B382="",PRECIOS!B381=""),"",PRECIOS!B382/PRECIOS!B381-1),"")</f>
        <v>-0.008701705534</v>
      </c>
      <c r="C382" s="7">
        <f>IFERROR(IF(OR(PRECIOS!C382="",PRECIOS!C381=""),"",PRECIOS!C382/PRECIOS!C381-1),"")</f>
        <v>-0.01904340124</v>
      </c>
      <c r="D382" s="7">
        <f>IFERROR(IF(OR(PRECIOS!D382="",PRECIOS!D381=""),"",PRECIOS!D382/PRECIOS!D381-1),"")</f>
        <v>-0.01635111876</v>
      </c>
      <c r="E382" s="7">
        <f>IFERROR(IF(OR(PRECIOS!E382="",PRECIOS!E381=""),"",PRECIOS!E382/PRECIOS!E381-1),"")</f>
        <v>0.0266885525</v>
      </c>
      <c r="F382" s="7">
        <f>IFERROR(IF(OR(PRECIOS!F382="",PRECIOS!F381=""),"",PRECIOS!F382/PRECIOS!F381-1),"")</f>
        <v>0.0008665511265</v>
      </c>
      <c r="G382" s="7">
        <f>IFERROR(IF(OR(PRECIOS!G382="",PRECIOS!G381=""),"",PRECIOS!G382/PRECIOS!G381-1),"")</f>
        <v>-0.009342883837</v>
      </c>
      <c r="H382" s="7">
        <f>IFERROR(IF(OR(PRECIOS!H382="",PRECIOS!H381=""),"",PRECIOS!H382/PRECIOS!H381-1),"")</f>
        <v>-0.008945305844</v>
      </c>
      <c r="I382" s="7">
        <f>IFERROR(IF(OR(PRECIOS!I382="",PRECIOS!I381=""),"",PRECIOS!I382/PRECIOS!I381-1),"")</f>
        <v>-0.01679993849</v>
      </c>
    </row>
    <row r="383" ht="15.75" customHeight="1">
      <c r="A383" s="4">
        <f>IF(PRECIOS!A383="","",PRECIOS!A383)</f>
        <v>44966</v>
      </c>
      <c r="B383" s="7">
        <f>IFERROR(IF(OR(PRECIOS!B383="",PRECIOS!B382=""),"",PRECIOS!B383/PRECIOS!B382-1),"")</f>
        <v>0.003774578652</v>
      </c>
      <c r="C383" s="7">
        <f>IFERROR(IF(OR(PRECIOS!C383="",PRECIOS!C382=""),"",PRECIOS!C383/PRECIOS!C382-1),"")</f>
        <v>-0.010082769</v>
      </c>
      <c r="D383" s="7">
        <f>IFERROR(IF(OR(PRECIOS!D383="",PRECIOS!D382=""),"",PRECIOS!D383/PRECIOS!D382-1),"")</f>
        <v>-0.007436570429</v>
      </c>
      <c r="E383" s="7">
        <f>IFERROR(IF(OR(PRECIOS!E383="",PRECIOS!E382=""),"",PRECIOS!E383/PRECIOS!E382-1),"")</f>
        <v>-0.009533396495</v>
      </c>
      <c r="F383" s="7">
        <f>IFERROR(IF(OR(PRECIOS!F383="",PRECIOS!F382=""),"",PRECIOS!F383/PRECIOS!F382-1),"")</f>
        <v>-0.02337662338</v>
      </c>
      <c r="G383" s="7">
        <f>IFERROR(IF(OR(PRECIOS!G383="",PRECIOS!G382=""),"",PRECIOS!G383/PRECIOS!G382-1),"")</f>
        <v>-0.01540396102</v>
      </c>
      <c r="H383" s="7">
        <f>IFERROR(IF(OR(PRECIOS!H383="",PRECIOS!H382=""),"",PRECIOS!H383/PRECIOS!H382-1),"")</f>
        <v>-0.008563366892</v>
      </c>
      <c r="I383" s="7">
        <f>IFERROR(IF(OR(PRECIOS!I383="",PRECIOS!I382=""),"",PRECIOS!I383/PRECIOS!I382-1),"")</f>
        <v>-0.01366568915</v>
      </c>
    </row>
    <row r="384" ht="15.75" customHeight="1">
      <c r="A384" s="4">
        <f>IF(PRECIOS!A384="","",PRECIOS!A384)</f>
        <v>44967</v>
      </c>
      <c r="B384" s="7">
        <f>IFERROR(IF(OR(PRECIOS!B384="",PRECIOS!B383=""),"",PRECIOS!B384/PRECIOS!B383-1),"")</f>
        <v>0.0421512899</v>
      </c>
      <c r="C384" s="7">
        <f>IFERROR(IF(OR(PRECIOS!C384="",PRECIOS!C383=""),"",PRECIOS!C384/PRECIOS!C383-1),"")</f>
        <v>0.01672240803</v>
      </c>
      <c r="D384" s="7">
        <f>IFERROR(IF(OR(PRECIOS!D384="",PRECIOS!D383=""),"",PRECIOS!D384/PRECIOS!D383-1),"")</f>
        <v>0.01542529749</v>
      </c>
      <c r="E384" s="7">
        <f>IFERROR(IF(OR(PRECIOS!E384="",PRECIOS!E383=""),"",PRECIOS!E384/PRECIOS!E383-1),"")</f>
        <v>0.02176122437</v>
      </c>
      <c r="F384" s="7">
        <f>IFERROR(IF(OR(PRECIOS!F384="",PRECIOS!F383=""),"",PRECIOS!F384/PRECIOS!F383-1),"")</f>
        <v>0.02659574468</v>
      </c>
      <c r="G384" s="7">
        <f>IFERROR(IF(OR(PRECIOS!G384="",PRECIOS!G383=""),"",PRECIOS!G384/PRECIOS!G383-1),"")</f>
        <v>0.0159642401</v>
      </c>
      <c r="H384" s="7">
        <f>IFERROR(IF(OR(PRECIOS!H384="",PRECIOS!H383=""),"",PRECIOS!H384/PRECIOS!H383-1),"")</f>
        <v>0.0391676336</v>
      </c>
      <c r="I384" s="7">
        <f>IFERROR(IF(OR(PRECIOS!I384="",PRECIOS!I383=""),"",PRECIOS!I384/PRECIOS!I383-1),"")</f>
        <v>0.01988397984</v>
      </c>
    </row>
    <row r="385" ht="15.75" customHeight="1">
      <c r="A385" s="4">
        <f>IF(PRECIOS!A385="","",PRECIOS!A385)</f>
        <v>44970</v>
      </c>
      <c r="B385" s="7">
        <f>IFERROR(IF(OR(PRECIOS!B385="",PRECIOS!B384=""),"",PRECIOS!B385/PRECIOS!B384-1),"")</f>
        <v>-0.01149618192</v>
      </c>
      <c r="C385" s="7">
        <f>IFERROR(IF(OR(PRECIOS!C385="",PRECIOS!C384=""),"",PRECIOS!C385/PRECIOS!C384-1),"")</f>
        <v>0.003738038278</v>
      </c>
      <c r="D385" s="7">
        <f>IFERROR(IF(OR(PRECIOS!D385="",PRECIOS!D384=""),"",PRECIOS!D385/PRECIOS!D384-1),"")</f>
        <v>0.0004340277778</v>
      </c>
      <c r="E385" s="7">
        <f>IFERROR(IF(OR(PRECIOS!E385="",PRECIOS!E384=""),"",PRECIOS!E385/PRECIOS!E384-1),"")</f>
        <v>0.01995202153</v>
      </c>
      <c r="F385" s="7">
        <f>IFERROR(IF(OR(PRECIOS!F385="",PRECIOS!F384=""),"",PRECIOS!F385/PRECIOS!F384-1),"")</f>
        <v>0.03886010363</v>
      </c>
      <c r="G385" s="7">
        <f>IFERROR(IF(OR(PRECIOS!G385="",PRECIOS!G384=""),"",PRECIOS!G385/PRECIOS!G384-1),"")</f>
        <v>-0.0003142677561</v>
      </c>
      <c r="H385" s="7">
        <f>IFERROR(IF(OR(PRECIOS!H385="",PRECIOS!H384=""),"",PRECIOS!H385/PRECIOS!H384-1),"")</f>
        <v>-0.002549730794</v>
      </c>
      <c r="I385" s="7">
        <f>IFERROR(IF(OR(PRECIOS!I385="",PRECIOS!I384=""),"",PRECIOS!I385/PRECIOS!I384-1),"")</f>
        <v>0.006053931492</v>
      </c>
    </row>
    <row r="386" ht="15.75" customHeight="1">
      <c r="A386" s="4">
        <f>IF(PRECIOS!A386="","",PRECIOS!A386)</f>
        <v>44971</v>
      </c>
      <c r="B386" s="7">
        <f>IFERROR(IF(OR(PRECIOS!B386="",PRECIOS!B385=""),"",PRECIOS!B386/PRECIOS!B385-1),"")</f>
        <v>-0.0117147708</v>
      </c>
      <c r="C386" s="7">
        <f>IFERROR(IF(OR(PRECIOS!C386="",PRECIOS!C385=""),"",PRECIOS!C386/PRECIOS!C385-1),"")</f>
        <v>-0.007150305378</v>
      </c>
      <c r="D386" s="7">
        <f>IFERROR(IF(OR(PRECIOS!D386="",PRECIOS!D385=""),"",PRECIOS!D386/PRECIOS!D385-1),"")</f>
        <v>-0.001735357918</v>
      </c>
      <c r="E386" s="7">
        <f>IFERROR(IF(OR(PRECIOS!E386="",PRECIOS!E385=""),"",PRECIOS!E386/PRECIOS!E385-1),"")</f>
        <v>-0.007744378155</v>
      </c>
      <c r="F386" s="7">
        <f>IFERROR(IF(OR(PRECIOS!F386="",PRECIOS!F385=""),"",PRECIOS!F386/PRECIOS!F385-1),"")</f>
        <v>0.004987531172</v>
      </c>
      <c r="G386" s="7">
        <f>IFERROR(IF(OR(PRECIOS!G386="",PRECIOS!G385=""),"",PRECIOS!G386/PRECIOS!G385-1),"")</f>
        <v>0.003458032065</v>
      </c>
      <c r="H386" s="7">
        <f>IFERROR(IF(OR(PRECIOS!H386="",PRECIOS!H385=""),"",PRECIOS!H386/PRECIOS!H385-1),"")</f>
        <v>0.0003321400893</v>
      </c>
      <c r="I386" s="7">
        <f>IFERROR(IF(OR(PRECIOS!I386="",PRECIOS!I385=""),"",PRECIOS!I386/PRECIOS!I385-1),"")</f>
        <v>-0.004259580031</v>
      </c>
    </row>
    <row r="387" ht="15.75" customHeight="1">
      <c r="A387" s="4">
        <f>IF(PRECIOS!A387="","",PRECIOS!A387)</f>
        <v>44972</v>
      </c>
      <c r="B387" s="7">
        <f>IFERROR(IF(OR(PRECIOS!B387="",PRECIOS!B386=""),"",PRECIOS!B387/PRECIOS!B386-1),"")</f>
        <v>-0.003006356296</v>
      </c>
      <c r="C387" s="7">
        <f>IFERROR(IF(OR(PRECIOS!C387="",PRECIOS!C386=""),"",PRECIOS!C387/PRECIOS!C386-1),"")</f>
        <v>0.001800450113</v>
      </c>
      <c r="D387" s="7">
        <f>IFERROR(IF(OR(PRECIOS!D387="",PRECIOS!D386=""),"",PRECIOS!D387/PRECIOS!D386-1),"")</f>
        <v>0.01868752716</v>
      </c>
      <c r="E387" s="7">
        <f>IFERROR(IF(OR(PRECIOS!E387="",PRECIOS!E386=""),"",PRECIOS!E387/PRECIOS!E386-1),"")</f>
        <v>0.004509452506</v>
      </c>
      <c r="F387" s="7">
        <f>IFERROR(IF(OR(PRECIOS!F387="",PRECIOS!F386=""),"",PRECIOS!F387/PRECIOS!F386-1),"")</f>
        <v>-0.01736972705</v>
      </c>
      <c r="G387" s="7">
        <f>IFERROR(IF(OR(PRECIOS!G387="",PRECIOS!G386=""),"",PRECIOS!G387/PRECIOS!G386-1),"")</f>
        <v>0.005639097744</v>
      </c>
      <c r="H387" s="7">
        <f>IFERROR(IF(OR(PRECIOS!H387="",PRECIOS!H386=""),"",PRECIOS!H387/PRECIOS!H386-1),"")</f>
        <v>-0.01699746674</v>
      </c>
      <c r="I387" s="7">
        <f>IFERROR(IF(OR(PRECIOS!I387="",PRECIOS!I386=""),"",PRECIOS!I387/PRECIOS!I386-1),"")</f>
        <v>0.006486220823</v>
      </c>
    </row>
    <row r="388" ht="15.75" customHeight="1">
      <c r="A388" s="4">
        <f>IF(PRECIOS!A388="","",PRECIOS!A388)</f>
        <v>44973</v>
      </c>
      <c r="B388" s="7">
        <f>IFERROR(IF(OR(PRECIOS!B388="",PRECIOS!B387=""),"",PRECIOS!B388/PRECIOS!B387-1),"")</f>
        <v>-0.002929266822</v>
      </c>
      <c r="C388" s="7">
        <f>IFERROR(IF(OR(PRECIOS!C388="",PRECIOS!C387=""),"",PRECIOS!C388/PRECIOS!C387-1),"")</f>
        <v>-0.01362887524</v>
      </c>
      <c r="D388" s="7">
        <f>IFERROR(IF(OR(PRECIOS!D388="",PRECIOS!D387=""),"",PRECIOS!D388/PRECIOS!D387-1),"")</f>
        <v>-0.02645051195</v>
      </c>
      <c r="E388" s="7">
        <f>IFERROR(IF(OR(PRECIOS!E388="",PRECIOS!E387=""),"",PRECIOS!E388/PRECIOS!E387-1),"")</f>
        <v>0.002071942446</v>
      </c>
      <c r="F388" s="7">
        <f>IFERROR(IF(OR(PRECIOS!F388="",PRECIOS!F387=""),"",PRECIOS!F388/PRECIOS!F387-1),"")</f>
        <v>0.0008417508418</v>
      </c>
      <c r="G388" s="7">
        <f>IFERROR(IF(OR(PRECIOS!G388="",PRECIOS!G387=""),"",PRECIOS!G388/PRECIOS!G387-1),"")</f>
        <v>-0.0003115264798</v>
      </c>
      <c r="H388" s="7">
        <f>IFERROR(IF(OR(PRECIOS!H388="",PRECIOS!H387=""),"",PRECIOS!H388/PRECIOS!H387-1),"")</f>
        <v>-0.009832890895</v>
      </c>
      <c r="I388" s="7">
        <f>IFERROR(IF(OR(PRECIOS!I388="",PRECIOS!I387=""),"",PRECIOS!I388/PRECIOS!I387-1),"")</f>
        <v>-0.00761700993</v>
      </c>
    </row>
    <row r="389" ht="15.75" customHeight="1">
      <c r="A389" s="4">
        <f>IF(PRECIOS!A389="","",PRECIOS!A389)</f>
        <v>44974</v>
      </c>
      <c r="B389" s="7">
        <f>IFERROR(IF(OR(PRECIOS!B389="",PRECIOS!B388=""),"",PRECIOS!B389/PRECIOS!B388-1),"")</f>
        <v>-0.03845156831</v>
      </c>
      <c r="C389" s="7">
        <f>IFERROR(IF(OR(PRECIOS!C389="",PRECIOS!C388=""),"",PRECIOS!C389/PRECIOS!C388-1),"")</f>
        <v>0.01169146675</v>
      </c>
      <c r="D389" s="7">
        <f>IFERROR(IF(OR(PRECIOS!D389="",PRECIOS!D388=""),"",PRECIOS!D389/PRECIOS!D388-1),"")</f>
        <v>0.006134969325</v>
      </c>
      <c r="E389" s="7">
        <f>IFERROR(IF(OR(PRECIOS!E389="",PRECIOS!E388=""),"",PRECIOS!E389/PRECIOS!E388-1),"")</f>
        <v>0.006490149905</v>
      </c>
      <c r="F389" s="7">
        <f>IFERROR(IF(OR(PRECIOS!F389="",PRECIOS!F388=""),"",PRECIOS!F389/PRECIOS!F388-1),"")</f>
        <v>-0.04037005887</v>
      </c>
      <c r="G389" s="7">
        <f>IFERROR(IF(OR(PRECIOS!G389="",PRECIOS!G388=""),"",PRECIOS!G389/PRECIOS!G388-1),"")</f>
        <v>-0.02586475538</v>
      </c>
      <c r="H389" s="7">
        <f>IFERROR(IF(OR(PRECIOS!H389="",PRECIOS!H388=""),"",PRECIOS!H389/PRECIOS!H388-1),"")</f>
        <v>-0.03561095543</v>
      </c>
      <c r="I389" s="7">
        <f>IFERROR(IF(OR(PRECIOS!I389="",PRECIOS!I388=""),"",PRECIOS!I389/PRECIOS!I388-1),"")</f>
        <v>0.01077674114</v>
      </c>
    </row>
    <row r="390" ht="15.75" customHeight="1">
      <c r="A390" s="4">
        <f>IF(PRECIOS!A390="","",PRECIOS!A390)</f>
        <v>44978</v>
      </c>
      <c r="B390" s="7">
        <f>IFERROR(IF(OR(PRECIOS!B390="",PRECIOS!B389=""),"",PRECIOS!B390/PRECIOS!B389-1),"")</f>
        <v>-0.0009884974838</v>
      </c>
      <c r="C390" s="7">
        <f>IFERROR(IF(OR(PRECIOS!C390="",PRECIOS!C389=""),"",PRECIOS!C390/PRECIOS!C389-1),"")</f>
        <v>-0.0162089149</v>
      </c>
      <c r="D390" s="7">
        <f>IFERROR(IF(OR(PRECIOS!D390="",PRECIOS!D389=""),"",PRECIOS!D390/PRECIOS!D389-1),"")</f>
        <v>-0.01698606272</v>
      </c>
      <c r="E390" s="7">
        <f>IFERROR(IF(OR(PRECIOS!E390="",PRECIOS!E389=""),"",PRECIOS!E390/PRECIOS!E389-1),"")</f>
        <v>-0.02556493951</v>
      </c>
      <c r="F390" s="7">
        <f>IFERROR(IF(OR(PRECIOS!F390="",PRECIOS!F389=""),"",PRECIOS!F390/PRECIOS!F389-1),"")</f>
        <v>-0.0008764241893</v>
      </c>
      <c r="G390" s="7">
        <f>IFERROR(IF(OR(PRECIOS!G390="",PRECIOS!G389=""),"",PRECIOS!G390/PRECIOS!G389-1),"")</f>
        <v>-0.01503518874</v>
      </c>
      <c r="H390" s="7">
        <f>IFERROR(IF(OR(PRECIOS!H390="",PRECIOS!H389=""),"",PRECIOS!H390/PRECIOS!H389-1),"")</f>
        <v>-0.004970444589</v>
      </c>
      <c r="I390" s="7">
        <f>IFERROR(IF(OR(PRECIOS!I390="",PRECIOS!I389=""),"",PRECIOS!I390/PRECIOS!I389-1),"")</f>
        <v>-0.01869105001</v>
      </c>
    </row>
    <row r="391" ht="15.75" customHeight="1">
      <c r="A391" s="4">
        <f>IF(PRECIOS!A391="","",PRECIOS!A391)</f>
        <v>44979</v>
      </c>
      <c r="B391" s="7">
        <f>IFERROR(IF(OR(PRECIOS!B391="",PRECIOS!B390=""),"",PRECIOS!B391/PRECIOS!B390-1),"")</f>
        <v>-0.01295313484</v>
      </c>
      <c r="C391" s="7">
        <f>IFERROR(IF(OR(PRECIOS!C391="",PRECIOS!C390=""),"",PRECIOS!C391/PRECIOS!C390-1),"")</f>
        <v>-0.00472921434</v>
      </c>
      <c r="D391" s="7">
        <f>IFERROR(IF(OR(PRECIOS!D391="",PRECIOS!D390=""),"",PRECIOS!D391/PRECIOS!D390-1),"")</f>
        <v>-0.006645990253</v>
      </c>
      <c r="E391" s="7">
        <f>IFERROR(IF(OR(PRECIOS!E391="",PRECIOS!E390=""),"",PRECIOS!E391/PRECIOS!E390-1),"")</f>
        <v>0.003220894823</v>
      </c>
      <c r="F391" s="7">
        <f>IFERROR(IF(OR(PRECIOS!F391="",PRECIOS!F390=""),"",PRECIOS!F391/PRECIOS!F390-1),"")</f>
        <v>-0.002631578947</v>
      </c>
      <c r="G391" s="7">
        <f>IFERROR(IF(OR(PRECIOS!G391="",PRECIOS!G390=""),"",PRECIOS!G391/PRECIOS!G390-1),"")</f>
        <v>0.003897369276</v>
      </c>
      <c r="H391" s="7">
        <f>IFERROR(IF(OR(PRECIOS!H391="",PRECIOS!H390=""),"",PRECIOS!H391/PRECIOS!H390-1),"")</f>
        <v>-0.006664753172</v>
      </c>
      <c r="I391" s="7">
        <f>IFERROR(IF(OR(PRECIOS!I391="",PRECIOS!I390=""),"",PRECIOS!I391/PRECIOS!I390-1),"")</f>
        <v>-0.003867506095</v>
      </c>
    </row>
    <row r="392" ht="15.75" customHeight="1">
      <c r="A392" s="4">
        <f>IF(PRECIOS!A392="","",PRECIOS!A392)</f>
        <v>44980</v>
      </c>
      <c r="B392" s="7">
        <f>IFERROR(IF(OR(PRECIOS!B392="",PRECIOS!B391=""),"",PRECIOS!B392/PRECIOS!B391-1),"")</f>
        <v>0.009204410827</v>
      </c>
      <c r="C392" s="7">
        <f>IFERROR(IF(OR(PRECIOS!C392="",PRECIOS!C391=""),"",PRECIOS!C392/PRECIOS!C391-1),"")</f>
        <v>-0.00766400981</v>
      </c>
      <c r="D392" s="7">
        <f>IFERROR(IF(OR(PRECIOS!D392="",PRECIOS!D391=""),"",PRECIOS!D392/PRECIOS!D391-1),"")</f>
        <v>0.00356824264</v>
      </c>
      <c r="E392" s="7">
        <f>IFERROR(IF(OR(PRECIOS!E392="",PRECIOS!E391=""),"",PRECIOS!E392/PRECIOS!E391-1),"")</f>
        <v>0.008580935147</v>
      </c>
      <c r="F392" s="7">
        <f>IFERROR(IF(OR(PRECIOS!F392="",PRECIOS!F391=""),"",PRECIOS!F392/PRECIOS!F391-1),"")</f>
        <v>0.02990325418</v>
      </c>
      <c r="G392" s="7">
        <f>IFERROR(IF(OR(PRECIOS!G392="",PRECIOS!G391=""),"",PRECIOS!G392/PRECIOS!G391-1),"")</f>
        <v>0.004529278551</v>
      </c>
      <c r="H392" s="7">
        <f>IFERROR(IF(OR(PRECIOS!H392="",PRECIOS!H391=""),"",PRECIOS!H392/PRECIOS!H391-1),"")</f>
        <v>0.01509431962</v>
      </c>
      <c r="I392" s="7">
        <f>IFERROR(IF(OR(PRECIOS!I392="",PRECIOS!I391=""),"",PRECIOS!I392/PRECIOS!I391-1),"")</f>
        <v>-0.00522911793</v>
      </c>
    </row>
    <row r="393" ht="15.75" customHeight="1">
      <c r="A393" s="4">
        <f>IF(PRECIOS!A393="","",PRECIOS!A393)</f>
        <v>44981</v>
      </c>
      <c r="B393" s="7">
        <f>IFERROR(IF(OR(PRECIOS!B393="",PRECIOS!B392=""),"",PRECIOS!B393/PRECIOS!B392-1),"")</f>
        <v>0.00009030160737</v>
      </c>
      <c r="C393" s="7">
        <f>IFERROR(IF(OR(PRECIOS!C393="",PRECIOS!C392=""),"",PRECIOS!C393/PRECIOS!C392-1),"")</f>
        <v>-0.002780352178</v>
      </c>
      <c r="D393" s="7">
        <f>IFERROR(IF(OR(PRECIOS!D393="",PRECIOS!D392=""),"",PRECIOS!D393/PRECIOS!D392-1),"")</f>
        <v>-0.006222222222</v>
      </c>
      <c r="E393" s="7">
        <f>IFERROR(IF(OR(PRECIOS!E393="",PRECIOS!E392=""),"",PRECIOS!E393/PRECIOS!E392-1),"")</f>
        <v>0.002720222248</v>
      </c>
      <c r="F393" s="7">
        <f>IFERROR(IF(OR(PRECIOS!F393="",PRECIOS!F392=""),"",PRECIOS!F393/PRECIOS!F392-1),"")</f>
        <v>0.0145175064</v>
      </c>
      <c r="G393" s="7">
        <f>IFERROR(IF(OR(PRECIOS!G393="",PRECIOS!G392=""),"",PRECIOS!G393/PRECIOS!G392-1),"")</f>
        <v>0.004186795491</v>
      </c>
      <c r="H393" s="7">
        <f>IFERROR(IF(OR(PRECIOS!H393="",PRECIOS!H392=""),"",PRECIOS!H393/PRECIOS!H392-1),"")</f>
        <v>-0.001303137454</v>
      </c>
      <c r="I393" s="7">
        <f>IFERROR(IF(OR(PRECIOS!I393="",PRECIOS!I392=""),"",PRECIOS!I393/PRECIOS!I392-1),"")</f>
        <v>0.0002997187255</v>
      </c>
    </row>
    <row r="394" ht="15.75" customHeight="1">
      <c r="A394" s="4">
        <f>IF(PRECIOS!A394="","",PRECIOS!A394)</f>
        <v>44984</v>
      </c>
      <c r="B394" s="7">
        <f>IFERROR(IF(OR(PRECIOS!B394="",PRECIOS!B393=""),"",PRECIOS!B394/PRECIOS!B393-1),"")</f>
        <v>-0.001805869074</v>
      </c>
      <c r="C394" s="7">
        <f>IFERROR(IF(OR(PRECIOS!C394="",PRECIOS!C393=""),"",PRECIOS!C394/PRECIOS!C393-1),"")</f>
        <v>-0.002942998761</v>
      </c>
      <c r="D394" s="7">
        <f>IFERROR(IF(OR(PRECIOS!D394="",PRECIOS!D393=""),"",PRECIOS!D394/PRECIOS!D393-1),"")</f>
        <v>-0.004919499106</v>
      </c>
      <c r="E394" s="7">
        <f>IFERROR(IF(OR(PRECIOS!E394="",PRECIOS!E393=""),"",PRECIOS!E394/PRECIOS!E393-1),"")</f>
        <v>0.006522366522</v>
      </c>
      <c r="F394" s="7">
        <f>IFERROR(IF(OR(PRECIOS!F394="",PRECIOS!F393=""),"",PRECIOS!F394/PRECIOS!F393-1),"")</f>
        <v>0.01936026936</v>
      </c>
      <c r="G394" s="7">
        <f>IFERROR(IF(OR(PRECIOS!G394="",PRECIOS!G393=""),"",PRECIOS!G394/PRECIOS!G393-1),"")</f>
        <v>-0.01539448364</v>
      </c>
      <c r="H394" s="7">
        <f>IFERROR(IF(OR(PRECIOS!H394="",PRECIOS!H393=""),"",PRECIOS!H394/PRECIOS!H393-1),"")</f>
        <v>0.002954843197</v>
      </c>
      <c r="I394" s="7">
        <f>IFERROR(IF(OR(PRECIOS!I394="",PRECIOS!I393=""),"",PRECIOS!I394/PRECIOS!I393-1),"")</f>
        <v>-0.00675646754</v>
      </c>
    </row>
    <row r="395" ht="15.75" customHeight="1">
      <c r="A395" s="4">
        <f>IF(PRECIOS!A395="","",PRECIOS!A395)</f>
        <v>44985</v>
      </c>
      <c r="B395" s="7">
        <f>IFERROR(IF(OR(PRECIOS!B395="",PRECIOS!B394=""),"",PRECIOS!B395/PRECIOS!B394-1),"")</f>
        <v>-0.00578923564</v>
      </c>
      <c r="C395" s="7">
        <f>IFERROR(IF(OR(PRECIOS!C395="",PRECIOS!C394=""),"",PRECIOS!C395/PRECIOS!C394-1),"")</f>
        <v>-0.02035109523</v>
      </c>
      <c r="D395" s="7">
        <f>IFERROR(IF(OR(PRECIOS!D395="",PRECIOS!D394=""),"",PRECIOS!D395/PRECIOS!D394-1),"")</f>
        <v>-0.01168539326</v>
      </c>
      <c r="E395" s="7">
        <f>IFERROR(IF(OR(PRECIOS!E395="",PRECIOS!E394=""),"",PRECIOS!E395/PRECIOS!E394-1),"")</f>
        <v>0.003154031426</v>
      </c>
      <c r="F395" s="7">
        <f>IFERROR(IF(OR(PRECIOS!F395="",PRECIOS!F394=""),"",PRECIOS!F395/PRECIOS!F394-1),"")</f>
        <v>-0.02807597027</v>
      </c>
      <c r="G395" s="7">
        <f>IFERROR(IF(OR(PRECIOS!G395="",PRECIOS!G394=""),"",PRECIOS!G395/PRECIOS!G394-1),"")</f>
        <v>-0.01954397394</v>
      </c>
      <c r="H395" s="7">
        <f>IFERROR(IF(OR(PRECIOS!H395="",PRECIOS!H394=""),"",PRECIOS!H395/PRECIOS!H394-1),"")</f>
        <v>-0.01437089529</v>
      </c>
      <c r="I395" s="7">
        <f>IFERROR(IF(OR(PRECIOS!I395="",PRECIOS!I394=""),"",PRECIOS!I395/PRECIOS!I394-1),"")</f>
        <v>-0.01753315852</v>
      </c>
    </row>
    <row r="396" ht="15.75" customHeight="1">
      <c r="A396" s="4">
        <f>IF(PRECIOS!A396="","",PRECIOS!A396)</f>
        <v>44986</v>
      </c>
      <c r="B396" s="7">
        <f>IFERROR(IF(OR(PRECIOS!B396="",PRECIOS!B395=""),"",PRECIOS!B396/PRECIOS!B395-1),"")</f>
        <v>0.008916386134</v>
      </c>
      <c r="C396" s="7">
        <f>IFERROR(IF(OR(PRECIOS!C396="",PRECIOS!C395=""),"",PRECIOS!C396/PRECIOS!C395-1),"")</f>
        <v>-0.01173485569</v>
      </c>
      <c r="D396" s="7">
        <f>IFERROR(IF(OR(PRECIOS!D396="",PRECIOS!D395=""),"",PRECIOS!D396/PRECIOS!D395-1),"")</f>
        <v>-0.01273306048</v>
      </c>
      <c r="E396" s="7">
        <f>IFERROR(IF(OR(PRECIOS!E396="",PRECIOS!E395=""),"",PRECIOS!E396/PRECIOS!E395-1),"")</f>
        <v>-0.006288229578</v>
      </c>
      <c r="F396" s="7">
        <f>IFERROR(IF(OR(PRECIOS!F396="",PRECIOS!F395=""),"",PRECIOS!F396/PRECIOS!F395-1),"")</f>
        <v>0.02803738318</v>
      </c>
      <c r="G396" s="7">
        <f>IFERROR(IF(OR(PRECIOS!G396="",PRECIOS!G395=""),"",PRECIOS!G396/PRECIOS!G395-1),"")</f>
        <v>-0.005315614618</v>
      </c>
      <c r="H396" s="7">
        <f>IFERROR(IF(OR(PRECIOS!H396="",PRECIOS!H395=""),"",PRECIOS!H396/PRECIOS!H395-1),"")</f>
        <v>0.01971743806</v>
      </c>
      <c r="I396" s="7">
        <f>IFERROR(IF(OR(PRECIOS!I396="",PRECIOS!I395=""),"",PRECIOS!I396/PRECIOS!I395-1),"")</f>
        <v>-0.01646264104</v>
      </c>
    </row>
    <row r="397" ht="15.75" customHeight="1">
      <c r="A397" s="4">
        <f>IF(PRECIOS!A397="","",PRECIOS!A397)</f>
        <v>44987</v>
      </c>
      <c r="B397" s="7">
        <f>IFERROR(IF(OR(PRECIOS!B397="",PRECIOS!B396=""),"",PRECIOS!B397/PRECIOS!B396-1),"")</f>
        <v>0.004599152313</v>
      </c>
      <c r="C397" s="7">
        <f>IFERROR(IF(OR(PRECIOS!C397="",PRECIOS!C396=""),"",PRECIOS!C397/PRECIOS!C396-1),"")</f>
        <v>0.02166238768</v>
      </c>
      <c r="D397" s="7">
        <f>IFERROR(IF(OR(PRECIOS!D397="",PRECIOS!D396=""),"",PRECIOS!D397/PRECIOS!D396-1),"")</f>
        <v>-0.01934592354</v>
      </c>
      <c r="E397" s="7">
        <f>IFERROR(IF(OR(PRECIOS!E397="",PRECIOS!E396=""),"",PRECIOS!E397/PRECIOS!E396-1),"")</f>
        <v>0.007593625956</v>
      </c>
      <c r="F397" s="7">
        <f>IFERROR(IF(OR(PRECIOS!F397="",PRECIOS!F396=""),"",PRECIOS!F397/PRECIOS!F396-1),"")</f>
        <v>-0.04545454545</v>
      </c>
      <c r="G397" s="7">
        <f>IFERROR(IF(OR(PRECIOS!G397="",PRECIOS!G396=""),"",PRECIOS!G397/PRECIOS!G396-1),"")</f>
        <v>0.01603206413</v>
      </c>
      <c r="H397" s="7">
        <f>IFERROR(IF(OR(PRECIOS!H397="",PRECIOS!H396=""),"",PRECIOS!H397/PRECIOS!H396-1),"")</f>
        <v>0.008788700243</v>
      </c>
      <c r="I397" s="7">
        <f>IFERROR(IF(OR(PRECIOS!I397="",PRECIOS!I396=""),"",PRECIOS!I397/PRECIOS!I396-1),"")</f>
        <v>0.01893038845</v>
      </c>
    </row>
    <row r="398" ht="15.75" customHeight="1">
      <c r="A398" s="4">
        <f>IF(PRECIOS!A398="","",PRECIOS!A398)</f>
        <v>44988</v>
      </c>
      <c r="B398" s="7">
        <f>IFERROR(IF(OR(PRECIOS!B398="",PRECIOS!B397=""),"",PRECIOS!B398/PRECIOS!B397-1),"")</f>
        <v>0.01265709156</v>
      </c>
      <c r="C398" s="7">
        <f>IFERROR(IF(OR(PRECIOS!C398="",PRECIOS!C397=""),"",PRECIOS!C398/PRECIOS!C397-1),"")</f>
        <v>0.01790482174</v>
      </c>
      <c r="D398" s="7">
        <f>IFERROR(IF(OR(PRECIOS!D398="",PRECIOS!D397=""),"",PRECIOS!D398/PRECIOS!D397-1),"")</f>
        <v>0.005636449037</v>
      </c>
      <c r="E398" s="7">
        <f>IFERROR(IF(OR(PRECIOS!E398="",PRECIOS!E397=""),"",PRECIOS!E398/PRECIOS!E397-1),"")</f>
        <v>0.01370254068</v>
      </c>
      <c r="F398" s="7">
        <f>IFERROR(IF(OR(PRECIOS!F398="",PRECIOS!F397=""),"",PRECIOS!F398/PRECIOS!F397-1),"")</f>
        <v>0.0329004329</v>
      </c>
      <c r="G398" s="7">
        <f>IFERROR(IF(OR(PRECIOS!G398="",PRECIOS!G397=""),"",PRECIOS!G398/PRECIOS!G397-1),"")</f>
        <v>0.01808021039</v>
      </c>
      <c r="H398" s="7">
        <f>IFERROR(IF(OR(PRECIOS!H398="",PRECIOS!H397=""),"",PRECIOS!H398/PRECIOS!H397-1),"")</f>
        <v>0.01359020579</v>
      </c>
      <c r="I398" s="7">
        <f>IFERROR(IF(OR(PRECIOS!I398="",PRECIOS!I397=""),"",PRECIOS!I398/PRECIOS!I397-1),"")</f>
        <v>0.0170366355</v>
      </c>
    </row>
    <row r="399" ht="15.75" customHeight="1">
      <c r="A399" s="4">
        <f>IF(PRECIOS!A399="","",PRECIOS!A399)</f>
        <v>44991</v>
      </c>
      <c r="B399" s="7">
        <f>IFERROR(IF(OR(PRECIOS!B399="",PRECIOS!B398=""),"",PRECIOS!B399/PRECIOS!B398-1),"")</f>
        <v>0.00886446237</v>
      </c>
      <c r="C399" s="7">
        <f>IFERROR(IF(OR(PRECIOS!C399="",PRECIOS!C398=""),"",PRECIOS!C399/PRECIOS!C398-1),"")</f>
        <v>0.006480481407</v>
      </c>
      <c r="D399" s="7">
        <f>IFERROR(IF(OR(PRECIOS!D399="",PRECIOS!D398=""),"",PRECIOS!D399/PRECIOS!D398-1),"")</f>
        <v>0.1387202242</v>
      </c>
      <c r="E399" s="7">
        <f>IFERROR(IF(OR(PRECIOS!E399="",PRECIOS!E398=""),"",PRECIOS!E399/PRECIOS!E398-1),"")</f>
        <v>-0.002252886511</v>
      </c>
      <c r="F399" s="7">
        <f>IFERROR(IF(OR(PRECIOS!F399="",PRECIOS!F398=""),"",PRECIOS!F399/PRECIOS!F398-1),"")</f>
        <v>0.06538139145</v>
      </c>
      <c r="G399" s="7">
        <f>IFERROR(IF(OR(PRECIOS!G399="",PRECIOS!G398=""),"",PRECIOS!G399/PRECIOS!G398-1),"")</f>
        <v>-0.008718114304</v>
      </c>
      <c r="H399" s="7">
        <f>IFERROR(IF(OR(PRECIOS!H399="",PRECIOS!H398=""),"",PRECIOS!H399/PRECIOS!H398-1),"")</f>
        <v>0.0004566580747</v>
      </c>
      <c r="I399" s="7">
        <f>IFERROR(IF(OR(PRECIOS!I399="",PRECIOS!I398=""),"",PRECIOS!I399/PRECIOS!I398-1),"")</f>
        <v>0.004833364783</v>
      </c>
    </row>
    <row r="400" ht="15.75" customHeight="1">
      <c r="A400" s="4">
        <f>IF(PRECIOS!A400="","",PRECIOS!A400)</f>
        <v>44992</v>
      </c>
      <c r="B400" s="7">
        <f>IFERROR(IF(OR(PRECIOS!B400="",PRECIOS!B399=""),"",PRECIOS!B400/PRECIOS!B399-1),"")</f>
        <v>-0.01933046305</v>
      </c>
      <c r="C400" s="7">
        <f>IFERROR(IF(OR(PRECIOS!C400="",PRECIOS!C399=""),"",PRECIOS!C400/PRECIOS!C399-1),"")</f>
        <v>-0.01379733252</v>
      </c>
      <c r="D400" s="7">
        <f>IFERROR(IF(OR(PRECIOS!D400="",PRECIOS!D399=""),"",PRECIOS!D400/PRECIOS!D399-1),"")</f>
        <v>0.08736669401</v>
      </c>
      <c r="E400" s="7">
        <f>IFERROR(IF(OR(PRECIOS!E400="",PRECIOS!E399=""),"",PRECIOS!E400/PRECIOS!E399-1),"")</f>
        <v>-0.009314140559</v>
      </c>
      <c r="F400" s="7">
        <f>IFERROR(IF(OR(PRECIOS!F400="",PRECIOS!F399=""),"",PRECIOS!F400/PRECIOS!F399-1),"")</f>
        <v>-0.07159716758</v>
      </c>
      <c r="G400" s="7">
        <f>IFERROR(IF(OR(PRECIOS!G400="",PRECIOS!G399=""),"",PRECIOS!G400/PRECIOS!G399-1),"")</f>
        <v>-0.01074918567</v>
      </c>
      <c r="H400" s="7">
        <f>IFERROR(IF(OR(PRECIOS!H400="",PRECIOS!H399=""),"",PRECIOS!H400/PRECIOS!H399-1),"")</f>
        <v>-0.01740848185</v>
      </c>
      <c r="I400" s="7">
        <f>IFERROR(IF(OR(PRECIOS!I400="",PRECIOS!I399=""),"",PRECIOS!I400/PRECIOS!I399-1),"")</f>
        <v>-0.01637416111</v>
      </c>
    </row>
    <row r="401" ht="15.75" customHeight="1">
      <c r="A401" s="4">
        <f>IF(PRECIOS!A401="","",PRECIOS!A401)</f>
        <v>44993</v>
      </c>
      <c r="B401" s="7">
        <f>IFERROR(IF(OR(PRECIOS!B401="",PRECIOS!B400=""),"",PRECIOS!B401/PRECIOS!B400-1),"")</f>
        <v>-0.01460442613</v>
      </c>
      <c r="C401" s="7">
        <f>IFERROR(IF(OR(PRECIOS!C401="",PRECIOS!C400=""),"",PRECIOS!C401/PRECIOS!C400-1),"")</f>
        <v>0.006217938753</v>
      </c>
      <c r="D401" s="7">
        <f>IFERROR(IF(OR(PRECIOS!D401="",PRECIOS!D400=""),"",PRECIOS!D401/PRECIOS!D400-1),"")</f>
        <v>-0.01169370049</v>
      </c>
      <c r="E401" s="7">
        <f>IFERROR(IF(OR(PRECIOS!E401="",PRECIOS!E400=""),"",PRECIOS!E401/PRECIOS!E400-1),"")</f>
        <v>0.009743589744</v>
      </c>
      <c r="F401" s="7">
        <f>IFERROR(IF(OR(PRECIOS!F401="",PRECIOS!F400=""),"",PRECIOS!F401/PRECIOS!F400-1),"")</f>
        <v>0.02118644068</v>
      </c>
      <c r="G401" s="7">
        <f>IFERROR(IF(OR(PRECIOS!G401="",PRECIOS!G400=""),"",PRECIOS!G401/PRECIOS!G400-1),"")</f>
        <v>0</v>
      </c>
      <c r="H401" s="7">
        <f>IFERROR(IF(OR(PRECIOS!H401="",PRECIOS!H400=""),"",PRECIOS!H401/PRECIOS!H400-1),"")</f>
        <v>-0.01025593381</v>
      </c>
      <c r="I401" s="7">
        <f>IFERROR(IF(OR(PRECIOS!I401="",PRECIOS!I400=""),"",PRECIOS!I401/PRECIOS!I400-1),"")</f>
        <v>0.007636732684</v>
      </c>
    </row>
    <row r="402" ht="15.75" customHeight="1">
      <c r="A402" s="4">
        <f>IF(PRECIOS!A402="","",PRECIOS!A402)</f>
        <v>44994</v>
      </c>
      <c r="B402" s="7">
        <f>IFERROR(IF(OR(PRECIOS!B402="",PRECIOS!B401=""),"",PRECIOS!B402/PRECIOS!B401-1),"")</f>
        <v>-0.007728677941</v>
      </c>
      <c r="C402" s="7">
        <f>IFERROR(IF(OR(PRECIOS!C402="",PRECIOS!C401=""),"",PRECIOS!C402/PRECIOS!C401-1),"")</f>
        <v>-0.002780781709</v>
      </c>
      <c r="D402" s="7">
        <f>IFERROR(IF(OR(PRECIOS!D402="",PRECIOS!D401=""),"",PRECIOS!D402/PRECIOS!D401-1),"")</f>
        <v>-0.01946564885</v>
      </c>
      <c r="E402" s="7">
        <f>IFERROR(IF(OR(PRECIOS!E402="",PRECIOS!E401=""),"",PRECIOS!E402/PRECIOS!E401-1),"")</f>
        <v>-0.01602618362</v>
      </c>
      <c r="F402" s="7">
        <f>IFERROR(IF(OR(PRECIOS!F402="",PRECIOS!F401=""),"",PRECIOS!F402/PRECIOS!F401-1),"")</f>
        <v>-0.04066390041</v>
      </c>
      <c r="G402" s="7">
        <f>IFERROR(IF(OR(PRECIOS!G402="",PRECIOS!G401=""),"",PRECIOS!G402/PRECIOS!G401-1),"")</f>
        <v>-0.01580507079</v>
      </c>
      <c r="H402" s="7">
        <f>IFERROR(IF(OR(PRECIOS!H402="",PRECIOS!H401=""),"",PRECIOS!H402/PRECIOS!H401-1),"")</f>
        <v>-0.01413786899</v>
      </c>
      <c r="I402" s="7">
        <f>IFERROR(IF(OR(PRECIOS!I402="",PRECIOS!I401=""),"",PRECIOS!I402/PRECIOS!I401-1),"")</f>
        <v>-0.008030927047</v>
      </c>
    </row>
    <row r="403" ht="15.75" customHeight="1">
      <c r="A403" s="4">
        <f>IF(PRECIOS!A403="","",PRECIOS!A403)</f>
        <v>44995</v>
      </c>
      <c r="B403" s="7">
        <f>IFERROR(IF(OR(PRECIOS!B403="",PRECIOS!B402=""),"",PRECIOS!B403/PRECIOS!B402-1),"")</f>
        <v>-0.01237056721</v>
      </c>
      <c r="C403" s="7">
        <f>IFERROR(IF(OR(PRECIOS!C403="",PRECIOS!C402=""),"",PRECIOS!C403/PRECIOS!C402-1),"")</f>
        <v>-0.00945003873</v>
      </c>
      <c r="D403" s="7">
        <f>IFERROR(IF(OR(PRECIOS!D403="",PRECIOS!D402=""),"",PRECIOS!D403/PRECIOS!D402-1),"")</f>
        <v>-0.04554301285</v>
      </c>
      <c r="E403" s="7">
        <f>IFERROR(IF(OR(PRECIOS!E403="",PRECIOS!E402=""),"",PRECIOS!E403/PRECIOS!E402-1),"")</f>
        <v>-0.02334117107</v>
      </c>
      <c r="F403" s="7">
        <f>IFERROR(IF(OR(PRECIOS!F403="",PRECIOS!F402=""),"",PRECIOS!F403/PRECIOS!F402-1),"")</f>
        <v>-0.07871972318</v>
      </c>
      <c r="G403" s="7">
        <f>IFERROR(IF(OR(PRECIOS!G403="",PRECIOS!G402=""),"",PRECIOS!G403/PRECIOS!G402-1),"")</f>
        <v>-0.0331214453</v>
      </c>
      <c r="H403" s="7">
        <f>IFERROR(IF(OR(PRECIOS!H403="",PRECIOS!H402=""),"",PRECIOS!H403/PRECIOS!H402-1),"")</f>
        <v>-0.01278277222</v>
      </c>
      <c r="I403" s="7">
        <f>IFERROR(IF(OR(PRECIOS!I403="",PRECIOS!I402=""),"",PRECIOS!I403/PRECIOS!I402-1),"")</f>
        <v>-0.01574285992</v>
      </c>
    </row>
    <row r="404" ht="15.75" customHeight="1">
      <c r="A404" s="4">
        <f>IF(PRECIOS!A404="","",PRECIOS!A404)</f>
        <v>44998</v>
      </c>
      <c r="B404" s="7">
        <f>IFERROR(IF(OR(PRECIOS!B404="",PRECIOS!B403=""),"",PRECIOS!B404/PRECIOS!B403-1),"")</f>
        <v>-0.01150491742</v>
      </c>
      <c r="C404" s="7">
        <f>IFERROR(IF(OR(PRECIOS!C404="",PRECIOS!C403=""),"",PRECIOS!C404/PRECIOS!C403-1),"")</f>
        <v>0.01892399124</v>
      </c>
      <c r="D404" s="7">
        <f>IFERROR(IF(OR(PRECIOS!D404="",PRECIOS!D403=""),"",PRECIOS!D404/PRECIOS!D403-1),"")</f>
        <v>-0.007340946166</v>
      </c>
      <c r="E404" s="7">
        <f>IFERROR(IF(OR(PRECIOS!E404="",PRECIOS!E403=""),"",PRECIOS!E404/PRECIOS!E403-1),"")</f>
        <v>-0.006635349383</v>
      </c>
      <c r="F404" s="7">
        <f>IFERROR(IF(OR(PRECIOS!F404="",PRECIOS!F403=""),"",PRECIOS!F404/PRECIOS!F403-1),"")</f>
        <v>-0.06948356808</v>
      </c>
      <c r="G404" s="7">
        <f>IFERROR(IF(OR(PRECIOS!G404="",PRECIOS!G403=""),"",PRECIOS!G404/PRECIOS!G403-1),"")</f>
        <v>0.003806228374</v>
      </c>
      <c r="H404" s="7">
        <f>IFERROR(IF(OR(PRECIOS!H404="",PRECIOS!H403=""),"",PRECIOS!H404/PRECIOS!H403-1),"")</f>
        <v>-0.02033199912</v>
      </c>
      <c r="I404" s="7">
        <f>IFERROR(IF(OR(PRECIOS!I404="",PRECIOS!I403=""),"",PRECIOS!I404/PRECIOS!I403-1),"")</f>
        <v>0.01536481651</v>
      </c>
    </row>
    <row r="405" ht="15.75" customHeight="1">
      <c r="A405" s="4">
        <f>IF(PRECIOS!A405="","",PRECIOS!A405)</f>
        <v>44999</v>
      </c>
      <c r="B405" s="7">
        <f>IFERROR(IF(OR(PRECIOS!B405="",PRECIOS!B404=""),"",PRECIOS!B405/PRECIOS!B404-1),"")</f>
        <v>0.003754458419</v>
      </c>
      <c r="C405" s="7">
        <f>IFERROR(IF(OR(PRECIOS!C405="",PRECIOS!C404=""),"",PRECIOS!C405/PRECIOS!C404-1),"")</f>
        <v>0.01580966999</v>
      </c>
      <c r="D405" s="7">
        <f>IFERROR(IF(OR(PRECIOS!D405="",PRECIOS!D404=""),"",PRECIOS!D405/PRECIOS!D404-1),"")</f>
        <v>0.04765817584</v>
      </c>
      <c r="E405" s="7">
        <f>IFERROR(IF(OR(PRECIOS!E405="",PRECIOS!E404=""),"",PRECIOS!E405/PRECIOS!E404-1),"")</f>
        <v>0.0157238281</v>
      </c>
      <c r="F405" s="7">
        <f>IFERROR(IF(OR(PRECIOS!F405="",PRECIOS!F404=""),"",PRECIOS!F405/PRECIOS!F404-1),"")</f>
        <v>-0.01311806256</v>
      </c>
      <c r="G405" s="7">
        <f>IFERROR(IF(OR(PRECIOS!G405="",PRECIOS!G404=""),"",PRECIOS!G405/PRECIOS!G404-1),"")</f>
        <v>0.008273009307</v>
      </c>
      <c r="H405" s="7">
        <f>IFERROR(IF(OR(PRECIOS!H405="",PRECIOS!H404=""),"",PRECIOS!H405/PRECIOS!H404-1),"")</f>
        <v>0.009886097931</v>
      </c>
      <c r="I405" s="7">
        <f>IFERROR(IF(OR(PRECIOS!I405="",PRECIOS!I404=""),"",PRECIOS!I405/PRECIOS!I404-1),"")</f>
        <v>0.01315401226</v>
      </c>
    </row>
    <row r="406" ht="15.75" customHeight="1">
      <c r="A406" s="4">
        <f>IF(PRECIOS!A406="","",PRECIOS!A406)</f>
        <v>45000</v>
      </c>
      <c r="B406" s="7">
        <f>IFERROR(IF(OR(PRECIOS!B406="",PRECIOS!B405=""),"",PRECIOS!B406/PRECIOS!B405-1),"")</f>
        <v>-0.04974752197</v>
      </c>
      <c r="C406" s="7">
        <f>IFERROR(IF(OR(PRECIOS!C406="",PRECIOS!C405=""),"",PRECIOS!C406/PRECIOS!C405-1),"")</f>
        <v>0.02221214869</v>
      </c>
      <c r="D406" s="7">
        <f>IFERROR(IF(OR(PRECIOS!D406="",PRECIOS!D405=""),"",PRECIOS!D406/PRECIOS!D405-1),"")</f>
        <v>-0.04274509804</v>
      </c>
      <c r="E406" s="7">
        <f>IFERROR(IF(OR(PRECIOS!E406="",PRECIOS!E405=""),"",PRECIOS!E406/PRECIOS!E405-1),"")</f>
        <v>-0.07309550137</v>
      </c>
      <c r="F406" s="7">
        <f>IFERROR(IF(OR(PRECIOS!F406="",PRECIOS!F405=""),"",PRECIOS!F406/PRECIOS!F405-1),"")</f>
        <v>-0.05214723926</v>
      </c>
      <c r="G406" s="7">
        <f>IFERROR(IF(OR(PRECIOS!G406="",PRECIOS!G405=""),"",PRECIOS!G406/PRECIOS!G405-1),"")</f>
        <v>-0.01606837607</v>
      </c>
      <c r="H406" s="7">
        <f>IFERROR(IF(OR(PRECIOS!H406="",PRECIOS!H405=""),"",PRECIOS!H406/PRECIOS!H405-1),"")</f>
        <v>-0.05370721404</v>
      </c>
      <c r="I406" s="7">
        <f>IFERROR(IF(OR(PRECIOS!I406="",PRECIOS!I405=""),"",PRECIOS!I406/PRECIOS!I405-1),"")</f>
        <v>0.01357894354</v>
      </c>
    </row>
    <row r="407" ht="15.75" customHeight="1">
      <c r="A407" s="4">
        <f>IF(PRECIOS!A407="","",PRECIOS!A407)</f>
        <v>45001</v>
      </c>
      <c r="B407" s="7">
        <f>IFERROR(IF(OR(PRECIOS!B407="",PRECIOS!B406=""),"",PRECIOS!B407/PRECIOS!B406-1),"")</f>
        <v>-0.005805943712</v>
      </c>
      <c r="C407" s="7">
        <f>IFERROR(IF(OR(PRECIOS!C407="",PRECIOS!C406=""),"",PRECIOS!C407/PRECIOS!C406-1),"")</f>
        <v>0.006947524021</v>
      </c>
      <c r="D407" s="7">
        <f>IFERROR(IF(OR(PRECIOS!D407="",PRECIOS!D406=""),"",PRECIOS!D407/PRECIOS!D406-1),"")</f>
        <v>0.0380991397</v>
      </c>
      <c r="E407" s="7">
        <f>IFERROR(IF(OR(PRECIOS!E407="",PRECIOS!E406=""),"",PRECIOS!E407/PRECIOS!E406-1),"")</f>
        <v>0.03208388271</v>
      </c>
      <c r="F407" s="7">
        <f>IFERROR(IF(OR(PRECIOS!F407="",PRECIOS!F406=""),"",PRECIOS!F407/PRECIOS!F406-1),"")</f>
        <v>0.02696871629</v>
      </c>
      <c r="G407" s="7">
        <f>IFERROR(IF(OR(PRECIOS!G407="",PRECIOS!G406=""),"",PRECIOS!G407/PRECIOS!G406-1),"")</f>
        <v>0.001389854065</v>
      </c>
      <c r="H407" s="7">
        <f>IFERROR(IF(OR(PRECIOS!H407="",PRECIOS!H406=""),"",PRECIOS!H407/PRECIOS!H406-1),"")</f>
        <v>0.01086287763</v>
      </c>
      <c r="I407" s="7">
        <f>IFERROR(IF(OR(PRECIOS!I407="",PRECIOS!I406=""),"",PRECIOS!I407/PRECIOS!I406-1),"")</f>
        <v>0.006703410805</v>
      </c>
    </row>
    <row r="408" ht="15.75" customHeight="1">
      <c r="A408" s="4">
        <f>IF(PRECIOS!A408="","",PRECIOS!A408)</f>
        <v>45002</v>
      </c>
      <c r="B408" s="7">
        <f>IFERROR(IF(OR(PRECIOS!B408="",PRECIOS!B407=""),"",PRECIOS!B408/PRECIOS!B407-1),"")</f>
        <v>-0.0117786796</v>
      </c>
      <c r="C408" s="7">
        <f>IFERROR(IF(OR(PRECIOS!C408="",PRECIOS!C407=""),"",PRECIOS!C408/PRECIOS!C407-1),"")</f>
        <v>-0.003229594833</v>
      </c>
      <c r="D408" s="7">
        <f>IFERROR(IF(OR(PRECIOS!D408="",PRECIOS!D407=""),"",PRECIOS!D408/PRECIOS!D407-1),"")</f>
        <v>-0.01973164957</v>
      </c>
      <c r="E408" s="7">
        <f>IFERROR(IF(OR(PRECIOS!E408="",PRECIOS!E407=""),"",PRECIOS!E408/PRECIOS!E407-1),"")</f>
        <v>-0.02573305755</v>
      </c>
      <c r="F408" s="7">
        <f>IFERROR(IF(OR(PRECIOS!F408="",PRECIOS!F407=""),"",PRECIOS!F408/PRECIOS!F407-1),"")</f>
        <v>-0.0493697479</v>
      </c>
      <c r="G408" s="7">
        <f>IFERROR(IF(OR(PRECIOS!G408="",PRECIOS!G407=""),"",PRECIOS!G408/PRECIOS!G407-1),"")</f>
        <v>-0.01804302568</v>
      </c>
      <c r="H408" s="7">
        <f>IFERROR(IF(OR(PRECIOS!H408="",PRECIOS!H407=""),"",PRECIOS!H408/PRECIOS!H407-1),"")</f>
        <v>-0.01572854947</v>
      </c>
      <c r="I408" s="7">
        <f>IFERROR(IF(OR(PRECIOS!I408="",PRECIOS!I407=""),"",PRECIOS!I408/PRECIOS!I407-1),"")</f>
        <v>-0.009613544589</v>
      </c>
    </row>
    <row r="409" ht="15.75" customHeight="1">
      <c r="A409" s="4">
        <f>IF(PRECIOS!A409="","",PRECIOS!A409)</f>
        <v>45005</v>
      </c>
      <c r="B409" s="7">
        <f>IFERROR(IF(OR(PRECIOS!B409="",PRECIOS!B408=""),"",PRECIOS!B409/PRECIOS!B408-1),"")</f>
        <v>0.02614182692</v>
      </c>
      <c r="C409" s="7">
        <f>IFERROR(IF(OR(PRECIOS!C409="",PRECIOS!C408=""),"",PRECIOS!C409/PRECIOS!C408-1),"")</f>
        <v>0.009572901325</v>
      </c>
      <c r="D409" s="7">
        <f>IFERROR(IF(OR(PRECIOS!D409="",PRECIOS!D408=""),"",PRECIOS!D409/PRECIOS!D408-1),"")</f>
        <v>0.01046698873</v>
      </c>
      <c r="E409" s="7">
        <f>IFERROR(IF(OR(PRECIOS!E409="",PRECIOS!E408=""),"",PRECIOS!E409/PRECIOS!E408-1),"")</f>
        <v>0.02129253825</v>
      </c>
      <c r="F409" s="7">
        <f>IFERROR(IF(OR(PRECIOS!F409="",PRECIOS!F408=""),"",PRECIOS!F409/PRECIOS!F408-1),"")</f>
        <v>0.008839779006</v>
      </c>
      <c r="G409" s="7">
        <f>IFERROR(IF(OR(PRECIOS!G409="",PRECIOS!G408=""),"",PRECIOS!G409/PRECIOS!G408-1),"")</f>
        <v>0.02084805654</v>
      </c>
      <c r="H409" s="7">
        <f>IFERROR(IF(OR(PRECIOS!H409="",PRECIOS!H408=""),"",PRECIOS!H409/PRECIOS!H408-1),"")</f>
        <v>0.020023757</v>
      </c>
      <c r="I409" s="7">
        <f>IFERROR(IF(OR(PRECIOS!I409="",PRECIOS!I408=""),"",PRECIOS!I409/PRECIOS!I408-1),"")</f>
        <v>0.007813958363</v>
      </c>
    </row>
    <row r="410" ht="15.75" customHeight="1">
      <c r="A410" s="4">
        <f>IF(PRECIOS!A410="","",PRECIOS!A410)</f>
        <v>45006</v>
      </c>
      <c r="B410" s="7">
        <f>IFERROR(IF(OR(PRECIOS!B410="",PRECIOS!B409=""),"",PRECIOS!B410/PRECIOS!B409-1),"")</f>
        <v>0.04480234261</v>
      </c>
      <c r="C410" s="7">
        <f>IFERROR(IF(OR(PRECIOS!C410="",PRECIOS!C409=""),"",PRECIOS!C410/PRECIOS!C409-1),"")</f>
        <v>-0.02071480671</v>
      </c>
      <c r="D410" s="7">
        <f>IFERROR(IF(OR(PRECIOS!D410="",PRECIOS!D409=""),"",PRECIOS!D410/PRECIOS!D409-1),"")</f>
        <v>-0.001593625498</v>
      </c>
      <c r="E410" s="7">
        <f>IFERROR(IF(OR(PRECIOS!E410="",PRECIOS!E409=""),"",PRECIOS!E410/PRECIOS!E409-1),"")</f>
        <v>0.02066519932</v>
      </c>
      <c r="F410" s="7">
        <f>IFERROR(IF(OR(PRECIOS!F410="",PRECIOS!F409=""),"",PRECIOS!F410/PRECIOS!F409-1),"")</f>
        <v>0.07557502738</v>
      </c>
      <c r="G410" s="7">
        <f>IFERROR(IF(OR(PRECIOS!G410="",PRECIOS!G409=""),"",PRECIOS!G410/PRECIOS!G409-1),"")</f>
        <v>0.01003807546</v>
      </c>
      <c r="H410" s="7">
        <f>IFERROR(IF(OR(PRECIOS!H410="",PRECIOS!H409=""),"",PRECIOS!H410/PRECIOS!H409-1),"")</f>
        <v>0.03461732586</v>
      </c>
      <c r="I410" s="7">
        <f>IFERROR(IF(OR(PRECIOS!I410="",PRECIOS!I409=""),"",PRECIOS!I410/PRECIOS!I409-1),"")</f>
        <v>-0.02015032317</v>
      </c>
    </row>
    <row r="411" ht="15.75" customHeight="1">
      <c r="A411" s="4">
        <f>IF(PRECIOS!A411="","",PRECIOS!A411)</f>
        <v>45007</v>
      </c>
      <c r="B411" s="7">
        <f>IFERROR(IF(OR(PRECIOS!B411="",PRECIOS!B410=""),"",PRECIOS!B411/PRECIOS!B410-1),"")</f>
        <v>-0.02288863976</v>
      </c>
      <c r="C411" s="7">
        <f>IFERROR(IF(OR(PRECIOS!C411="",PRECIOS!C410=""),"",PRECIOS!C411/PRECIOS!C410-1),"")</f>
        <v>-0.006256517205</v>
      </c>
      <c r="D411" s="7">
        <f>IFERROR(IF(OR(PRECIOS!D411="",PRECIOS!D410=""),"",PRECIOS!D411/PRECIOS!D410-1),"")</f>
        <v>-0.03312051077</v>
      </c>
      <c r="E411" s="7">
        <f>IFERROR(IF(OR(PRECIOS!E411="",PRECIOS!E410=""),"",PRECIOS!E411/PRECIOS!E410-1),"")</f>
        <v>-0.004672337367</v>
      </c>
      <c r="F411" s="7">
        <f>IFERROR(IF(OR(PRECIOS!F411="",PRECIOS!F410=""),"",PRECIOS!F411/PRECIOS!F410-1),"")</f>
        <v>-0.005091649695</v>
      </c>
      <c r="G411" s="7">
        <f>IFERROR(IF(OR(PRECIOS!G411="",PRECIOS!G410=""),"",PRECIOS!G411/PRECIOS!G410-1),"")</f>
        <v>-0.01850582591</v>
      </c>
      <c r="H411" s="7">
        <f>IFERROR(IF(OR(PRECIOS!H411="",PRECIOS!H410=""),"",PRECIOS!H411/PRECIOS!H410-1),"")</f>
        <v>-0.02126859367</v>
      </c>
      <c r="I411" s="7">
        <f>IFERROR(IF(OR(PRECIOS!I411="",PRECIOS!I410=""),"",PRECIOS!I411/PRECIOS!I410-1),"")</f>
        <v>-0.01964607874</v>
      </c>
    </row>
    <row r="412" ht="15.75" customHeight="1">
      <c r="A412" s="4">
        <f>IF(PRECIOS!A412="","",PRECIOS!A412)</f>
        <v>45008</v>
      </c>
      <c r="B412" s="7">
        <f>IFERROR(IF(OR(PRECIOS!B412="",PRECIOS!B411=""),"",PRECIOS!B412/PRECIOS!B411-1),"")</f>
        <v>-0.01128214935</v>
      </c>
      <c r="C412" s="7">
        <f>IFERROR(IF(OR(PRECIOS!C412="",PRECIOS!C411=""),"",PRECIOS!C412/PRECIOS!C411-1),"")</f>
        <v>-0.005546394843</v>
      </c>
      <c r="D412" s="7">
        <f>IFERROR(IF(OR(PRECIOS!D412="",PRECIOS!D411=""),"",PRECIOS!D412/PRECIOS!D411-1),"")</f>
        <v>-0.01320676847</v>
      </c>
      <c r="E412" s="7">
        <f>IFERROR(IF(OR(PRECIOS!E412="",PRECIOS!E411=""),"",PRECIOS!E412/PRECIOS!E411-1),"")</f>
        <v>-0.009749638902</v>
      </c>
      <c r="F412" s="7">
        <f>IFERROR(IF(OR(PRECIOS!F412="",PRECIOS!F411=""),"",PRECIOS!F412/PRECIOS!F411-1),"")</f>
        <v>-0.01125895599</v>
      </c>
      <c r="G412" s="7">
        <f>IFERROR(IF(OR(PRECIOS!G412="",PRECIOS!G411=""),"",PRECIOS!G412/PRECIOS!G411-1),"")</f>
        <v>-0.01187150838</v>
      </c>
      <c r="H412" s="7">
        <f>IFERROR(IF(OR(PRECIOS!H412="",PRECIOS!H411=""),"",PRECIOS!H412/PRECIOS!H411-1),"")</f>
        <v>-0.0138560155</v>
      </c>
      <c r="I412" s="7">
        <f>IFERROR(IF(OR(PRECIOS!I412="",PRECIOS!I411=""),"",PRECIOS!I412/PRECIOS!I411-1),"")</f>
        <v>-0.01025330501</v>
      </c>
    </row>
    <row r="413" ht="15.75" customHeight="1">
      <c r="A413" s="4">
        <f>IF(PRECIOS!A413="","",PRECIOS!A413)</f>
        <v>45009</v>
      </c>
      <c r="B413" s="7">
        <f>IFERROR(IF(OR(PRECIOS!B413="",PRECIOS!B412=""),"",PRECIOS!B413/PRECIOS!B412-1),"")</f>
        <v>0.001160429359</v>
      </c>
      <c r="C413" s="7">
        <f>IFERROR(IF(OR(PRECIOS!C413="",PRECIOS!C412=""),"",PRECIOS!C413/PRECIOS!C412-1),"")</f>
        <v>0.03391618933</v>
      </c>
      <c r="D413" s="7">
        <f>IFERROR(IF(OR(PRECIOS!D413="",PRECIOS!D412=""),"",PRECIOS!D413/PRECIOS!D412-1),"")</f>
        <v>-0.02049351736</v>
      </c>
      <c r="E413" s="7">
        <f>IFERROR(IF(OR(PRECIOS!E413="",PRECIOS!E412=""),"",PRECIOS!E413/PRECIOS!E412-1),"")</f>
        <v>-0.005469794579</v>
      </c>
      <c r="F413" s="7">
        <f>IFERROR(IF(OR(PRECIOS!F413="",PRECIOS!F412=""),"",PRECIOS!F413/PRECIOS!F412-1),"")</f>
        <v>-0.004140786749</v>
      </c>
      <c r="G413" s="7">
        <f>IFERROR(IF(OR(PRECIOS!G413="",PRECIOS!G412=""),"",PRECIOS!G413/PRECIOS!G412-1),"")</f>
        <v>0.01554770318</v>
      </c>
      <c r="H413" s="7">
        <f>IFERROR(IF(OR(PRECIOS!H413="",PRECIOS!H412=""),"",PRECIOS!H413/PRECIOS!H412-1),"")</f>
        <v>0.00386846103</v>
      </c>
      <c r="I413" s="7">
        <f>IFERROR(IF(OR(PRECIOS!I413="",PRECIOS!I412=""),"",PRECIOS!I413/PRECIOS!I412-1),"")</f>
        <v>0.03123579453</v>
      </c>
    </row>
    <row r="414" ht="15.75" customHeight="1">
      <c r="A414" s="4">
        <f>IF(PRECIOS!A414="","",PRECIOS!A414)</f>
        <v>45012</v>
      </c>
      <c r="B414" s="7">
        <f>IFERROR(IF(OR(PRECIOS!B414="",PRECIOS!B413=""),"",PRECIOS!B414/PRECIOS!B413-1),"")</f>
        <v>0.02192601178</v>
      </c>
      <c r="C414" s="7">
        <f>IFERROR(IF(OR(PRECIOS!C414="",PRECIOS!C413=""),"",PRECIOS!C414/PRECIOS!C413-1),"")</f>
        <v>-0.005102784662</v>
      </c>
      <c r="D414" s="7">
        <f>IFERROR(IF(OR(PRECIOS!D414="",PRECIOS!D413=""),"",PRECIOS!D414/PRECIOS!D413-1),"")</f>
        <v>-0.009393680615</v>
      </c>
      <c r="E414" s="7">
        <f>IFERROR(IF(OR(PRECIOS!E414="",PRECIOS!E413=""),"",PRECIOS!E414/PRECIOS!E413-1),"")</f>
        <v>0.001466634075</v>
      </c>
      <c r="F414" s="7">
        <f>IFERROR(IF(OR(PRECIOS!F414="",PRECIOS!F413=""),"",PRECIOS!F414/PRECIOS!F413-1),"")</f>
        <v>0.07172557173</v>
      </c>
      <c r="G414" s="7">
        <f>IFERROR(IF(OR(PRECIOS!G414="",PRECIOS!G413=""),"",PRECIOS!G414/PRECIOS!G413-1),"")</f>
        <v>0.006610995129</v>
      </c>
      <c r="H414" s="7">
        <f>IFERROR(IF(OR(PRECIOS!H414="",PRECIOS!H413=""),"",PRECIOS!H414/PRECIOS!H413-1),"")</f>
        <v>0.02131268354</v>
      </c>
      <c r="I414" s="7">
        <f>IFERROR(IF(OR(PRECIOS!I414="",PRECIOS!I413=""),"",PRECIOS!I414/PRECIOS!I413-1),"")</f>
        <v>0.001216359539</v>
      </c>
    </row>
    <row r="415" ht="15.75" customHeight="1">
      <c r="A415" s="4">
        <f>IF(PRECIOS!A415="","",PRECIOS!A415)</f>
        <v>45013</v>
      </c>
      <c r="B415" s="7">
        <f>IFERROR(IF(OR(PRECIOS!B415="",PRECIOS!B414=""),"",PRECIOS!B415/PRECIOS!B414-1),"")</f>
        <v>0.01247637051</v>
      </c>
      <c r="C415" s="7">
        <f>IFERROR(IF(OR(PRECIOS!C415="",PRECIOS!C414=""),"",PRECIOS!C415/PRECIOS!C414-1),"")</f>
        <v>0.002198124267</v>
      </c>
      <c r="D415" s="7">
        <f>IFERROR(IF(OR(PRECIOS!D415="",PRECIOS!D414=""),"",PRECIOS!D415/PRECIOS!D414-1),"")</f>
        <v>0.006034482759</v>
      </c>
      <c r="E415" s="7">
        <f>IFERROR(IF(OR(PRECIOS!E415="",PRECIOS!E414=""),"",PRECIOS!E415/PRECIOS!E414-1),"")</f>
        <v>0.01043446424</v>
      </c>
      <c r="F415" s="7">
        <f>IFERROR(IF(OR(PRECIOS!F415="",PRECIOS!F414=""),"",PRECIOS!F415/PRECIOS!F414-1),"")</f>
        <v>0.05043646945</v>
      </c>
      <c r="G415" s="7">
        <f>IFERROR(IF(OR(PRECIOS!G415="",PRECIOS!G414=""),"",PRECIOS!G415/PRECIOS!G414-1),"")</f>
        <v>-0.002073971656</v>
      </c>
      <c r="H415" s="7">
        <f>IFERROR(IF(OR(PRECIOS!H415="",PRECIOS!H414=""),"",PRECIOS!H415/PRECIOS!H414-1),"")</f>
        <v>0.0154616035</v>
      </c>
      <c r="I415" s="7">
        <f>IFERROR(IF(OR(PRECIOS!I415="",PRECIOS!I414=""),"",PRECIOS!I415/PRECIOS!I414-1),"")</f>
        <v>0.002740932248</v>
      </c>
    </row>
    <row r="416" ht="15.75" customHeight="1">
      <c r="A416" s="4">
        <f>IF(PRECIOS!A416="","",PRECIOS!A416)</f>
        <v>45014</v>
      </c>
      <c r="B416" s="7">
        <f>IFERROR(IF(OR(PRECIOS!B416="",PRECIOS!B415=""),"",PRECIOS!B416/PRECIOS!B415-1),"")</f>
        <v>0.01717699776</v>
      </c>
      <c r="C416" s="7">
        <f>IFERROR(IF(OR(PRECIOS!C416="",PRECIOS!C415=""),"",PRECIOS!C416/PRECIOS!C415-1),"")</f>
        <v>0.01389091973</v>
      </c>
      <c r="D416" s="7">
        <f>IFERROR(IF(OR(PRECIOS!D416="",PRECIOS!D415=""),"",PRECIOS!D416/PRECIOS!D415-1),"")</f>
        <v>0.007283633248</v>
      </c>
      <c r="E416" s="7">
        <f>IFERROR(IF(OR(PRECIOS!E416="",PRECIOS!E415=""),"",PRECIOS!E416/PRECIOS!E415-1),"")</f>
        <v>0.01231958452</v>
      </c>
      <c r="F416" s="7">
        <f>IFERROR(IF(OR(PRECIOS!F416="",PRECIOS!F415=""),"",PRECIOS!F416/PRECIOS!F415-1),"")</f>
        <v>0.03693444137</v>
      </c>
      <c r="G416" s="7">
        <f>IFERROR(IF(OR(PRECIOS!G416="",PRECIOS!G415=""),"",PRECIOS!G416/PRECIOS!G415-1),"")</f>
        <v>0.01385521302</v>
      </c>
      <c r="H416" s="7">
        <f>IFERROR(IF(OR(PRECIOS!H416="",PRECIOS!H415=""),"",PRECIOS!H416/PRECIOS!H415-1),"")</f>
        <v>0.01386466761</v>
      </c>
      <c r="I416" s="7">
        <f>IFERROR(IF(OR(PRECIOS!I416="",PRECIOS!I415=""),"",PRECIOS!I416/PRECIOS!I415-1),"")</f>
        <v>0.01455523827</v>
      </c>
    </row>
    <row r="417" ht="15.75" customHeight="1">
      <c r="A417" s="4">
        <f>IF(PRECIOS!A417="","",PRECIOS!A417)</f>
        <v>45015</v>
      </c>
      <c r="B417" s="7">
        <f>IFERROR(IF(OR(PRECIOS!B417="",PRECIOS!B416=""),"",PRECIOS!B417/PRECIOS!B416-1),"")</f>
        <v>0.004864170338</v>
      </c>
      <c r="C417" s="7">
        <f>IFERROR(IF(OR(PRECIOS!C417="",PRECIOS!C416=""),"",PRECIOS!C417/PRECIOS!C416-1),"")</f>
        <v>-0.004038073262</v>
      </c>
      <c r="D417" s="7">
        <f>IFERROR(IF(OR(PRECIOS!D417="",PRECIOS!D416=""),"",PRECIOS!D417/PRECIOS!D416-1),"")</f>
        <v>0.003402807316</v>
      </c>
      <c r="E417" s="7">
        <f>IFERROR(IF(OR(PRECIOS!E417="",PRECIOS!E416=""),"",PRECIOS!E417/PRECIOS!E416-1),"")</f>
        <v>0.008709658176</v>
      </c>
      <c r="F417" s="7">
        <f>IFERROR(IF(OR(PRECIOS!F417="",PRECIOS!F416=""),"",PRECIOS!F417/PRECIOS!F416-1),"")</f>
        <v>0.017809439</v>
      </c>
      <c r="G417" s="7">
        <f>IFERROR(IF(OR(PRECIOS!G417="",PRECIOS!G416=""),"",PRECIOS!G417/PRECIOS!G416-1),"")</f>
        <v>0.004783054322</v>
      </c>
      <c r="H417" s="7">
        <f>IFERROR(IF(OR(PRECIOS!H417="",PRECIOS!H416=""),"",PRECIOS!H417/PRECIOS!H416-1),"")</f>
        <v>0.004392500114</v>
      </c>
      <c r="I417" s="7">
        <f>IFERROR(IF(OR(PRECIOS!I417="",PRECIOS!I416=""),"",PRECIOS!I417/PRECIOS!I416-1),"")</f>
        <v>0.004334188023</v>
      </c>
    </row>
    <row r="418" ht="15.75" customHeight="1">
      <c r="A418" s="4">
        <f>IF(PRECIOS!A418="","",PRECIOS!A418)</f>
        <v>45016</v>
      </c>
      <c r="B418" s="7">
        <f>IFERROR(IF(OR(PRECIOS!B418="",PRECIOS!B417=""),"",PRECIOS!B418/PRECIOS!B417-1),"")</f>
        <v>0.00155265321</v>
      </c>
      <c r="C418" s="7">
        <f>IFERROR(IF(OR(PRECIOS!C418="",PRECIOS!C417=""),"",PRECIOS!C418/PRECIOS!C417-1),"")</f>
        <v>0.007529684332</v>
      </c>
      <c r="D418" s="7">
        <f>IFERROR(IF(OR(PRECIOS!D418="",PRECIOS!D417=""),"",PRECIOS!D418/PRECIOS!D417-1),"")</f>
        <v>0.01738024587</v>
      </c>
      <c r="E418" s="7">
        <f>IFERROR(IF(OR(PRECIOS!E418="",PRECIOS!E417=""),"",PRECIOS!E418/PRECIOS!E417-1),"")</f>
        <v>0.01330652315</v>
      </c>
      <c r="F418" s="7">
        <f>IFERROR(IF(OR(PRECIOS!F418="",PRECIOS!F417=""),"",PRECIOS!F418/PRECIOS!F417-1),"")</f>
        <v>-0.03937007874</v>
      </c>
      <c r="G418" s="7">
        <f>IFERROR(IF(OR(PRECIOS!G418="",PRECIOS!G417=""),"",PRECIOS!G418/PRECIOS!G417-1),"")</f>
        <v>0.01530091806</v>
      </c>
      <c r="H418" s="7">
        <f>IFERROR(IF(OR(PRECIOS!H418="",PRECIOS!H417=""),"",PRECIOS!H418/PRECIOS!H417-1),"")</f>
        <v>0.006930147206</v>
      </c>
      <c r="I418" s="7">
        <f>IFERROR(IF(OR(PRECIOS!I418="",PRECIOS!I417=""),"",PRECIOS!I418/PRECIOS!I417-1),"")</f>
        <v>0.007286428905</v>
      </c>
    </row>
    <row r="419" ht="15.75" customHeight="1">
      <c r="A419" s="4">
        <f>IF(PRECIOS!A419="","",PRECIOS!A419)</f>
        <v>45019</v>
      </c>
      <c r="B419" s="7">
        <f>IFERROR(IF(OR(PRECIOS!B419="",PRECIOS!B418=""),"",PRECIOS!B419/PRECIOS!B418-1),"")</f>
        <v>0.05900054715</v>
      </c>
      <c r="C419" s="7">
        <f>IFERROR(IF(OR(PRECIOS!C419="",PRECIOS!C418=""),"",PRECIOS!C419/PRECIOS!C418-1),"")</f>
        <v>-0.008766887037</v>
      </c>
      <c r="D419" s="7">
        <f>IFERROR(IF(OR(PRECIOS!D419="",PRECIOS!D418=""),"",PRECIOS!D419/PRECIOS!D418-1),"")</f>
        <v>-0.0125</v>
      </c>
      <c r="E419" s="7">
        <f>IFERROR(IF(OR(PRECIOS!E419="",PRECIOS!E418=""),"",PRECIOS!E419/PRECIOS!E418-1),"")</f>
        <v>-0.004669079024</v>
      </c>
      <c r="F419" s="7">
        <f>IFERROR(IF(OR(PRECIOS!F419="",PRECIOS!F418=""),"",PRECIOS!F419/PRECIOS!F418-1),"")</f>
        <v>0.06102003643</v>
      </c>
      <c r="G419" s="7">
        <f>IFERROR(IF(OR(PRECIOS!G419="",PRECIOS!G418=""),"",PRECIOS!G419/PRECIOS!G418-1),"")</f>
        <v>-0.0003348961822</v>
      </c>
      <c r="H419" s="7">
        <f>IFERROR(IF(OR(PRECIOS!H419="",PRECIOS!H418=""),"",PRECIOS!H419/PRECIOS!H418-1),"")</f>
        <v>0.0452728778</v>
      </c>
      <c r="I419" s="7">
        <f>IFERROR(IF(OR(PRECIOS!I419="",PRECIOS!I418=""),"",PRECIOS!I419/PRECIOS!I418-1),"")</f>
        <v>-0.006789855422</v>
      </c>
    </row>
    <row r="420" ht="15.75" customHeight="1">
      <c r="A420" s="4">
        <f>IF(PRECIOS!A420="","",PRECIOS!A420)</f>
        <v>45020</v>
      </c>
      <c r="B420" s="7">
        <f>IFERROR(IF(OR(PRECIOS!B420="",PRECIOS!B419=""),"",PRECIOS!B420/PRECIOS!B419-1),"")</f>
        <v>-0.009558253681</v>
      </c>
      <c r="C420" s="7">
        <f>IFERROR(IF(OR(PRECIOS!C420="",PRECIOS!C419=""),"",PRECIOS!C420/PRECIOS!C419-1),"")</f>
        <v>0.00956937799</v>
      </c>
      <c r="D420" s="7">
        <f>IFERROR(IF(OR(PRECIOS!D420="",PRECIOS!D419=""),"",PRECIOS!D420/PRECIOS!D419-1),"")</f>
        <v>-0.01223628692</v>
      </c>
      <c r="E420" s="7">
        <f>IFERROR(IF(OR(PRECIOS!E420="",PRECIOS!E419=""),"",PRECIOS!E420/PRECIOS!E419-1),"")</f>
        <v>-0.0486102967</v>
      </c>
      <c r="F420" s="7">
        <f>IFERROR(IF(OR(PRECIOS!F420="",PRECIOS!F419=""),"",PRECIOS!F420/PRECIOS!F419-1),"")</f>
        <v>-0.02145922747</v>
      </c>
      <c r="G420" s="7">
        <f>IFERROR(IF(OR(PRECIOS!G420="",PRECIOS!G419=""),"",PRECIOS!G420/PRECIOS!G419-1),"")</f>
        <v>-0.006030150754</v>
      </c>
      <c r="H420" s="7">
        <f>IFERROR(IF(OR(PRECIOS!H420="",PRECIOS!H419=""),"",PRECIOS!H420/PRECIOS!H419-1),"")</f>
        <v>-0.01813102417</v>
      </c>
      <c r="I420" s="7">
        <f>IFERROR(IF(OR(PRECIOS!I420="",PRECIOS!I419=""),"",PRECIOS!I420/PRECIOS!I419-1),"")</f>
        <v>0.005055150035</v>
      </c>
    </row>
    <row r="421" ht="15.75" customHeight="1">
      <c r="A421" s="4">
        <f>IF(PRECIOS!A421="","",PRECIOS!A421)</f>
        <v>45021</v>
      </c>
      <c r="B421" s="7">
        <f>IFERROR(IF(OR(PRECIOS!B421="",PRECIOS!B420=""),"",PRECIOS!B421/PRECIOS!B420-1),"")</f>
        <v>0.01712745609</v>
      </c>
      <c r="C421" s="7">
        <f>IFERROR(IF(OR(PRECIOS!C421="",PRECIOS!C420=""),"",PRECIOS!C421/PRECIOS!C420-1),"")</f>
        <v>0.02685624013</v>
      </c>
      <c r="D421" s="7">
        <f>IFERROR(IF(OR(PRECIOS!D421="",PRECIOS!D420=""),"",PRECIOS!D421/PRECIOS!D420-1),"")</f>
        <v>0.02178556173</v>
      </c>
      <c r="E421" s="7">
        <f>IFERROR(IF(OR(PRECIOS!E421="",PRECIOS!E420=""),"",PRECIOS!E421/PRECIOS!E420-1),"")</f>
        <v>-0.02329738059</v>
      </c>
      <c r="F421" s="7">
        <f>IFERROR(IF(OR(PRECIOS!F421="",PRECIOS!F420=""),"",PRECIOS!F421/PRECIOS!F420-1),"")</f>
        <v>0.006140350877</v>
      </c>
      <c r="G421" s="7">
        <f>IFERROR(IF(OR(PRECIOS!G421="",PRECIOS!G420=""),"",PRECIOS!G421/PRECIOS!G420-1),"")</f>
        <v>0.009100101112</v>
      </c>
      <c r="H421" s="7">
        <f>IFERROR(IF(OR(PRECIOS!H421="",PRECIOS!H420=""),"",PRECIOS!H421/PRECIOS!H420-1),"")</f>
        <v>0.01505358054</v>
      </c>
      <c r="I421" s="7">
        <f>IFERROR(IF(OR(PRECIOS!I421="",PRECIOS!I420=""),"",PRECIOS!I421/PRECIOS!I420-1),"")</f>
        <v>0.0258993733</v>
      </c>
    </row>
    <row r="422" ht="15.75" customHeight="1">
      <c r="A422" s="4">
        <f>IF(PRECIOS!A422="","",PRECIOS!A422)</f>
        <v>45022</v>
      </c>
      <c r="B422" s="7">
        <f>IFERROR(IF(OR(PRECIOS!B422="",PRECIOS!B421=""),"",PRECIOS!B422/PRECIOS!B421-1),"")</f>
        <v>-0.0165826139</v>
      </c>
      <c r="C422" s="7">
        <f>IFERROR(IF(OR(PRECIOS!C422="",PRECIOS!C421=""),"",PRECIOS!C422/PRECIOS!C421-1),"")</f>
        <v>0.01132867133</v>
      </c>
      <c r="D422" s="7">
        <f>IFERROR(IF(OR(PRECIOS!D422="",PRECIOS!D421=""),"",PRECIOS!D422/PRECIOS!D421-1),"")</f>
        <v>0.00627090301</v>
      </c>
      <c r="E422" s="7">
        <f>IFERROR(IF(OR(PRECIOS!E422="",PRECIOS!E421=""),"",PRECIOS!E422/PRECIOS!E421-1),"")</f>
        <v>-0.01400896069</v>
      </c>
      <c r="F422" s="7">
        <f>IFERROR(IF(OR(PRECIOS!F422="",PRECIOS!F421=""),"",PRECIOS!F422/PRECIOS!F421-1),"")</f>
        <v>-0.02702702703</v>
      </c>
      <c r="G422" s="7">
        <f>IFERROR(IF(OR(PRECIOS!G422="",PRECIOS!G421=""),"",PRECIOS!G422/PRECIOS!G421-1),"")</f>
        <v>-0.009686038744</v>
      </c>
      <c r="H422" s="7">
        <f>IFERROR(IF(OR(PRECIOS!H422="",PRECIOS!H421=""),"",PRECIOS!H422/PRECIOS!H421-1),"")</f>
        <v>-0.01517817471</v>
      </c>
      <c r="I422" s="7">
        <f>IFERROR(IF(OR(PRECIOS!I422="",PRECIOS!I421=""),"",PRECIOS!I422/PRECIOS!I421-1),"")</f>
        <v>0.007069879049</v>
      </c>
    </row>
    <row r="423" ht="15.75" customHeight="1">
      <c r="A423" s="4">
        <f>IF(PRECIOS!A423="","",PRECIOS!A423)</f>
        <v>45026</v>
      </c>
      <c r="B423" s="7">
        <f>IFERROR(IF(OR(PRECIOS!B423="",PRECIOS!B422=""),"",PRECIOS!B423/PRECIOS!B422-1),"")</f>
        <v>-0.00443285528</v>
      </c>
      <c r="C423" s="7">
        <f>IFERROR(IF(OR(PRECIOS!C423="",PRECIOS!C422=""),"",PRECIOS!C423/PRECIOS!C422-1),"")</f>
        <v>-0.003733923385</v>
      </c>
      <c r="D423" s="7">
        <f>IFERROR(IF(OR(PRECIOS!D423="",PRECIOS!D422=""),"",PRECIOS!D423/PRECIOS!D422-1),"")</f>
        <v>0.01454092231</v>
      </c>
      <c r="E423" s="7">
        <f>IFERROR(IF(OR(PRECIOS!E423="",PRECIOS!E422=""),"",PRECIOS!E423/PRECIOS!E422-1),"")</f>
        <v>0.007616</v>
      </c>
      <c r="F423" s="7">
        <f>IFERROR(IF(OR(PRECIOS!F423="",PRECIOS!F422=""),"",PRECIOS!F423/PRECIOS!F422-1),"")</f>
        <v>0.1021505376</v>
      </c>
      <c r="G423" s="7">
        <f>IFERROR(IF(OR(PRECIOS!G423="",PRECIOS!G422=""),"",PRECIOS!G423/PRECIOS!G422-1),"")</f>
        <v>0.006408094435</v>
      </c>
      <c r="H423" s="7">
        <f>IFERROR(IF(OR(PRECIOS!H423="",PRECIOS!H422=""),"",PRECIOS!H423/PRECIOS!H422-1),"")</f>
        <v>0.008002536887</v>
      </c>
      <c r="I423" s="7">
        <f>IFERROR(IF(OR(PRECIOS!I423="",PRECIOS!I422=""),"",PRECIOS!I423/PRECIOS!I422-1),"")</f>
        <v>-0.002005339255</v>
      </c>
    </row>
    <row r="424" ht="15.75" customHeight="1">
      <c r="A424" s="4">
        <f>IF(PRECIOS!A424="","",PRECIOS!A424)</f>
        <v>45027</v>
      </c>
      <c r="B424" s="7">
        <f>IFERROR(IF(OR(PRECIOS!B424="",PRECIOS!B423=""),"",PRECIOS!B424/PRECIOS!B423-1),"")</f>
        <v>0.007071765322</v>
      </c>
      <c r="C424" s="7">
        <f>IFERROR(IF(OR(PRECIOS!C424="",PRECIOS!C423=""),"",PRECIOS!C424/PRECIOS!C423-1),"")</f>
        <v>-0.002915047196</v>
      </c>
      <c r="D424" s="7">
        <f>IFERROR(IF(OR(PRECIOS!D424="",PRECIOS!D423=""),"",PRECIOS!D424/PRECIOS!D423-1),"")</f>
        <v>0.01105651106</v>
      </c>
      <c r="E424" s="7">
        <f>IFERROR(IF(OR(PRECIOS!E424="",PRECIOS!E423=""),"",PRECIOS!E424/PRECIOS!E423-1),"")</f>
        <v>0.008638211382</v>
      </c>
      <c r="F424" s="7">
        <f>IFERROR(IF(OR(PRECIOS!F424="",PRECIOS!F423=""),"",PRECIOS!F424/PRECIOS!F423-1),"")</f>
        <v>0.008943089431</v>
      </c>
      <c r="G424" s="7">
        <f>IFERROR(IF(OR(PRECIOS!G424="",PRECIOS!G423=""),"",PRECIOS!G424/PRECIOS!G423-1),"")</f>
        <v>0.01105898123</v>
      </c>
      <c r="H424" s="7">
        <f>IFERROR(IF(OR(PRECIOS!H424="",PRECIOS!H423=""),"",PRECIOS!H424/PRECIOS!H423-1),"")</f>
        <v>0.009453144782</v>
      </c>
      <c r="I424" s="7">
        <f>IFERROR(IF(OR(PRECIOS!I424="",PRECIOS!I423=""),"",PRECIOS!I424/PRECIOS!I423-1),"")</f>
        <v>0.0008624973047</v>
      </c>
    </row>
    <row r="425" ht="15.75" customHeight="1">
      <c r="A425" s="4">
        <f>IF(PRECIOS!A425="","",PRECIOS!A425)</f>
        <v>45028</v>
      </c>
      <c r="B425" s="7">
        <f>IFERROR(IF(OR(PRECIOS!B425="",PRECIOS!B424=""),"",PRECIOS!B425/PRECIOS!B424-1),"")</f>
        <v>-0.001040312094</v>
      </c>
      <c r="C425" s="7">
        <f>IFERROR(IF(OR(PRECIOS!C425="",PRECIOS!C424=""),"",PRECIOS!C425/PRECIOS!C424-1),"")</f>
        <v>0.004037310316</v>
      </c>
      <c r="D425" s="7">
        <f>IFERROR(IF(OR(PRECIOS!D425="",PRECIOS!D424=""),"",PRECIOS!D425/PRECIOS!D424-1),"")</f>
        <v>-0.005670311867</v>
      </c>
      <c r="E425" s="7">
        <f>IFERROR(IF(OR(PRECIOS!E425="",PRECIOS!E424=""),"",PRECIOS!E425/PRECIOS!E424-1),"")</f>
        <v>0.02153652393</v>
      </c>
      <c r="F425" s="7">
        <f>IFERROR(IF(OR(PRECIOS!F425="",PRECIOS!F424=""),"",PRECIOS!F425/PRECIOS!F424-1),"")</f>
        <v>0.01047542305</v>
      </c>
      <c r="G425" s="7">
        <f>IFERROR(IF(OR(PRECIOS!G425="",PRECIOS!G424=""),"",PRECIOS!G425/PRECIOS!G424-1),"")</f>
        <v>0.005303281405</v>
      </c>
      <c r="H425" s="7">
        <f>IFERROR(IF(OR(PRECIOS!H425="",PRECIOS!H424=""),"",PRECIOS!H425/PRECIOS!H424-1),"")</f>
        <v>0.0006967722973</v>
      </c>
      <c r="I425" s="7">
        <f>IFERROR(IF(OR(PRECIOS!I425="",PRECIOS!I424=""),"",PRECIOS!I425/PRECIOS!I424-1),"")</f>
        <v>-0.001008502015</v>
      </c>
    </row>
    <row r="426" ht="15.75" customHeight="1">
      <c r="A426" s="4">
        <f>IF(PRECIOS!A426="","",PRECIOS!A426)</f>
        <v>45029</v>
      </c>
      <c r="B426" s="7">
        <f>IFERROR(IF(OR(PRECIOS!B426="",PRECIOS!B425=""),"",PRECIOS!B426/PRECIOS!B425-1),"")</f>
        <v>0.004686279615</v>
      </c>
      <c r="C426" s="7">
        <f>IFERROR(IF(OR(PRECIOS!C426="",PRECIOS!C425=""),"",PRECIOS!C426/PRECIOS!C425-1),"")</f>
        <v>0.004714364947</v>
      </c>
      <c r="D426" s="7">
        <f>IFERROR(IF(OR(PRECIOS!D426="",PRECIOS!D425=""),"",PRECIOS!D426/PRECIOS!D425-1),"")</f>
        <v>0.01140529532</v>
      </c>
      <c r="E426" s="7">
        <f>IFERROR(IF(OR(PRECIOS!E426="",PRECIOS!E425=""),"",PRECIOS!E426/PRECIOS!E425-1),"")</f>
        <v>-0.00943163605</v>
      </c>
      <c r="F426" s="7">
        <f>IFERROR(IF(OR(PRECIOS!F426="",PRECIOS!F425=""),"",PRECIOS!F426/PRECIOS!F425-1),"")</f>
        <v>-0.01515151515</v>
      </c>
      <c r="G426" s="7">
        <f>IFERROR(IF(OR(PRECIOS!G426="",PRECIOS!G425=""),"",PRECIOS!G426/PRECIOS!G425-1),"")</f>
        <v>0.00560501154</v>
      </c>
      <c r="H426" s="7">
        <f>IFERROR(IF(OR(PRECIOS!H426="",PRECIOS!H425=""),"",PRECIOS!H426/PRECIOS!H425-1),"")</f>
        <v>0.006238732808</v>
      </c>
      <c r="I426" s="7">
        <f>IFERROR(IF(OR(PRECIOS!I426="",PRECIOS!I425=""),"",PRECIOS!I426/PRECIOS!I425-1),"")</f>
        <v>0.0001468961163</v>
      </c>
    </row>
    <row r="427" ht="15.75" customHeight="1">
      <c r="A427" s="4">
        <f>IF(PRECIOS!A427="","",PRECIOS!A427)</f>
        <v>45030</v>
      </c>
      <c r="B427" s="7">
        <f>IFERROR(IF(OR(PRECIOS!B427="",PRECIOS!B426=""),"",PRECIOS!B427/PRECIOS!B426-1),"")</f>
        <v>0.002418588581</v>
      </c>
      <c r="C427" s="7">
        <f>IFERROR(IF(OR(PRECIOS!C427="",PRECIOS!C426=""),"",PRECIOS!C427/PRECIOS!C426-1),"")</f>
        <v>-0.007176373171</v>
      </c>
      <c r="D427" s="7">
        <f>IFERROR(IF(OR(PRECIOS!D427="",PRECIOS!D426=""),"",PRECIOS!D427/PRECIOS!D426-1),"")</f>
        <v>-0.01369311317</v>
      </c>
      <c r="E427" s="7">
        <f>IFERROR(IF(OR(PRECIOS!E427="",PRECIOS!E426=""),"",PRECIOS!E427/PRECIOS!E426-1),"")</f>
        <v>0.007032173751</v>
      </c>
      <c r="F427" s="7">
        <f>IFERROR(IF(OR(PRECIOS!F427="",PRECIOS!F426=""),"",PRECIOS!F427/PRECIOS!F426-1),"")</f>
        <v>0.008097165992</v>
      </c>
      <c r="G427" s="7">
        <f>IFERROR(IF(OR(PRECIOS!G427="",PRECIOS!G426=""),"",PRECIOS!G427/PRECIOS!G426-1),"")</f>
        <v>-0.003606557377</v>
      </c>
      <c r="H427" s="7">
        <f>IFERROR(IF(OR(PRECIOS!H427="",PRECIOS!H426=""),"",PRECIOS!H427/PRECIOS!H426-1),"")</f>
        <v>0.001841898665</v>
      </c>
      <c r="I427" s="7">
        <f>IFERROR(IF(OR(PRECIOS!I427="",PRECIOS!I426=""),"",PRECIOS!I427/PRECIOS!I426-1),"")</f>
        <v>-0.01119371502</v>
      </c>
    </row>
    <row r="428" ht="15.75" customHeight="1">
      <c r="A428" s="4">
        <f>IF(PRECIOS!A428="","",PRECIOS!A428)</f>
        <v>45033</v>
      </c>
      <c r="B428" s="7">
        <f>IFERROR(IF(OR(PRECIOS!B428="",PRECIOS!B427=""),"",PRECIOS!B428/PRECIOS!B427-1),"")</f>
        <v>-0.01163291685</v>
      </c>
      <c r="C428" s="7">
        <f>IFERROR(IF(OR(PRECIOS!C428="",PRECIOS!C427=""),"",PRECIOS!C428/PRECIOS!C427-1),"")</f>
        <v>0.005560189046</v>
      </c>
      <c r="D428" s="7">
        <f>IFERROR(IF(OR(PRECIOS!D428="",PRECIOS!D427=""),"",PRECIOS!D428/PRECIOS!D427-1),"")</f>
        <v>-0.009799918334</v>
      </c>
      <c r="E428" s="7">
        <f>IFERROR(IF(OR(PRECIOS!E428="",PRECIOS!E427=""),"",PRECIOS!E428/PRECIOS!E427-1),"")</f>
        <v>0.007662835249</v>
      </c>
      <c r="F428" s="7">
        <f>IFERROR(IF(OR(PRECIOS!F428="",PRECIOS!F427=""),"",PRECIOS!F428/PRECIOS!F427-1),"")</f>
        <v>-0.01365461847</v>
      </c>
      <c r="G428" s="7">
        <f>IFERROR(IF(OR(PRECIOS!G428="",PRECIOS!G427=""),"",PRECIOS!G428/PRECIOS!G427-1),"")</f>
        <v>-0.002303389273</v>
      </c>
      <c r="H428" s="7">
        <f>IFERROR(IF(OR(PRECIOS!H428="",PRECIOS!H427=""),"",PRECIOS!H428/PRECIOS!H427-1),"")</f>
        <v>-0.01181219044</v>
      </c>
      <c r="I428" s="7">
        <f>IFERROR(IF(OR(PRECIOS!I428="",PRECIOS!I427=""),"",PRECIOS!I428/PRECIOS!I427-1),"")</f>
        <v>0.005517999867</v>
      </c>
    </row>
    <row r="429" ht="15.75" customHeight="1">
      <c r="A429" s="4">
        <f>IF(PRECIOS!A429="","",PRECIOS!A429)</f>
        <v>45034</v>
      </c>
      <c r="B429" s="7">
        <f>IFERROR(IF(OR(PRECIOS!B429="",PRECIOS!B428=""),"",PRECIOS!B429/PRECIOS!B428-1),"")</f>
        <v>0.01952920663</v>
      </c>
      <c r="C429" s="7">
        <f>IFERROR(IF(OR(PRECIOS!C429="",PRECIOS!C428=""),"",PRECIOS!C429/PRECIOS!C428-1),"")</f>
        <v>0.003317666575</v>
      </c>
      <c r="D429" s="7">
        <f>IFERROR(IF(OR(PRECIOS!D429="",PRECIOS!D428=""),"",PRECIOS!D429/PRECIOS!D428-1),"")</f>
        <v>0.002474226804</v>
      </c>
      <c r="E429" s="7">
        <f>IFERROR(IF(OR(PRECIOS!E429="",PRECIOS!E428=""),"",PRECIOS!E429/PRECIOS!E428-1),"")</f>
        <v>0.003863608488</v>
      </c>
      <c r="F429" s="7">
        <f>IFERROR(IF(OR(PRECIOS!F429="",PRECIOS!F428=""),"",PRECIOS!F429/PRECIOS!F428-1),"")</f>
        <v>-0.004885993485</v>
      </c>
      <c r="G429" s="7">
        <f>IFERROR(IF(OR(PRECIOS!G429="",PRECIOS!G428=""),"",PRECIOS!G429/PRECIOS!G428-1),"")</f>
        <v>-0.005277044855</v>
      </c>
      <c r="H429" s="7">
        <f>IFERROR(IF(OR(PRECIOS!H429="",PRECIOS!H428=""),"",PRECIOS!H429/PRECIOS!H428-1),"")</f>
        <v>0.003944642834</v>
      </c>
      <c r="I429" s="7">
        <f>IFERROR(IF(OR(PRECIOS!I429="",PRECIOS!I428=""),"",PRECIOS!I429/PRECIOS!I428-1),"")</f>
        <v>-0.005201703519</v>
      </c>
    </row>
    <row r="430" ht="15.75" customHeight="1">
      <c r="A430" s="4">
        <f>IF(PRECIOS!A430="","",PRECIOS!A430)</f>
        <v>45035</v>
      </c>
      <c r="B430" s="7">
        <f>IFERROR(IF(OR(PRECIOS!B430="",PRECIOS!B429=""),"",PRECIOS!B430/PRECIOS!B429-1),"")</f>
        <v>-0.003164015735</v>
      </c>
      <c r="C430" s="7">
        <f>IFERROR(IF(OR(PRECIOS!C430="",PRECIOS!C429=""),"",PRECIOS!C430/PRECIOS!C429-1),"")</f>
        <v>0.003168917057</v>
      </c>
      <c r="D430" s="7">
        <f>IFERROR(IF(OR(PRECIOS!D430="",PRECIOS!D429=""),"",PRECIOS!D430/PRECIOS!D429-1),"")</f>
        <v>-0.002056766763</v>
      </c>
      <c r="E430" s="7">
        <f>IFERROR(IF(OR(PRECIOS!E430="",PRECIOS!E429=""),"",PRECIOS!E430/PRECIOS!E429-1),"")</f>
        <v>-0.001771641518</v>
      </c>
      <c r="F430" s="7">
        <f>IFERROR(IF(OR(PRECIOS!F430="",PRECIOS!F429=""),"",PRECIOS!F430/PRECIOS!F429-1),"")</f>
        <v>-0.05400981997</v>
      </c>
      <c r="G430" s="7">
        <f>IFERROR(IF(OR(PRECIOS!G430="",PRECIOS!G429=""),"",PRECIOS!G430/PRECIOS!G429-1),"")</f>
        <v>-0.002652519894</v>
      </c>
      <c r="H430" s="7">
        <f>IFERROR(IF(OR(PRECIOS!H430="",PRECIOS!H429=""),"",PRECIOS!H430/PRECIOS!H429-1),"")</f>
        <v>-0.003465849108</v>
      </c>
      <c r="I430" s="7">
        <f>IFERROR(IF(OR(PRECIOS!I430="",PRECIOS!I429=""),"",PRECIOS!I430/PRECIOS!I429-1),"")</f>
        <v>0.007693279833</v>
      </c>
    </row>
    <row r="431" ht="15.75" customHeight="1">
      <c r="A431" s="4">
        <f>IF(PRECIOS!A431="","",PRECIOS!A431)</f>
        <v>45036</v>
      </c>
      <c r="B431" s="7">
        <f>IFERROR(IF(OR(PRECIOS!B431="",PRECIOS!B430=""),"",PRECIOS!B431/PRECIOS!B430-1),"")</f>
        <v>-0.007978038947</v>
      </c>
      <c r="C431" s="7">
        <f>IFERROR(IF(OR(PRECIOS!C431="",PRECIOS!C430=""),"",PRECIOS!C431/PRECIOS!C430-1),"")</f>
        <v>0.002884219201</v>
      </c>
      <c r="D431" s="7">
        <f>IFERROR(IF(OR(PRECIOS!D431="",PRECIOS!D430=""),"",PRECIOS!D431/PRECIOS!D430-1),"")</f>
        <v>-0.0197856554</v>
      </c>
      <c r="E431" s="7">
        <f>IFERROR(IF(OR(PRECIOS!E431="",PRECIOS!E430=""),"",PRECIOS!E431/PRECIOS!E430-1),"")</f>
        <v>-0.002692778458</v>
      </c>
      <c r="F431" s="7">
        <f>IFERROR(IF(OR(PRECIOS!F431="",PRECIOS!F430=""),"",PRECIOS!F431/PRECIOS!F430-1),"")</f>
        <v>-0.006920415225</v>
      </c>
      <c r="G431" s="7">
        <f>IFERROR(IF(OR(PRECIOS!G431="",PRECIOS!G430=""),"",PRECIOS!G431/PRECIOS!G430-1),"")</f>
        <v>-0.008311170213</v>
      </c>
      <c r="H431" s="7">
        <f>IFERROR(IF(OR(PRECIOS!H431="",PRECIOS!H430=""),"",PRECIOS!H431/PRECIOS!H430-1),"")</f>
        <v>-0.008812889327</v>
      </c>
      <c r="I431" s="7">
        <f>IFERROR(IF(OR(PRECIOS!I431="",PRECIOS!I430=""),"",PRECIOS!I431/PRECIOS!I430-1),"")</f>
        <v>-0.00028531565</v>
      </c>
    </row>
    <row r="432" ht="15.75" customHeight="1">
      <c r="A432" s="4">
        <f>IF(PRECIOS!A432="","",PRECIOS!A432)</f>
        <v>45037</v>
      </c>
      <c r="B432" s="7">
        <f>IFERROR(IF(OR(PRECIOS!B432="",PRECIOS!B431=""),"",PRECIOS!B432/PRECIOS!B431-1),"")</f>
        <v>0.003199584919</v>
      </c>
      <c r="C432" s="7">
        <f>IFERROR(IF(OR(PRECIOS!C432="",PRECIOS!C431=""),"",PRECIOS!C432/PRECIOS!C431-1),"")</f>
        <v>0.008079978088</v>
      </c>
      <c r="D432" s="7">
        <f>IFERROR(IF(OR(PRECIOS!D432="",PRECIOS!D431=""),"",PRECIOS!D432/PRECIOS!D431-1),"")</f>
        <v>-0.003364171573</v>
      </c>
      <c r="E432" s="7">
        <f>IFERROR(IF(OR(PRECIOS!E432="",PRECIOS!E431=""),"",PRECIOS!E432/PRECIOS!E431-1),"")</f>
        <v>-0.0004909180167</v>
      </c>
      <c r="F432" s="7">
        <f>IFERROR(IF(OR(PRECIOS!F432="",PRECIOS!F431=""),"",PRECIOS!F432/PRECIOS!F431-1),"")</f>
        <v>-0.01567944251</v>
      </c>
      <c r="G432" s="7">
        <f>IFERROR(IF(OR(PRECIOS!G432="",PRECIOS!G431=""),"",PRECIOS!G432/PRECIOS!G431-1),"")</f>
        <v>0.003352329869</v>
      </c>
      <c r="H432" s="7">
        <f>IFERROR(IF(OR(PRECIOS!H432="",PRECIOS!H431=""),"",PRECIOS!H432/PRECIOS!H431-1),"")</f>
        <v>-0.005848897501</v>
      </c>
      <c r="I432" s="7">
        <f>IFERROR(IF(OR(PRECIOS!I432="",PRECIOS!I431=""),"",PRECIOS!I432/PRECIOS!I431-1),"")</f>
        <v>0.002875924404</v>
      </c>
    </row>
    <row r="433" ht="15.75" customHeight="1">
      <c r="A433" s="4">
        <f>IF(PRECIOS!A433="","",PRECIOS!A433)</f>
        <v>45040</v>
      </c>
      <c r="B433" s="7">
        <f>IFERROR(IF(OR(PRECIOS!B433="",PRECIOS!B432=""),"",PRECIOS!B433/PRECIOS!B432-1),"")</f>
        <v>0.01887768296</v>
      </c>
      <c r="C433" s="7">
        <f>IFERROR(IF(OR(PRECIOS!C433="",PRECIOS!C432=""),"",PRECIOS!C433/PRECIOS!C432-1),"")</f>
        <v>0.006656704252</v>
      </c>
      <c r="D433" s="7">
        <f>IFERROR(IF(OR(PRECIOS!D433="",PRECIOS!D432=""),"",PRECIOS!D433/PRECIOS!D432-1),"")</f>
        <v>-0.002109704641</v>
      </c>
      <c r="E433" s="7">
        <f>IFERROR(IF(OR(PRECIOS!E433="",PRECIOS!E432=""),"",PRECIOS!E433/PRECIOS!E432-1),"")</f>
        <v>0.005586935167</v>
      </c>
      <c r="F433" s="7">
        <f>IFERROR(IF(OR(PRECIOS!F433="",PRECIOS!F432=""),"",PRECIOS!F433/PRECIOS!F432-1),"")</f>
        <v>0.01150442478</v>
      </c>
      <c r="G433" s="7">
        <f>IFERROR(IF(OR(PRECIOS!G433="",PRECIOS!G432=""),"",PRECIOS!G433/PRECIOS!G432-1),"")</f>
        <v>0.01336451721</v>
      </c>
      <c r="H433" s="7">
        <f>IFERROR(IF(OR(PRECIOS!H433="",PRECIOS!H432=""),"",PRECIOS!H433/PRECIOS!H432-1),"")</f>
        <v>0.01529866427</v>
      </c>
      <c r="I433" s="7">
        <f>IFERROR(IF(OR(PRECIOS!I433="",PRECIOS!I432=""),"",PRECIOS!I433/PRECIOS!I432-1),"")</f>
        <v>0.005025471353</v>
      </c>
    </row>
    <row r="434" ht="15.75" customHeight="1">
      <c r="A434" s="4">
        <f>IF(PRECIOS!A434="","",PRECIOS!A434)</f>
        <v>45041</v>
      </c>
      <c r="B434" s="7">
        <f>IFERROR(IF(OR(PRECIOS!B434="",PRECIOS!B433=""),"",PRECIOS!B434/PRECIOS!B433-1),"")</f>
        <v>-0.01421319797</v>
      </c>
      <c r="C434" s="7">
        <f>IFERROR(IF(OR(PRECIOS!C434="",PRECIOS!C433=""),"",PRECIOS!C434/PRECIOS!C433-1),"")</f>
        <v>-0.001619433198</v>
      </c>
      <c r="D434" s="7">
        <f>IFERROR(IF(OR(PRECIOS!D434="",PRECIOS!D433=""),"",PRECIOS!D434/PRECIOS!D433-1),"")</f>
        <v>-0.01268498943</v>
      </c>
      <c r="E434" s="7">
        <f>IFERROR(IF(OR(PRECIOS!E434="",PRECIOS!E433=""),"",PRECIOS!E434/PRECIOS!E433-1),"")</f>
        <v>-0.00006105378839</v>
      </c>
      <c r="F434" s="7">
        <f>IFERROR(IF(OR(PRECIOS!F434="",PRECIOS!F433=""),"",PRECIOS!F434/PRECIOS!F433-1),"")</f>
        <v>-0.0271216098</v>
      </c>
      <c r="G434" s="7">
        <f>IFERROR(IF(OR(PRECIOS!G434="",PRECIOS!G433=""),"",PRECIOS!G434/PRECIOS!G433-1),"")</f>
        <v>-0.01318826245</v>
      </c>
      <c r="H434" s="7">
        <f>IFERROR(IF(OR(PRECIOS!H434="",PRECIOS!H433=""),"",PRECIOS!H434/PRECIOS!H433-1),"")</f>
        <v>-0.01877804327</v>
      </c>
      <c r="I434" s="7">
        <f>IFERROR(IF(OR(PRECIOS!I434="",PRECIOS!I433=""),"",PRECIOS!I434/PRECIOS!I433-1),"")</f>
        <v>-0.0009988238149</v>
      </c>
    </row>
    <row r="435" ht="15.75" customHeight="1">
      <c r="A435" s="4">
        <f>IF(PRECIOS!A435="","",PRECIOS!A435)</f>
        <v>45042</v>
      </c>
      <c r="B435" s="7">
        <f>IFERROR(IF(OR(PRECIOS!B435="",PRECIOS!B434=""),"",PRECIOS!B435/PRECIOS!B434-1),"")</f>
        <v>-0.00918297288</v>
      </c>
      <c r="C435" s="7">
        <f>IFERROR(IF(OR(PRECIOS!C435="",PRECIOS!C434=""),"",PRECIOS!C435/PRECIOS!C434-1),"")</f>
        <v>-0.01878886185</v>
      </c>
      <c r="D435" s="7">
        <f>IFERROR(IF(OR(PRECIOS!D435="",PRECIOS!D434=""),"",PRECIOS!D435/PRECIOS!D434-1),"")</f>
        <v>-0.01627408994</v>
      </c>
      <c r="E435" s="7">
        <f>IFERROR(IF(OR(PRECIOS!E435="",PRECIOS!E434=""),"",PRECIOS!E435/PRECIOS!E434-1),"")</f>
        <v>-0.01135669801</v>
      </c>
      <c r="F435" s="7">
        <f>IFERROR(IF(OR(PRECIOS!F435="",PRECIOS!F434=""),"",PRECIOS!F435/PRECIOS!F434-1),"")</f>
        <v>-0.008992805755</v>
      </c>
      <c r="G435" s="7">
        <f>IFERROR(IF(OR(PRECIOS!G435="",PRECIOS!G434=""),"",PRECIOS!G435/PRECIOS!G434-1),"")</f>
        <v>-0.01637153358</v>
      </c>
      <c r="H435" s="7">
        <f>IFERROR(IF(OR(PRECIOS!H435="",PRECIOS!H434=""),"",PRECIOS!H435/PRECIOS!H434-1),"")</f>
        <v>-0.01334572067</v>
      </c>
      <c r="I435" s="7">
        <f>IFERROR(IF(OR(PRECIOS!I435="",PRECIOS!I434=""),"",PRECIOS!I435/PRECIOS!I434-1),"")</f>
        <v>-0.02346312337</v>
      </c>
    </row>
    <row r="436" ht="15.75" customHeight="1">
      <c r="A436" s="4">
        <f>IF(PRECIOS!A436="","",PRECIOS!A436)</f>
        <v>45043</v>
      </c>
      <c r="B436" s="7">
        <f>IFERROR(IF(OR(PRECIOS!B436="",PRECIOS!B435=""),"",PRECIOS!B436/PRECIOS!B435-1),"")</f>
        <v>0.0119532265</v>
      </c>
      <c r="C436" s="7">
        <f>IFERROR(IF(OR(PRECIOS!C436="",PRECIOS!C435=""),"",PRECIOS!C436/PRECIOS!C435-1),"")</f>
        <v>0.01267392203</v>
      </c>
      <c r="D436" s="7">
        <f>IFERROR(IF(OR(PRECIOS!D436="",PRECIOS!D435=""),"",PRECIOS!D436/PRECIOS!D435-1),"")</f>
        <v>0.006965607314</v>
      </c>
      <c r="E436" s="7">
        <f>IFERROR(IF(OR(PRECIOS!E436="",PRECIOS!E435=""),"",PRECIOS!E436/PRECIOS!E435-1),"")</f>
        <v>0.03736413043</v>
      </c>
      <c r="F436" s="7">
        <f>IFERROR(IF(OR(PRECIOS!F436="",PRECIOS!F435=""),"",PRECIOS!F436/PRECIOS!F435-1),"")</f>
        <v>0.005444646098</v>
      </c>
      <c r="G436" s="7">
        <f>IFERROR(IF(OR(PRECIOS!G436="",PRECIOS!G435=""),"",PRECIOS!G436/PRECIOS!G435-1),"")</f>
        <v>0.01256793478</v>
      </c>
      <c r="H436" s="7">
        <f>IFERROR(IF(OR(PRECIOS!H436="",PRECIOS!H435=""),"",PRECIOS!H436/PRECIOS!H435-1),"")</f>
        <v>0.003590734907</v>
      </c>
      <c r="I436" s="7">
        <f>IFERROR(IF(OR(PRECIOS!I436="",PRECIOS!I435=""),"",PRECIOS!I436/PRECIOS!I435-1),"")</f>
        <v>0.01201502915</v>
      </c>
    </row>
    <row r="437" ht="15.75" customHeight="1">
      <c r="A437" s="4">
        <f>IF(PRECIOS!A437="","",PRECIOS!A437)</f>
        <v>45044</v>
      </c>
      <c r="B437" s="7">
        <f>IFERROR(IF(OR(PRECIOS!B437="",PRECIOS!B436=""),"",PRECIOS!B437/PRECIOS!B436-1),"")</f>
        <v>0.01292476248</v>
      </c>
      <c r="C437" s="7">
        <f>IFERROR(IF(OR(PRECIOS!C437="",PRECIOS!C436=""),"",PRECIOS!C437/PRECIOS!C436-1),"")</f>
        <v>0.0005441436539</v>
      </c>
      <c r="D437" s="7">
        <f>IFERROR(IF(OR(PRECIOS!D437="",PRECIOS!D436=""),"",PRECIOS!D437/PRECIOS!D436-1),"")</f>
        <v>0.03156074362</v>
      </c>
      <c r="E437" s="7">
        <f>IFERROR(IF(OR(PRECIOS!E437="",PRECIOS!E436=""),"",PRECIOS!E437/PRECIOS!E436-1),"")</f>
        <v>-0.005060427457</v>
      </c>
      <c r="F437" s="7">
        <f>IFERROR(IF(OR(PRECIOS!F437="",PRECIOS!F436=""),"",PRECIOS!F437/PRECIOS!F436-1),"")</f>
        <v>0.003610108303</v>
      </c>
      <c r="G437" s="7">
        <f>IFERROR(IF(OR(PRECIOS!G437="",PRECIOS!G436=""),"",PRECIOS!G437/PRECIOS!G436-1),"")</f>
        <v>0.0150956055</v>
      </c>
      <c r="H437" s="7">
        <f>IFERROR(IF(OR(PRECIOS!H437="",PRECIOS!H436=""),"",PRECIOS!H437/PRECIOS!H436-1),"")</f>
        <v>0.01550853571</v>
      </c>
      <c r="I437" s="7">
        <f>IFERROR(IF(OR(PRECIOS!I437="",PRECIOS!I436=""),"",PRECIOS!I437/PRECIOS!I436-1),"")</f>
        <v>-0.001449773237</v>
      </c>
    </row>
    <row r="438" ht="15.75" customHeight="1">
      <c r="A438" s="4">
        <f>IF(PRECIOS!A438="","",PRECIOS!A438)</f>
        <v>45047</v>
      </c>
      <c r="B438" s="7">
        <f>IFERROR(IF(OR(PRECIOS!B438="",PRECIOS!B437=""),"",PRECIOS!B438/PRECIOS!B437-1),"")</f>
        <v>-0.03101233733</v>
      </c>
      <c r="C438" s="7">
        <f>IFERROR(IF(OR(PRECIOS!C438="",PRECIOS!C437=""),"",PRECIOS!C438/PRECIOS!C437-1),"")</f>
        <v>0.007341944256</v>
      </c>
      <c r="D438" s="7">
        <f>IFERROR(IF(OR(PRECIOS!D438="",PRECIOS!D437=""),"",PRECIOS!D438/PRECIOS!D437-1),"")</f>
        <v>-0.0180217938</v>
      </c>
      <c r="E438" s="7">
        <f>IFERROR(IF(OR(PRECIOS!E438="",PRECIOS!E437=""),"",PRECIOS!E438/PRECIOS!E437-1),"")</f>
        <v>0.009932982288</v>
      </c>
      <c r="F438" s="7">
        <f>IFERROR(IF(OR(PRECIOS!F438="",PRECIOS!F437=""),"",PRECIOS!F438/PRECIOS!F437-1),"")</f>
        <v>-0.01348920863</v>
      </c>
      <c r="G438" s="7">
        <f>IFERROR(IF(OR(PRECIOS!G438="",PRECIOS!G437=""),"",PRECIOS!G438/PRECIOS!G437-1),"")</f>
        <v>0.003304692664</v>
      </c>
      <c r="H438" s="7">
        <f>IFERROR(IF(OR(PRECIOS!H438="",PRECIOS!H437=""),"",PRECIOS!H438/PRECIOS!H437-1),"")</f>
        <v>-0.01127747953</v>
      </c>
      <c r="I438" s="7">
        <f>IFERROR(IF(OR(PRECIOS!I438="",PRECIOS!I437=""),"",PRECIOS!I438/PRECIOS!I437-1),"")</f>
        <v>0.001742253757</v>
      </c>
    </row>
    <row r="439" ht="15.75" customHeight="1">
      <c r="A439" s="4">
        <f>IF(PRECIOS!A439="","",PRECIOS!A439)</f>
        <v>45048</v>
      </c>
      <c r="B439" s="7">
        <f>IFERROR(IF(OR(PRECIOS!B439="",PRECIOS!B438=""),"",PRECIOS!B439/PRECIOS!B438-1),"")</f>
        <v>-0.03985349263</v>
      </c>
      <c r="C439" s="7">
        <f>IFERROR(IF(OR(PRECIOS!C439="",PRECIOS!C438=""),"",PRECIOS!C439/PRECIOS!C438-1),"")</f>
        <v>-0.01268727224</v>
      </c>
      <c r="D439" s="7">
        <f>IFERROR(IF(OR(PRECIOS!D439="",PRECIOS!D438=""),"",PRECIOS!D439/PRECIOS!D438-1),"")</f>
        <v>-0.0136577038</v>
      </c>
      <c r="E439" s="7">
        <f>IFERROR(IF(OR(PRECIOS!E439="",PRECIOS!E438=""),"",PRECIOS!E439/PRECIOS!E438-1),"")</f>
        <v>0.02648418059</v>
      </c>
      <c r="F439" s="7">
        <f>IFERROR(IF(OR(PRECIOS!F439="",PRECIOS!F438=""),"",PRECIOS!F439/PRECIOS!F438-1),"")</f>
        <v>-0.01458523245</v>
      </c>
      <c r="G439" s="7">
        <f>IFERROR(IF(OR(PRECIOS!G439="",PRECIOS!G438=""),"",PRECIOS!G439/PRECIOS!G438-1),"")</f>
        <v>-0.034914361</v>
      </c>
      <c r="H439" s="7">
        <f>IFERROR(IF(OR(PRECIOS!H439="",PRECIOS!H438=""),"",PRECIOS!H439/PRECIOS!H438-1),"")</f>
        <v>-0.04348222188</v>
      </c>
      <c r="I439" s="7">
        <f>IFERROR(IF(OR(PRECIOS!I439="",PRECIOS!I438=""),"",PRECIOS!I439/PRECIOS!I438-1),"")</f>
        <v>-0.01215881128</v>
      </c>
    </row>
    <row r="440" ht="15.75" customHeight="1">
      <c r="A440" s="4">
        <f>IF(PRECIOS!A440="","",PRECIOS!A440)</f>
        <v>45049</v>
      </c>
      <c r="B440" s="7">
        <f>IFERROR(IF(OR(PRECIOS!B440="",PRECIOS!B439=""),"",PRECIOS!B440/PRECIOS!B439-1),"")</f>
        <v>-0.01970935513</v>
      </c>
      <c r="C440" s="7">
        <f>IFERROR(IF(OR(PRECIOS!C440="",PRECIOS!C439=""),"",PRECIOS!C440/PRECIOS!C439-1),"")</f>
        <v>0.002460697198</v>
      </c>
      <c r="D440" s="7">
        <f>IFERROR(IF(OR(PRECIOS!D440="",PRECIOS!D439=""),"",PRECIOS!D440/PRECIOS!D439-1),"")</f>
        <v>-0.004327131112</v>
      </c>
      <c r="E440" s="7">
        <f>IFERROR(IF(OR(PRECIOS!E440="",PRECIOS!E439=""),"",PRECIOS!E440/PRECIOS!E439-1),"")</f>
        <v>-0.005021645022</v>
      </c>
      <c r="F440" s="7">
        <f>IFERROR(IF(OR(PRECIOS!F440="",PRECIOS!F439=""),"",PRECIOS!F440/PRECIOS!F439-1),"")</f>
        <v>-0.01757631822</v>
      </c>
      <c r="G440" s="7">
        <f>IFERROR(IF(OR(PRECIOS!G440="",PRECIOS!G439=""),"",PRECIOS!G440/PRECIOS!G439-1),"")</f>
        <v>-0.01160409556</v>
      </c>
      <c r="H440" s="7">
        <f>IFERROR(IF(OR(PRECIOS!H440="",PRECIOS!H439=""),"",PRECIOS!H440/PRECIOS!H439-1),"")</f>
        <v>-0.01888291721</v>
      </c>
      <c r="I440" s="7">
        <f>IFERROR(IF(OR(PRECIOS!I440="",PRECIOS!I439=""),"",PRECIOS!I440/PRECIOS!I439-1),"")</f>
        <v>-0.002781286281</v>
      </c>
    </row>
    <row r="441" ht="15.75" customHeight="1">
      <c r="A441" s="4">
        <f>IF(PRECIOS!A441="","",PRECIOS!A441)</f>
        <v>45050</v>
      </c>
      <c r="B441" s="7">
        <f>IFERROR(IF(OR(PRECIOS!B441="",PRECIOS!B440=""),"",PRECIOS!B441/PRECIOS!B440-1),"")</f>
        <v>-0.01751134995</v>
      </c>
      <c r="C441" s="7">
        <f>IFERROR(IF(OR(PRECIOS!C441="",PRECIOS!C440=""),"",PRECIOS!C441/PRECIOS!C440-1),"")</f>
        <v>0.01254602482</v>
      </c>
      <c r="D441" s="7">
        <f>IFERROR(IF(OR(PRECIOS!D441="",PRECIOS!D440=""),"",PRECIOS!D441/PRECIOS!D440-1),"")</f>
        <v>0.006953498479</v>
      </c>
      <c r="E441" s="7">
        <f>IFERROR(IF(OR(PRECIOS!E441="",PRECIOS!E440=""),"",PRECIOS!E441/PRECIOS!E440-1),"")</f>
        <v>-0.02285647987</v>
      </c>
      <c r="F441" s="7">
        <f>IFERROR(IF(OR(PRECIOS!F441="",PRECIOS!F440=""),"",PRECIOS!F441/PRECIOS!F440-1),"")</f>
        <v>-0.007532956685</v>
      </c>
      <c r="G441" s="7">
        <f>IFERROR(IF(OR(PRECIOS!G441="",PRECIOS!G440=""),"",PRECIOS!G441/PRECIOS!G440-1),"")</f>
        <v>0.004834254144</v>
      </c>
      <c r="H441" s="7">
        <f>IFERROR(IF(OR(PRECIOS!H441="",PRECIOS!H440=""),"",PRECIOS!H441/PRECIOS!H440-1),"")</f>
        <v>-0.01113619722</v>
      </c>
      <c r="I441" s="7">
        <f>IFERROR(IF(OR(PRECIOS!I441="",PRECIOS!I440=""),"",PRECIOS!I441/PRECIOS!I440-1),"")</f>
        <v>0.007637884933</v>
      </c>
    </row>
    <row r="442" ht="15.75" customHeight="1">
      <c r="A442" s="4">
        <f>IF(PRECIOS!A442="","",PRECIOS!A442)</f>
        <v>45051</v>
      </c>
      <c r="B442" s="7">
        <f>IFERROR(IF(OR(PRECIOS!B442="",PRECIOS!B441=""),"",PRECIOS!B442/PRECIOS!B441-1),"")</f>
        <v>0.02489626556</v>
      </c>
      <c r="C442" s="7">
        <f>IFERROR(IF(OR(PRECIOS!C442="",PRECIOS!C441=""),"",PRECIOS!C442/PRECIOS!C441-1),"")</f>
        <v>0.009292929293</v>
      </c>
      <c r="D442" s="7">
        <f>IFERROR(IF(OR(PRECIOS!D442="",PRECIOS!D441=""),"",PRECIOS!D442/PRECIOS!D441-1),"")</f>
        <v>0.01078981442</v>
      </c>
      <c r="E442" s="7">
        <f>IFERROR(IF(OR(PRECIOS!E442="",PRECIOS!E441=""),"",PRECIOS!E442/PRECIOS!E441-1),"")</f>
        <v>0.0154951318</v>
      </c>
      <c r="F442" s="7">
        <f>IFERROR(IF(OR(PRECIOS!F442="",PRECIOS!F441=""),"",PRECIOS!F442/PRECIOS!F441-1),"")</f>
        <v>0.08064516129</v>
      </c>
      <c r="G442" s="7">
        <f>IFERROR(IF(OR(PRECIOS!G442="",PRECIOS!G441=""),"",PRECIOS!G442/PRECIOS!G441-1),"")</f>
        <v>0.03711340206</v>
      </c>
      <c r="H442" s="7">
        <f>IFERROR(IF(OR(PRECIOS!H442="",PRECIOS!H441=""),"",PRECIOS!H442/PRECIOS!H441-1),"")</f>
        <v>0.02714005627</v>
      </c>
      <c r="I442" s="7">
        <f>IFERROR(IF(OR(PRECIOS!I442="",PRECIOS!I441=""),"",PRECIOS!I442/PRECIOS!I441-1),"")</f>
        <v>0.006415058405</v>
      </c>
    </row>
    <row r="443" ht="15.75" customHeight="1">
      <c r="A443" s="4">
        <f>IF(PRECIOS!A443="","",PRECIOS!A443)</f>
        <v>45054</v>
      </c>
      <c r="B443" s="7">
        <f>IFERROR(IF(OR(PRECIOS!B443="",PRECIOS!B442=""),"",PRECIOS!B443/PRECIOS!B442-1),"")</f>
        <v>0.003956569746</v>
      </c>
      <c r="C443" s="7">
        <f>IFERROR(IF(OR(PRECIOS!C443="",PRECIOS!C442=""),"",PRECIOS!C443/PRECIOS!C442-1),"")</f>
        <v>-0.00493728316</v>
      </c>
      <c r="D443" s="7">
        <f>IFERROR(IF(OR(PRECIOS!D443="",PRECIOS!D442=""),"",PRECIOS!D443/PRECIOS!D442-1),"")</f>
        <v>-0.00170794193</v>
      </c>
      <c r="E443" s="7">
        <f>IFERROR(IF(OR(PRECIOS!E443="",PRECIOS!E442=""),"",PRECIOS!E443/PRECIOS!E442-1),"")</f>
        <v>-0.006840105232</v>
      </c>
      <c r="F443" s="7">
        <f>IFERROR(IF(OR(PRECIOS!F443="",PRECIOS!F442=""),"",PRECIOS!F443/PRECIOS!F442-1),"")</f>
        <v>0.01141352063</v>
      </c>
      <c r="G443" s="7">
        <f>IFERROR(IF(OR(PRECIOS!G443="",PRECIOS!G442=""),"",PRECIOS!G443/PRECIOS!G442-1),"")</f>
        <v>-0.02054340623</v>
      </c>
      <c r="H443" s="7">
        <f>IFERROR(IF(OR(PRECIOS!H443="",PRECIOS!H442=""),"",PRECIOS!H443/PRECIOS!H442-1),"")</f>
        <v>0</v>
      </c>
      <c r="I443" s="7">
        <f>IFERROR(IF(OR(PRECIOS!I443="",PRECIOS!I442=""),"",PRECIOS!I443/PRECIOS!I442-1),"")</f>
        <v>-0.003043578365</v>
      </c>
    </row>
    <row r="444" ht="15.75" customHeight="1">
      <c r="A444" s="4">
        <f>IF(PRECIOS!A444="","",PRECIOS!A444)</f>
        <v>45055</v>
      </c>
      <c r="B444" s="7">
        <f>IFERROR(IF(OR(PRECIOS!B444="",PRECIOS!B443=""),"",PRECIOS!B444/PRECIOS!B443-1),"")</f>
        <v>0.0002749518834</v>
      </c>
      <c r="C444" s="7">
        <f>IFERROR(IF(OR(PRECIOS!C444="",PRECIOS!C443=""),"",PRECIOS!C444/PRECIOS!C443-1),"")</f>
        <v>0.00160922623</v>
      </c>
      <c r="D444" s="7">
        <f>IFERROR(IF(OR(PRECIOS!D444="",PRECIOS!D443=""),"",PRECIOS!D444/PRECIOS!D443-1),"")</f>
        <v>0.05218135158</v>
      </c>
      <c r="E444" s="7">
        <f>IFERROR(IF(OR(PRECIOS!E444="",PRECIOS!E443=""),"",PRECIOS!E444/PRECIOS!E443-1),"")</f>
        <v>0.003943960443</v>
      </c>
      <c r="F444" s="7">
        <f>IFERROR(IF(OR(PRECIOS!F444="",PRECIOS!F443=""),"",PRECIOS!F444/PRECIOS!F443-1),"")</f>
        <v>0.01909722222</v>
      </c>
      <c r="G444" s="7">
        <f>IFERROR(IF(OR(PRECIOS!G444="",PRECIOS!G443=""),"",PRECIOS!G444/PRECIOS!G443-1),"")</f>
        <v>-0.003721244926</v>
      </c>
      <c r="H444" s="7">
        <f>IFERROR(IF(OR(PRECIOS!H444="",PRECIOS!H443=""),"",PRECIOS!H444/PRECIOS!H443-1),"")</f>
        <v>0.0003713848011</v>
      </c>
      <c r="I444" s="7">
        <f>IFERROR(IF(OR(PRECIOS!I444="",PRECIOS!I443=""),"",PRECIOS!I444/PRECIOS!I443-1),"")</f>
        <v>-0.001306565094</v>
      </c>
    </row>
    <row r="445" ht="15.75" customHeight="1">
      <c r="A445" s="4">
        <f>IF(PRECIOS!A445="","",PRECIOS!A445)</f>
        <v>45056</v>
      </c>
      <c r="B445" s="7">
        <f>IFERROR(IF(OR(PRECIOS!B445="",PRECIOS!B444=""),"",PRECIOS!B445/PRECIOS!B444-1),"")</f>
        <v>-0.01282756093</v>
      </c>
      <c r="C445" s="7">
        <f>IFERROR(IF(OR(PRECIOS!C445="",PRECIOS!C444=""),"",PRECIOS!C445/PRECIOS!C444-1),"")</f>
        <v>0.01298701299</v>
      </c>
      <c r="D445" s="7">
        <f>IFERROR(IF(OR(PRECIOS!D445="",PRECIOS!D444=""),"",PRECIOS!D445/PRECIOS!D444-1),"")</f>
        <v>0.02520325203</v>
      </c>
      <c r="E445" s="7">
        <f>IFERROR(IF(OR(PRECIOS!E445="",PRECIOS!E444=""),"",PRECIOS!E445/PRECIOS!E444-1),"")</f>
        <v>-0.008443271768</v>
      </c>
      <c r="F445" s="7">
        <f>IFERROR(IF(OR(PRECIOS!F445="",PRECIOS!F444=""),"",PRECIOS!F445/PRECIOS!F444-1),"")</f>
        <v>-0.007666098807</v>
      </c>
      <c r="G445" s="7">
        <f>IFERROR(IF(OR(PRECIOS!G445="",PRECIOS!G444=""),"",PRECIOS!G445/PRECIOS!G444-1),"")</f>
        <v>-0.009847198642</v>
      </c>
      <c r="H445" s="7">
        <f>IFERROR(IF(OR(PRECIOS!H445="",PRECIOS!H444=""),"",PRECIOS!H445/PRECIOS!H444-1),"")</f>
        <v>-0.01133940977</v>
      </c>
      <c r="I445" s="7">
        <f>IFERROR(IF(OR(PRECIOS!I445="",PRECIOS!I444=""),"",PRECIOS!I445/PRECIOS!I444-1),"")</f>
        <v>0.009167424283</v>
      </c>
    </row>
    <row r="446" ht="15.75" customHeight="1">
      <c r="A446" s="4">
        <f>IF(PRECIOS!A446="","",PRECIOS!A446)</f>
        <v>45057</v>
      </c>
      <c r="B446" s="7">
        <f>IFERROR(IF(OR(PRECIOS!B446="",PRECIOS!B445=""),"",PRECIOS!B446/PRECIOS!B445-1),"")</f>
        <v>-0.01809912753</v>
      </c>
      <c r="C446" s="7">
        <f>IFERROR(IF(OR(PRECIOS!C446="",PRECIOS!C445=""),"",PRECIOS!C446/PRECIOS!C445-1),"")</f>
        <v>-0.01334919376</v>
      </c>
      <c r="D446" s="7">
        <f>IFERROR(IF(OR(PRECIOS!D446="",PRECIOS!D445=""),"",PRECIOS!D446/PRECIOS!D445-1),"")</f>
        <v>-0.02299762094</v>
      </c>
      <c r="E446" s="7">
        <f>IFERROR(IF(OR(PRECIOS!E446="",PRECIOS!E445=""),"",PRECIOS!E446/PRECIOS!E445-1),"")</f>
        <v>-0.003488853409</v>
      </c>
      <c r="F446" s="7">
        <f>IFERROR(IF(OR(PRECIOS!F446="",PRECIOS!F445=""),"",PRECIOS!F446/PRECIOS!F445-1),"")</f>
        <v>0.008583690987</v>
      </c>
      <c r="G446" s="7">
        <f>IFERROR(IF(OR(PRECIOS!G446="",PRECIOS!G445=""),"",PRECIOS!G446/PRECIOS!G445-1),"")</f>
        <v>-0.00548696845</v>
      </c>
      <c r="H446" s="7">
        <f>IFERROR(IF(OR(PRECIOS!H446="",PRECIOS!H445=""),"",PRECIOS!H446/PRECIOS!H445-1),"")</f>
        <v>-0.01197198071</v>
      </c>
      <c r="I446" s="7">
        <f>IFERROR(IF(OR(PRECIOS!I446="",PRECIOS!I445=""),"",PRECIOS!I446/PRECIOS!I445-1),"")</f>
        <v>-0.01023614385</v>
      </c>
    </row>
    <row r="447" ht="15.75" customHeight="1">
      <c r="A447" s="4">
        <f>IF(PRECIOS!A447="","",PRECIOS!A447)</f>
        <v>45058</v>
      </c>
      <c r="B447" s="7">
        <f>IFERROR(IF(OR(PRECIOS!B447="",PRECIOS!B446=""),"",PRECIOS!B447/PRECIOS!B446-1),"")</f>
        <v>-0.0000945268929</v>
      </c>
      <c r="C447" s="7">
        <f>IFERROR(IF(OR(PRECIOS!C447="",PRECIOS!C446=""),"",PRECIOS!C447/PRECIOS!C446-1),"")</f>
        <v>-0.01741460147</v>
      </c>
      <c r="D447" s="7">
        <f>IFERROR(IF(OR(PRECIOS!D447="",PRECIOS!D446=""),"",PRECIOS!D447/PRECIOS!D446-1),"")</f>
        <v>-0.00487012987</v>
      </c>
      <c r="E447" s="7">
        <f>IFERROR(IF(OR(PRECIOS!E447="",PRECIOS!E446=""),"",PRECIOS!E447/PRECIOS!E446-1),"")</f>
        <v>0.000356040826</v>
      </c>
      <c r="F447" s="7">
        <f>IFERROR(IF(OR(PRECIOS!F447="",PRECIOS!F446=""),"",PRECIOS!F447/PRECIOS!F446-1),"")</f>
        <v>-0.03319148936</v>
      </c>
      <c r="G447" s="7">
        <f>IFERROR(IF(OR(PRECIOS!G447="",PRECIOS!G446=""),"",PRECIOS!G447/PRECIOS!G446-1),"")</f>
        <v>0.009655172414</v>
      </c>
      <c r="H447" s="7">
        <f>IFERROR(IF(OR(PRECIOS!H447="",PRECIOS!H446=""),"",PRECIOS!H447/PRECIOS!H446-1),"")</f>
        <v>0.001531397848</v>
      </c>
      <c r="I447" s="7">
        <f>IFERROR(IF(OR(PRECIOS!I447="",PRECIOS!I446=""),"",PRECIOS!I447/PRECIOS!I446-1),"")</f>
        <v>0.00553413084</v>
      </c>
    </row>
    <row r="448" ht="15.75" customHeight="1">
      <c r="A448" s="4">
        <f>IF(PRECIOS!A448="","",PRECIOS!A448)</f>
        <v>45061</v>
      </c>
      <c r="B448" s="7">
        <f>IFERROR(IF(OR(PRECIOS!B448="",PRECIOS!B447=""),"",PRECIOS!B448/PRECIOS!B447-1),"")</f>
        <v>-0.006712043865</v>
      </c>
      <c r="C448" s="7">
        <f>IFERROR(IF(OR(PRECIOS!C448="",PRECIOS!C447=""),"",PRECIOS!C448/PRECIOS!C447-1),"")</f>
        <v>-0.01267893661</v>
      </c>
      <c r="D448" s="7">
        <f>IFERROR(IF(OR(PRECIOS!D448="",PRECIOS!D447=""),"",PRECIOS!D448/PRECIOS!D447-1),"")</f>
        <v>0.01141924959</v>
      </c>
      <c r="E448" s="7">
        <f>IFERROR(IF(OR(PRECIOS!E448="",PRECIOS!E447=""),"",PRECIOS!E448/PRECIOS!E447-1),"")</f>
        <v>0.007948748369</v>
      </c>
      <c r="F448" s="7">
        <f>IFERROR(IF(OR(PRECIOS!F448="",PRECIOS!F447=""),"",PRECIOS!F448/PRECIOS!F447-1),"")</f>
        <v>-0.02024647887</v>
      </c>
      <c r="G448" s="7">
        <f>IFERROR(IF(OR(PRECIOS!G448="",PRECIOS!G447=""),"",PRECIOS!G448/PRECIOS!G447-1),"")</f>
        <v>-0.006147540984</v>
      </c>
      <c r="H448" s="7">
        <f>IFERROR(IF(OR(PRECIOS!H448="",PRECIOS!H447=""),"",PRECIOS!H448/PRECIOS!H447-1),"")</f>
        <v>0.005094994015</v>
      </c>
      <c r="I448" s="7">
        <f>IFERROR(IF(OR(PRECIOS!I448="",PRECIOS!I447=""),"",PRECIOS!I448/PRECIOS!I447-1),"")</f>
        <v>-0.012603253</v>
      </c>
    </row>
    <row r="449" ht="15.75" customHeight="1">
      <c r="A449" s="4">
        <f>IF(PRECIOS!A449="","",PRECIOS!A449)</f>
        <v>45062</v>
      </c>
      <c r="B449" s="7">
        <f>IFERROR(IF(OR(PRECIOS!B449="",PRECIOS!B448=""),"",PRECIOS!B449/PRECIOS!B448-1),"")</f>
        <v>-0.0242695346</v>
      </c>
      <c r="C449" s="7">
        <f>IFERROR(IF(OR(PRECIOS!C449="",PRECIOS!C448=""),"",PRECIOS!C449/PRECIOS!C448-1),"")</f>
        <v>-0.02098867716</v>
      </c>
      <c r="D449" s="7">
        <f>IFERROR(IF(OR(PRECIOS!D449="",PRECIOS!D448=""),"",PRECIOS!D449/PRECIOS!D448-1),"")</f>
        <v>-0.01814516129</v>
      </c>
      <c r="E449" s="7">
        <f>IFERROR(IF(OR(PRECIOS!E449="",PRECIOS!E448=""),"",PRECIOS!E449/PRECIOS!E448-1),"")</f>
        <v>-0.02065677966</v>
      </c>
      <c r="F449" s="7">
        <f>IFERROR(IF(OR(PRECIOS!F449="",PRECIOS!F448=""),"",PRECIOS!F449/PRECIOS!F448-1),"")</f>
        <v>-0.02964959569</v>
      </c>
      <c r="G449" s="7">
        <f>IFERROR(IF(OR(PRECIOS!G449="",PRECIOS!G448=""),"",PRECIOS!G449/PRECIOS!G448-1),"")</f>
        <v>-0.01546391753</v>
      </c>
      <c r="H449" s="7">
        <f>IFERROR(IF(OR(PRECIOS!H449="",PRECIOS!H448=""),"",PRECIOS!H449/PRECIOS!H448-1),"")</f>
        <v>-0.0245824045</v>
      </c>
      <c r="I449" s="7">
        <f>IFERROR(IF(OR(PRECIOS!I449="",PRECIOS!I448=""),"",PRECIOS!I449/PRECIOS!I448-1),"")</f>
        <v>-0.0221551435</v>
      </c>
    </row>
    <row r="450" ht="15.75" customHeight="1">
      <c r="A450" s="4">
        <f>IF(PRECIOS!A450="","",PRECIOS!A450)</f>
        <v>45063</v>
      </c>
      <c r="B450" s="7">
        <f>IFERROR(IF(OR(PRECIOS!B450="",PRECIOS!B449=""),"",PRECIOS!B450/PRECIOS!B449-1),"")</f>
        <v>0.0224346469</v>
      </c>
      <c r="C450" s="7">
        <f>IFERROR(IF(OR(PRECIOS!C450="",PRECIOS!C449=""),"",PRECIOS!C450/PRECIOS!C449-1),"")</f>
        <v>0.0005641748942</v>
      </c>
      <c r="D450" s="7">
        <f>IFERROR(IF(OR(PRECIOS!D450="",PRECIOS!D449=""),"",PRECIOS!D450/PRECIOS!D449-1),"")</f>
        <v>0</v>
      </c>
      <c r="E450" s="7">
        <f>IFERROR(IF(OR(PRECIOS!E450="",PRECIOS!E449=""),"",PRECIOS!E450/PRECIOS!E449-1),"")</f>
        <v>0.02758247701</v>
      </c>
      <c r="F450" s="7">
        <f>IFERROR(IF(OR(PRECIOS!F450="",PRECIOS!F449=""),"",PRECIOS!F450/PRECIOS!F449-1),"")</f>
        <v>0.02407407407</v>
      </c>
      <c r="G450" s="7">
        <f>IFERROR(IF(OR(PRECIOS!G450="",PRECIOS!G449=""),"",PRECIOS!G450/PRECIOS!G449-1),"")</f>
        <v>0.01047120419</v>
      </c>
      <c r="H450" s="7">
        <f>IFERROR(IF(OR(PRECIOS!H450="",PRECIOS!H449=""),"",PRECIOS!H450/PRECIOS!H449-1),"")</f>
        <v>0.01922518656</v>
      </c>
      <c r="I450" s="7">
        <f>IFERROR(IF(OR(PRECIOS!I450="",PRECIOS!I449=""),"",PRECIOS!I450/PRECIOS!I449-1),"")</f>
        <v>-0.003599789631</v>
      </c>
    </row>
    <row r="451" ht="15.75" customHeight="1">
      <c r="A451" s="4">
        <f>IF(PRECIOS!A451="","",PRECIOS!A451)</f>
        <v>45064</v>
      </c>
      <c r="B451" s="7">
        <f>IFERROR(IF(OR(PRECIOS!B451="",PRECIOS!B450=""),"",PRECIOS!B451/PRECIOS!B450-1),"")</f>
        <v>0.009063155886</v>
      </c>
      <c r="C451" s="7">
        <f>IFERROR(IF(OR(PRECIOS!C451="",PRECIOS!C450=""),"",PRECIOS!C451/PRECIOS!C450-1),"")</f>
        <v>0.001550606146</v>
      </c>
      <c r="D451" s="7">
        <f>IFERROR(IF(OR(PRECIOS!D451="",PRECIOS!D450=""),"",PRECIOS!D451/PRECIOS!D450-1),"")</f>
        <v>0.003696098563</v>
      </c>
      <c r="E451" s="7">
        <f>IFERROR(IF(OR(PRECIOS!E451="",PRECIOS!E450=""),"",PRECIOS!E451/PRECIOS!E450-1),"")</f>
        <v>0.02111111111</v>
      </c>
      <c r="F451" s="7">
        <f>IFERROR(IF(OR(PRECIOS!F451="",PRECIOS!F450=""),"",PRECIOS!F451/PRECIOS!F450-1),"")</f>
        <v>-0.01627486438</v>
      </c>
      <c r="G451" s="7">
        <f>IFERROR(IF(OR(PRECIOS!G451="",PRECIOS!G450=""),"",PRECIOS!G451/PRECIOS!G450-1),"")</f>
        <v>0.008981001727</v>
      </c>
      <c r="H451" s="7">
        <f>IFERROR(IF(OR(PRECIOS!H451="",PRECIOS!H450=""),"",PRECIOS!H451/PRECIOS!H450-1),"")</f>
        <v>0.007265781853</v>
      </c>
      <c r="I451" s="7">
        <f>IFERROR(IF(OR(PRECIOS!I451="",PRECIOS!I450=""),"",PRECIOS!I451/PRECIOS!I450-1),"")</f>
        <v>-0.003009569645</v>
      </c>
    </row>
    <row r="452" ht="15.75" customHeight="1">
      <c r="A452" s="4">
        <f>IF(PRECIOS!A452="","",PRECIOS!A452)</f>
        <v>45065</v>
      </c>
      <c r="B452" s="7">
        <f>IFERROR(IF(OR(PRECIOS!B452="",PRECIOS!B451=""),"",PRECIOS!B452/PRECIOS!B451-1),"")</f>
        <v>0.00463269358</v>
      </c>
      <c r="C452" s="7">
        <f>IFERROR(IF(OR(PRECIOS!C452="",PRECIOS!C451=""),"",PRECIOS!C452/PRECIOS!C451-1),"")</f>
        <v>0.005066854328</v>
      </c>
      <c r="D452" s="7">
        <f>IFERROR(IF(OR(PRECIOS!D452="",PRECIOS!D451=""),"",PRECIOS!D452/PRECIOS!D451-1),"")</f>
        <v>0.002864157119</v>
      </c>
      <c r="E452" s="7">
        <f>IFERROR(IF(OR(PRECIOS!E452="",PRECIOS!E451=""),"",PRECIOS!E452/PRECIOS!E451-1),"")</f>
        <v>-0.002634442472</v>
      </c>
      <c r="F452" s="7">
        <f>IFERROR(IF(OR(PRECIOS!F452="",PRECIOS!F451=""),"",PRECIOS!F452/PRECIOS!F451-1),"")</f>
        <v>-0.006433823529</v>
      </c>
      <c r="G452" s="7">
        <f>IFERROR(IF(OR(PRECIOS!G452="",PRECIOS!G451=""),"",PRECIOS!G452/PRECIOS!G451-1),"")</f>
        <v>0.001027045532</v>
      </c>
      <c r="H452" s="7">
        <f>IFERROR(IF(OR(PRECIOS!H452="",PRECIOS!H451=""),"",PRECIOS!H452/PRECIOS!H451-1),"")</f>
        <v>0.007715146693</v>
      </c>
      <c r="I452" s="7">
        <f>IFERROR(IF(OR(PRECIOS!I452="",PRECIOS!I451=""),"",PRECIOS!I452/PRECIOS!I451-1),"")</f>
        <v>-0.001509327248</v>
      </c>
    </row>
    <row r="453" ht="15.75" customHeight="1">
      <c r="A453" s="4">
        <f>IF(PRECIOS!A453="","",PRECIOS!A453)</f>
        <v>45068</v>
      </c>
      <c r="B453" s="7">
        <f>IFERROR(IF(OR(PRECIOS!B453="",PRECIOS!B452=""),"",PRECIOS!B453/PRECIOS!B452-1),"")</f>
        <v>-0.01214003388</v>
      </c>
      <c r="C453" s="7">
        <f>IFERROR(IF(OR(PRECIOS!C453="",PRECIOS!C452=""),"",PRECIOS!C453/PRECIOS!C452-1),"")</f>
        <v>-0.006441674835</v>
      </c>
      <c r="D453" s="7">
        <f>IFERROR(IF(OR(PRECIOS!D453="",PRECIOS!D452=""),"",PRECIOS!D453/PRECIOS!D452-1),"")</f>
        <v>0</v>
      </c>
      <c r="E453" s="7">
        <f>IFERROR(IF(OR(PRECIOS!E453="",PRECIOS!E452=""),"",PRECIOS!E453/PRECIOS!E452-1),"")</f>
        <v>0.0001722652885</v>
      </c>
      <c r="F453" s="7">
        <f>IFERROR(IF(OR(PRECIOS!F453="",PRECIOS!F452=""),"",PRECIOS!F453/PRECIOS!F452-1),"")</f>
        <v>-0.0009250693802</v>
      </c>
      <c r="G453" s="7">
        <f>IFERROR(IF(OR(PRECIOS!G453="",PRECIOS!G452=""),"",PRECIOS!G453/PRECIOS!G452-1),"")</f>
        <v>-0.000341997264</v>
      </c>
      <c r="H453" s="7">
        <f>IFERROR(IF(OR(PRECIOS!H453="",PRECIOS!H452=""),"",PRECIOS!H453/PRECIOS!H452-1),"")</f>
        <v>-0.00414303085</v>
      </c>
      <c r="I453" s="7">
        <f>IFERROR(IF(OR(PRECIOS!I453="",PRECIOS!I452=""),"",PRECIOS!I453/PRECIOS!I452-1),"")</f>
        <v>0.0002996871398</v>
      </c>
    </row>
    <row r="454" ht="15.75" customHeight="1">
      <c r="A454" s="4">
        <f>IF(PRECIOS!A454="","",PRECIOS!A454)</f>
        <v>45069</v>
      </c>
      <c r="B454" s="7">
        <f>IFERROR(IF(OR(PRECIOS!B454="",PRECIOS!B453=""),"",PRECIOS!B454/PRECIOS!B453-1),"")</f>
        <v>0.01362293989</v>
      </c>
      <c r="C454" s="7">
        <f>IFERROR(IF(OR(PRECIOS!C454="",PRECIOS!C453=""),"",PRECIOS!C454/PRECIOS!C453-1),"")</f>
        <v>0.00281888654</v>
      </c>
      <c r="D454" s="7">
        <f>IFERROR(IF(OR(PRECIOS!D454="",PRECIOS!D453=""),"",PRECIOS!D454/PRECIOS!D453-1),"")</f>
        <v>0.00203998368</v>
      </c>
      <c r="E454" s="7">
        <f>IFERROR(IF(OR(PRECIOS!E454="",PRECIOS!E453=""),"",PRECIOS!E454/PRECIOS!E453-1),"")</f>
        <v>-0.01619014812</v>
      </c>
      <c r="F454" s="7">
        <f>IFERROR(IF(OR(PRECIOS!F454="",PRECIOS!F453=""),"",PRECIOS!F454/PRECIOS!F453-1),"")</f>
        <v>0.03425925926</v>
      </c>
      <c r="G454" s="7">
        <f>IFERROR(IF(OR(PRECIOS!G454="",PRECIOS!G453=""),"",PRECIOS!G454/PRECIOS!G453-1),"")</f>
        <v>0.005131713992</v>
      </c>
      <c r="H454" s="7">
        <f>IFERROR(IF(OR(PRECIOS!H454="",PRECIOS!H453=""),"",PRECIOS!H454/PRECIOS!H453-1),"")</f>
        <v>0.01072111294</v>
      </c>
      <c r="I454" s="7">
        <f>IFERROR(IF(OR(PRECIOS!I454="",PRECIOS!I453=""),"",PRECIOS!I454/PRECIOS!I453-1),"")</f>
        <v>-0.003476646222</v>
      </c>
    </row>
    <row r="455" ht="15.75" customHeight="1">
      <c r="A455" s="4">
        <f>IF(PRECIOS!A455="","",PRECIOS!A455)</f>
        <v>45070</v>
      </c>
      <c r="B455" s="7">
        <f>IFERROR(IF(OR(PRECIOS!B455="",PRECIOS!B454=""),"",PRECIOS!B455/PRECIOS!B454-1),"")</f>
        <v>0.01118421053</v>
      </c>
      <c r="C455" s="7">
        <f>IFERROR(IF(OR(PRECIOS!C455="",PRECIOS!C454=""),"",PRECIOS!C455/PRECIOS!C454-1),"")</f>
        <v>-0.004216444132</v>
      </c>
      <c r="D455" s="7">
        <f>IFERROR(IF(OR(PRECIOS!D455="",PRECIOS!D454=""),"",PRECIOS!D455/PRECIOS!D454-1),"")</f>
        <v>-0.00651465798</v>
      </c>
      <c r="E455" s="7">
        <f>IFERROR(IF(OR(PRECIOS!E455="",PRECIOS!E454=""),"",PRECIOS!E455/PRECIOS!E454-1),"")</f>
        <v>-0.01861577965</v>
      </c>
      <c r="F455" s="7">
        <f>IFERROR(IF(OR(PRECIOS!F455="",PRECIOS!F454=""),"",PRECIOS!F455/PRECIOS!F454-1),"")</f>
        <v>0.0188003581</v>
      </c>
      <c r="G455" s="7">
        <f>IFERROR(IF(OR(PRECIOS!G455="",PRECIOS!G454=""),"",PRECIOS!G455/PRECIOS!G454-1),"")</f>
        <v>-0.003744043567</v>
      </c>
      <c r="H455" s="7">
        <f>IFERROR(IF(OR(PRECIOS!H455="",PRECIOS!H454=""),"",PRECIOS!H455/PRECIOS!H454-1),"")</f>
        <v>0.004367588015</v>
      </c>
      <c r="I455" s="7">
        <f>IFERROR(IF(OR(PRECIOS!I455="",PRECIOS!I454=""),"",PRECIOS!I455/PRECIOS!I454-1),"")</f>
        <v>-0.006521631399</v>
      </c>
    </row>
    <row r="456" ht="15.75" customHeight="1">
      <c r="A456" s="4">
        <f>IF(PRECIOS!A456="","",PRECIOS!A456)</f>
        <v>45071</v>
      </c>
      <c r="B456" s="7">
        <f>IFERROR(IF(OR(PRECIOS!B456="",PRECIOS!B455=""),"",PRECIOS!B456/PRECIOS!B455-1),"")</f>
        <v>-0.01793847012</v>
      </c>
      <c r="C456" s="7">
        <f>IFERROR(IF(OR(PRECIOS!C456="",PRECIOS!C455=""),"",PRECIOS!C456/PRECIOS!C455-1),"")</f>
        <v>-0.01453775582</v>
      </c>
      <c r="D456" s="7">
        <f>IFERROR(IF(OR(PRECIOS!D456="",PRECIOS!D455=""),"",PRECIOS!D456/PRECIOS!D455-1),"")</f>
        <v>-0.005327868852</v>
      </c>
      <c r="E456" s="7">
        <f>IFERROR(IF(OR(PRECIOS!E456="",PRECIOS!E455=""),"",PRECIOS!E456/PRECIOS!E455-1),"")</f>
        <v>0.05220907415</v>
      </c>
      <c r="F456" s="7">
        <f>IFERROR(IF(OR(PRECIOS!F456="",PRECIOS!F455=""),"",PRECIOS!F456/PRECIOS!F455-1),"")</f>
        <v>-0.02811950791</v>
      </c>
      <c r="G456" s="7">
        <f>IFERROR(IF(OR(PRECIOS!G456="",PRECIOS!G455=""),"",PRECIOS!G456/PRECIOS!G455-1),"")</f>
        <v>-0.006491288008</v>
      </c>
      <c r="H456" s="7">
        <f>IFERROR(IF(OR(PRECIOS!H456="",PRECIOS!H455=""),"",PRECIOS!H456/PRECIOS!H455-1),"")</f>
        <v>-0.01776447377</v>
      </c>
      <c r="I456" s="7">
        <f>IFERROR(IF(OR(PRECIOS!I456="",PRECIOS!I455=""),"",PRECIOS!I456/PRECIOS!I455-1),"")</f>
        <v>-0.01344480248</v>
      </c>
    </row>
    <row r="457" ht="15.75" customHeight="1">
      <c r="A457" s="4">
        <f>IF(PRECIOS!A457="","",PRECIOS!A457)</f>
        <v>45072</v>
      </c>
      <c r="B457" s="7">
        <f>IFERROR(IF(OR(PRECIOS!B457="",PRECIOS!B456=""),"",PRECIOS!B457/PRECIOS!B456-1),"")</f>
        <v>-0.006530380466</v>
      </c>
      <c r="C457" s="7">
        <f>IFERROR(IF(OR(PRECIOS!C457="",PRECIOS!C456=""),"",PRECIOS!C457/PRECIOS!C456-1),"")</f>
        <v>-0.005012890289</v>
      </c>
      <c r="D457" s="7">
        <f>IFERROR(IF(OR(PRECIOS!D457="",PRECIOS!D456=""),"",PRECIOS!D457/PRECIOS!D456-1),"")</f>
        <v>0.007416563659</v>
      </c>
      <c r="E457" s="7">
        <f>IFERROR(IF(OR(PRECIOS!E457="",PRECIOS!E456=""),"",PRECIOS!E457/PRECIOS!E456-1),"")</f>
        <v>0.03113873976</v>
      </c>
      <c r="F457" s="7">
        <f>IFERROR(IF(OR(PRECIOS!F457="",PRECIOS!F456=""),"",PRECIOS!F457/PRECIOS!F456-1),"")</f>
        <v>0.005424954792</v>
      </c>
      <c r="G457" s="7">
        <f>IFERROR(IF(OR(PRECIOS!G457="",PRECIOS!G456=""),"",PRECIOS!G457/PRECIOS!G456-1),"")</f>
        <v>-0.0113480055</v>
      </c>
      <c r="H457" s="7">
        <f>IFERROR(IF(OR(PRECIOS!H457="",PRECIOS!H456=""),"",PRECIOS!H457/PRECIOS!H456-1),"")</f>
        <v>-0.003917472648</v>
      </c>
      <c r="I457" s="7">
        <f>IFERROR(IF(OR(PRECIOS!I457="",PRECIOS!I456=""),"",PRECIOS!I457/PRECIOS!I456-1),"")</f>
        <v>0</v>
      </c>
    </row>
    <row r="458" ht="15.75" customHeight="1">
      <c r="A458" s="4">
        <f>IF(PRECIOS!A458="","",PRECIOS!A458)</f>
        <v>45076</v>
      </c>
      <c r="B458" s="7">
        <f>IFERROR(IF(OR(PRECIOS!B458="",PRECIOS!B457=""),"",PRECIOS!B458/PRECIOS!B457-1),"")</f>
        <v>-0.008859674193</v>
      </c>
      <c r="C458" s="7">
        <f>IFERROR(IF(OR(PRECIOS!C458="",PRECIOS!C457=""),"",PRECIOS!C458/PRECIOS!C457-1),"")</f>
        <v>0.00518209299</v>
      </c>
      <c r="D458" s="7">
        <f>IFERROR(IF(OR(PRECIOS!D458="",PRECIOS!D457=""),"",PRECIOS!D458/PRECIOS!D457-1),"")</f>
        <v>-0.02044989775</v>
      </c>
      <c r="E458" s="7">
        <f>IFERROR(IF(OR(PRECIOS!E458="",PRECIOS!E457=""),"",PRECIOS!E458/PRECIOS!E457-1),"")</f>
        <v>-0.003562424641</v>
      </c>
      <c r="F458" s="7">
        <f>IFERROR(IF(OR(PRECIOS!F458="",PRECIOS!F457=""),"",PRECIOS!F458/PRECIOS!F457-1),"")</f>
        <v>0.01438848921</v>
      </c>
      <c r="G458" s="7">
        <f>IFERROR(IF(OR(PRECIOS!G458="",PRECIOS!G457=""),"",PRECIOS!G458/PRECIOS!G457-1),"")</f>
        <v>-0.006608695652</v>
      </c>
      <c r="H458" s="7">
        <f>IFERROR(IF(OR(PRECIOS!H458="",PRECIOS!H457=""),"",PRECIOS!H458/PRECIOS!H457-1),"")</f>
        <v>-0.01028556489</v>
      </c>
      <c r="I458" s="7">
        <f>IFERROR(IF(OR(PRECIOS!I458="",PRECIOS!I457=""),"",PRECIOS!I458/PRECIOS!I457-1),"")</f>
        <v>-0.003866274758</v>
      </c>
    </row>
    <row r="459" ht="15.75" customHeight="1">
      <c r="A459" s="4">
        <f>IF(PRECIOS!A459="","",PRECIOS!A459)</f>
        <v>45077</v>
      </c>
      <c r="B459" s="7">
        <f>IFERROR(IF(OR(PRECIOS!B459="",PRECIOS!B458=""),"",PRECIOS!B459/PRECIOS!B458-1),"")</f>
        <v>-0.01787773933</v>
      </c>
      <c r="C459" s="7">
        <f>IFERROR(IF(OR(PRECIOS!C459="",PRECIOS!C458=""),"",PRECIOS!C459/PRECIOS!C458-1),"")</f>
        <v>-0.00114563941</v>
      </c>
      <c r="D459" s="7">
        <f>IFERROR(IF(OR(PRECIOS!D459="",PRECIOS!D458=""),"",PRECIOS!D459/PRECIOS!D458-1),"")</f>
        <v>0.0008350730689</v>
      </c>
      <c r="E459" s="7">
        <f>IFERROR(IF(OR(PRECIOS!E459="",PRECIOS!E458=""),"",PRECIOS!E459/PRECIOS!E458-1),"")</f>
        <v>-0.03250646279</v>
      </c>
      <c r="F459" s="7">
        <f>IFERROR(IF(OR(PRECIOS!F459="",PRECIOS!F458=""),"",PRECIOS!F459/PRECIOS!F458-1),"")</f>
        <v>-0.02570921986</v>
      </c>
      <c r="G459" s="7">
        <f>IFERROR(IF(OR(PRECIOS!G459="",PRECIOS!G458=""),"",PRECIOS!G459/PRECIOS!G458-1),"")</f>
        <v>0.00350140056</v>
      </c>
      <c r="H459" s="7">
        <f>IFERROR(IF(OR(PRECIOS!H459="",PRECIOS!H458=""),"",PRECIOS!H459/PRECIOS!H458-1),"")</f>
        <v>-0.01757275142</v>
      </c>
      <c r="I459" s="7">
        <f>IFERROR(IF(OR(PRECIOS!I459="",PRECIOS!I458=""),"",PRECIOS!I459/PRECIOS!I458-1),"")</f>
        <v>0.009163477384</v>
      </c>
    </row>
    <row r="460" ht="15.75" customHeight="1">
      <c r="A460" s="4">
        <f>IF(PRECIOS!A460="","",PRECIOS!A460)</f>
        <v>45078</v>
      </c>
      <c r="B460" s="7">
        <f>IFERROR(IF(OR(PRECIOS!B460="",PRECIOS!B459=""),"",PRECIOS!B460/PRECIOS!B459-1),"")</f>
        <v>0.01154824819</v>
      </c>
      <c r="C460" s="7">
        <f>IFERROR(IF(OR(PRECIOS!C460="",PRECIOS!C459=""),"",PRECIOS!C460/PRECIOS!C459-1),"")</f>
        <v>-0.008172043011</v>
      </c>
      <c r="D460" s="7">
        <f>IFERROR(IF(OR(PRECIOS!D460="",PRECIOS!D459=""),"",PRECIOS!D460/PRECIOS!D459-1),"")</f>
        <v>0.02795160617</v>
      </c>
      <c r="E460" s="7">
        <f>IFERROR(IF(OR(PRECIOS!E460="",PRECIOS!E459=""),"",PRECIOS!E460/PRECIOS!E459-1),"")</f>
        <v>0.01785105173</v>
      </c>
      <c r="F460" s="7">
        <f>IFERROR(IF(OR(PRECIOS!F460="",PRECIOS!F459=""),"",PRECIOS!F460/PRECIOS!F459-1),"")</f>
        <v>0.02820746133</v>
      </c>
      <c r="G460" s="7">
        <f>IFERROR(IF(OR(PRECIOS!G460="",PRECIOS!G459=""),"",PRECIOS!G460/PRECIOS!G459-1),"")</f>
        <v>0.01570132589</v>
      </c>
      <c r="H460" s="7">
        <f>IFERROR(IF(OR(PRECIOS!H460="",PRECIOS!H459=""),"",PRECIOS!H460/PRECIOS!H459-1),"")</f>
        <v>0.01240338461</v>
      </c>
      <c r="I460" s="7">
        <f>IFERROR(IF(OR(PRECIOS!I460="",PRECIOS!I459=""),"",PRECIOS!I460/PRECIOS!I459-1),"")</f>
        <v>-0.007390294036</v>
      </c>
    </row>
    <row r="461" ht="15.75" customHeight="1">
      <c r="A461" s="4">
        <f>IF(PRECIOS!A461="","",PRECIOS!A461)</f>
        <v>45079</v>
      </c>
      <c r="B461" s="7">
        <f>IFERROR(IF(OR(PRECIOS!B461="",PRECIOS!B460=""),"",PRECIOS!B461/PRECIOS!B460-1),"")</f>
        <v>0.02321981424</v>
      </c>
      <c r="C461" s="7">
        <f>IFERROR(IF(OR(PRECIOS!C461="",PRECIOS!C460=""),"",PRECIOS!C461/PRECIOS!C460-1),"")</f>
        <v>0.003902862099</v>
      </c>
      <c r="D461" s="7">
        <f>IFERROR(IF(OR(PRECIOS!D461="",PRECIOS!D460=""),"",PRECIOS!D461/PRECIOS!D460-1),"")</f>
        <v>0.003246753247</v>
      </c>
      <c r="E461" s="7">
        <f>IFERROR(IF(OR(PRECIOS!E461="",PRECIOS!E460=""),"",PRECIOS!E461/PRECIOS!E460-1),"")</f>
        <v>0.04155495979</v>
      </c>
      <c r="F461" s="7">
        <f>IFERROR(IF(OR(PRECIOS!F461="",PRECIOS!F460=""),"",PRECIOS!F461/PRECIOS!F460-1),"")</f>
        <v>0.01592920354</v>
      </c>
      <c r="G461" s="7">
        <f>IFERROR(IF(OR(PRECIOS!G461="",PRECIOS!G460=""),"",PRECIOS!G461/PRECIOS!G460-1),"")</f>
        <v>0.03847475094</v>
      </c>
      <c r="H461" s="7">
        <f>IFERROR(IF(OR(PRECIOS!H461="",PRECIOS!H460=""),"",PRECIOS!H461/PRECIOS!H460-1),"")</f>
        <v>0.03043925429</v>
      </c>
      <c r="I461" s="7">
        <f>IFERROR(IF(OR(PRECIOS!I461="",PRECIOS!I460=""),"",PRECIOS!I461/PRECIOS!I460-1),"")</f>
        <v>0.01039439237</v>
      </c>
    </row>
    <row r="462" ht="15.75" customHeight="1">
      <c r="A462" s="4">
        <f>IF(PRECIOS!A462="","",PRECIOS!A462)</f>
        <v>45082</v>
      </c>
      <c r="B462" s="7">
        <f>IFERROR(IF(OR(PRECIOS!B462="",PRECIOS!B461=""),"",PRECIOS!B462/PRECIOS!B461-1),"")</f>
        <v>-0.004444024206</v>
      </c>
      <c r="C462" s="7">
        <f>IFERROR(IF(OR(PRECIOS!C462="",PRECIOS!C461=""),"",PRECIOS!C462/PRECIOS!C461-1),"")</f>
        <v>0.003455723542</v>
      </c>
      <c r="D462" s="7">
        <f>IFERROR(IF(OR(PRECIOS!D462="",PRECIOS!D461=""),"",PRECIOS!D462/PRECIOS!D461-1),"")</f>
        <v>0.007281553398</v>
      </c>
      <c r="E462" s="7">
        <f>IFERROR(IF(OR(PRECIOS!E462="",PRECIOS!E461=""),"",PRECIOS!E462/PRECIOS!E461-1),"")</f>
        <v>-0.0154976405</v>
      </c>
      <c r="F462" s="7">
        <f>IFERROR(IF(OR(PRECIOS!F462="",PRECIOS!F461=""),"",PRECIOS!F462/PRECIOS!F461-1),"")</f>
        <v>0.02177700348</v>
      </c>
      <c r="G462" s="7">
        <f>IFERROR(IF(OR(PRECIOS!G462="",PRECIOS!G461=""),"",PRECIOS!G462/PRECIOS!G461-1),"")</f>
        <v>-0.002977174992</v>
      </c>
      <c r="H462" s="7">
        <f>IFERROR(IF(OR(PRECIOS!H462="",PRECIOS!H461=""),"",PRECIOS!H462/PRECIOS!H461-1),"")</f>
        <v>-0.006633012605</v>
      </c>
      <c r="I462" s="7">
        <f>IFERROR(IF(OR(PRECIOS!I462="",PRECIOS!I461=""),"",PRECIOS!I462/PRECIOS!I461-1),"")</f>
        <v>0.00476091768</v>
      </c>
    </row>
    <row r="463" ht="15.75" customHeight="1">
      <c r="A463" s="4">
        <f>IF(PRECIOS!A463="","",PRECIOS!A463)</f>
        <v>45083</v>
      </c>
      <c r="B463" s="7">
        <f>IFERROR(IF(OR(PRECIOS!B463="",PRECIOS!B462=""),"",PRECIOS!B463/PRECIOS!B462-1),"")</f>
        <v>0.008167917181</v>
      </c>
      <c r="C463" s="7">
        <f>IFERROR(IF(OR(PRECIOS!C463="",PRECIOS!C462=""),"",PRECIOS!C463/PRECIOS!C462-1),"")</f>
        <v>-0.004591763524</v>
      </c>
      <c r="D463" s="7">
        <f>IFERROR(IF(OR(PRECIOS!D463="",PRECIOS!D462=""),"",PRECIOS!D463/PRECIOS!D462-1),"")</f>
        <v>-0.006827309237</v>
      </c>
      <c r="E463" s="7">
        <f>IFERROR(IF(OR(PRECIOS!E463="",PRECIOS!E462=""),"",PRECIOS!E463/PRECIOS!E462-1),"")</f>
        <v>-0.0009259763604</v>
      </c>
      <c r="F463" s="7">
        <f>IFERROR(IF(OR(PRECIOS!F463="",PRECIOS!F462=""),"",PRECIOS!F463/PRECIOS!F462-1),"")</f>
        <v>0.06223358909</v>
      </c>
      <c r="G463" s="7">
        <f>IFERROR(IF(OR(PRECIOS!G463="",PRECIOS!G462=""),"",PRECIOS!G463/PRECIOS!G462-1),"")</f>
        <v>0.00696748507</v>
      </c>
      <c r="H463" s="7">
        <f>IFERROR(IF(OR(PRECIOS!H463="",PRECIOS!H462=""),"",PRECIOS!H463/PRECIOS!H462-1),"")</f>
        <v>0.008063002385</v>
      </c>
      <c r="I463" s="7">
        <f>IFERROR(IF(OR(PRECIOS!I463="",PRECIOS!I462=""),"",PRECIOS!I463/PRECIOS!I462-1),"")</f>
        <v>-0.0007619972981</v>
      </c>
    </row>
    <row r="464" ht="15.75" customHeight="1">
      <c r="A464" s="4">
        <f>IF(PRECIOS!A464="","",PRECIOS!A464)</f>
        <v>45084</v>
      </c>
      <c r="B464" s="7">
        <f>IFERROR(IF(OR(PRECIOS!B464="",PRECIOS!B463=""),"",PRECIOS!B464/PRECIOS!B463-1),"")</f>
        <v>0.02242110221</v>
      </c>
      <c r="C464" s="7">
        <f>IFERROR(IF(OR(PRECIOS!C464="",PRECIOS!C463=""),"",PRECIOS!C464/PRECIOS!C463-1),"")</f>
        <v>0.01095574456</v>
      </c>
      <c r="D464" s="7">
        <f>IFERROR(IF(OR(PRECIOS!D464="",PRECIOS!D463=""),"",PRECIOS!D464/PRECIOS!D463-1),"")</f>
        <v>0.01738778811</v>
      </c>
      <c r="E464" s="7">
        <f>IFERROR(IF(OR(PRECIOS!E464="",PRECIOS!E463=""),"",PRECIOS!E464/PRECIOS!E463-1),"")</f>
        <v>0.02824119507</v>
      </c>
      <c r="F464" s="7">
        <f>IFERROR(IF(OR(PRECIOS!F464="",PRECIOS!F463=""),"",PRECIOS!F464/PRECIOS!F463-1),"")</f>
        <v>0.005617977528</v>
      </c>
      <c r="G464" s="7">
        <f>IFERROR(IF(OR(PRECIOS!G464="",PRECIOS!G463=""),"",PRECIOS!G464/PRECIOS!G463-1),"")</f>
        <v>0.03459637562</v>
      </c>
      <c r="H464" s="7">
        <f>IFERROR(IF(OR(PRECIOS!H464="",PRECIOS!H463=""),"",PRECIOS!H464/PRECIOS!H463-1),"")</f>
        <v>0.02649284077</v>
      </c>
      <c r="I464" s="7">
        <f>IFERROR(IF(OR(PRECIOS!I464="",PRECIOS!I463=""),"",PRECIOS!I464/PRECIOS!I463-1),"")</f>
        <v>0.01697652657</v>
      </c>
    </row>
    <row r="465" ht="15.75" customHeight="1">
      <c r="A465" s="4">
        <f>IF(PRECIOS!A465="","",PRECIOS!A465)</f>
        <v>45085</v>
      </c>
      <c r="B465" s="7">
        <f>IFERROR(IF(OR(PRECIOS!B465="",PRECIOS!B464=""),"",PRECIOS!B465/PRECIOS!B464-1),"")</f>
        <v>-0.003132774348</v>
      </c>
      <c r="C465" s="7">
        <f>IFERROR(IF(OR(PRECIOS!C465="",PRECIOS!C464=""),"",PRECIOS!C465/PRECIOS!C464-1),"")</f>
        <v>0.01354627121</v>
      </c>
      <c r="D465" s="7">
        <f>IFERROR(IF(OR(PRECIOS!D465="",PRECIOS!D464=""),"",PRECIOS!D465/PRECIOS!D464-1),"")</f>
        <v>-0.01351351351</v>
      </c>
      <c r="E465" s="7">
        <f>IFERROR(IF(OR(PRECIOS!E465="",PRECIOS!E464=""),"",PRECIOS!E465/PRECIOS!E464-1),"")</f>
        <v>-0.00413573701</v>
      </c>
      <c r="F465" s="7">
        <f>IFERROR(IF(OR(PRECIOS!F465="",PRECIOS!F464=""),"",PRECIOS!F465/PRECIOS!F464-1),"")</f>
        <v>0.007182761373</v>
      </c>
      <c r="G465" s="7">
        <f>IFERROR(IF(OR(PRECIOS!G465="",PRECIOS!G464=""),"",PRECIOS!G465/PRECIOS!G464-1),"")</f>
        <v>0.009554140127</v>
      </c>
      <c r="H465" s="7">
        <f>IFERROR(IF(OR(PRECIOS!H465="",PRECIOS!H464=""),"",PRECIOS!H465/PRECIOS!H464-1),"")</f>
        <v>-0.004260166245</v>
      </c>
      <c r="I465" s="7">
        <f>IFERROR(IF(OR(PRECIOS!I465="",PRECIOS!I464=""),"",PRECIOS!I465/PRECIOS!I464-1),"")</f>
        <v>0.004361564531</v>
      </c>
    </row>
    <row r="466" ht="15.75" customHeight="1">
      <c r="A466" s="4">
        <f>IF(PRECIOS!A466="","",PRECIOS!A466)</f>
        <v>45086</v>
      </c>
      <c r="B466" s="7">
        <f>IFERROR(IF(OR(PRECIOS!B466="",PRECIOS!B465=""),"",PRECIOS!B466/PRECIOS!B465-1),"")</f>
        <v>-0.007394398743</v>
      </c>
      <c r="C466" s="7">
        <f>IFERROR(IF(OR(PRECIOS!C466="",PRECIOS!C465=""),"",PRECIOS!C466/PRECIOS!C465-1),"")</f>
        <v>0.002532357907</v>
      </c>
      <c r="D466" s="7">
        <f>IFERROR(IF(OR(PRECIOS!D466="",PRECIOS!D465=""),"",PRECIOS!D466/PRECIOS!D465-1),"")</f>
        <v>0</v>
      </c>
      <c r="E466" s="7">
        <f>IFERROR(IF(OR(PRECIOS!E466="",PRECIOS!E465=""),"",PRECIOS!E466/PRECIOS!E465-1),"")</f>
        <v>-0.002768608242</v>
      </c>
      <c r="F466" s="7">
        <f>IFERROR(IF(OR(PRECIOS!F466="",PRECIOS!F465=""),"",PRECIOS!F466/PRECIOS!F465-1),"")</f>
        <v>-0.005546751189</v>
      </c>
      <c r="G466" s="7">
        <f>IFERROR(IF(OR(PRECIOS!G466="",PRECIOS!G465=""),"",PRECIOS!G466/PRECIOS!G465-1),"")</f>
        <v>-0.04132492114</v>
      </c>
      <c r="H466" s="7">
        <f>IFERROR(IF(OR(PRECIOS!H466="",PRECIOS!H465=""),"",PRECIOS!H466/PRECIOS!H465-1),"")</f>
        <v>-0.005502704469</v>
      </c>
      <c r="I466" s="7">
        <f>IFERROR(IF(OR(PRECIOS!I466="",PRECIOS!I465=""),"",PRECIOS!I466/PRECIOS!I465-1),"")</f>
        <v>-0.005839068618</v>
      </c>
    </row>
    <row r="467" ht="15.75" customHeight="1">
      <c r="A467" s="4">
        <f>IF(PRECIOS!A467="","",PRECIOS!A467)</f>
        <v>45089</v>
      </c>
      <c r="B467" s="7">
        <f>IFERROR(IF(OR(PRECIOS!B467="",PRECIOS!B466=""),"",PRECIOS!B467/PRECIOS!B466-1),"")</f>
        <v>-0.00903249837</v>
      </c>
      <c r="C467" s="7">
        <f>IFERROR(IF(OR(PRECIOS!C467="",PRECIOS!C466=""),"",PRECIOS!C467/PRECIOS!C466-1),"")</f>
        <v>-0.005893909627</v>
      </c>
      <c r="D467" s="7">
        <f>IFERROR(IF(OR(PRECIOS!D467="",PRECIOS!D466=""),"",PRECIOS!D467/PRECIOS!D466-1),"")</f>
        <v>-0.004834810637</v>
      </c>
      <c r="E467" s="7">
        <f>IFERROR(IF(OR(PRECIOS!E467="",PRECIOS!E466=""),"",PRECIOS!E467/PRECIOS!E466-1),"")</f>
        <v>0.01201281367</v>
      </c>
      <c r="F467" s="7">
        <f>IFERROR(IF(OR(PRECIOS!F467="",PRECIOS!F466=""),"",PRECIOS!F467/PRECIOS!F466-1),"")</f>
        <v>-0.01274900398</v>
      </c>
      <c r="G467" s="7">
        <f>IFERROR(IF(OR(PRECIOS!G467="",PRECIOS!G466=""),"",PRECIOS!G467/PRECIOS!G466-1),"")</f>
        <v>0.005593945377</v>
      </c>
      <c r="H467" s="7">
        <f>IFERROR(IF(OR(PRECIOS!H467="",PRECIOS!H466=""),"",PRECIOS!H467/PRECIOS!H466-1),"")</f>
        <v>-0.009587384198</v>
      </c>
      <c r="I467" s="7">
        <f>IFERROR(IF(OR(PRECIOS!I467="",PRECIOS!I466=""),"",PRECIOS!I467/PRECIOS!I466-1),"")</f>
        <v>-0.001810215914</v>
      </c>
    </row>
    <row r="468" ht="15.75" customHeight="1">
      <c r="A468" s="4">
        <f>IF(PRECIOS!A468="","",PRECIOS!A468)</f>
        <v>45090</v>
      </c>
      <c r="B468" s="7">
        <f>IFERROR(IF(OR(PRECIOS!B468="",PRECIOS!B467=""),"",PRECIOS!B468/PRECIOS!B467-1),"")</f>
        <v>0.0001879345988</v>
      </c>
      <c r="C468" s="7">
        <f>IFERROR(IF(OR(PRECIOS!C468="",PRECIOS!C467=""),"",PRECIOS!C468/PRECIOS!C467-1),"")</f>
        <v>-0.005505364201</v>
      </c>
      <c r="D468" s="7">
        <f>IFERROR(IF(OR(PRECIOS!D468="",PRECIOS!D467=""),"",PRECIOS!D468/PRECIOS!D467-1),"")</f>
        <v>0.008097165992</v>
      </c>
      <c r="E468" s="7">
        <f>IFERROR(IF(OR(PRECIOS!E468="",PRECIOS!E467=""),"",PRECIOS!E468/PRECIOS!E467-1),"")</f>
        <v>0.02273806384</v>
      </c>
      <c r="F468" s="7">
        <f>IFERROR(IF(OR(PRECIOS!F468="",PRECIOS!F467=""),"",PRECIOS!F468/PRECIOS!F467-1),"")</f>
        <v>0.000807102502</v>
      </c>
      <c r="G468" s="7">
        <f>IFERROR(IF(OR(PRECIOS!G468="",PRECIOS!G467=""),"",PRECIOS!G468/PRECIOS!G467-1),"")</f>
        <v>-0.002617801047</v>
      </c>
      <c r="H468" s="7">
        <f>IFERROR(IF(OR(PRECIOS!H468="",PRECIOS!H467=""),"",PRECIOS!H468/PRECIOS!H467-1),"")</f>
        <v>0.004713619723</v>
      </c>
      <c r="I468" s="7">
        <f>IFERROR(IF(OR(PRECIOS!I468="",PRECIOS!I467=""),"",PRECIOS!I468/PRECIOS!I467-1),"")</f>
        <v>-0.0001576955425</v>
      </c>
    </row>
    <row r="469" ht="15.75" customHeight="1">
      <c r="A469" s="4">
        <f>IF(PRECIOS!A469="","",PRECIOS!A469)</f>
        <v>45091</v>
      </c>
      <c r="B469" s="7">
        <f>IFERROR(IF(OR(PRECIOS!B469="",PRECIOS!B468=""),"",PRECIOS!B469/PRECIOS!B468-1),"")</f>
        <v>-0.0120255543</v>
      </c>
      <c r="C469" s="7">
        <f>IFERROR(IF(OR(PRECIOS!C469="",PRECIOS!C468=""),"",PRECIOS!C469/PRECIOS!C468-1),"")</f>
        <v>0.0004258339248</v>
      </c>
      <c r="D469" s="7">
        <f>IFERROR(IF(OR(PRECIOS!D469="",PRECIOS!D468=""),"",PRECIOS!D469/PRECIOS!D468-1),"")</f>
        <v>-0.003614457831</v>
      </c>
      <c r="E469" s="7">
        <f>IFERROR(IF(OR(PRECIOS!E469="",PRECIOS!E468=""),"",PRECIOS!E469/PRECIOS!E468-1),"")</f>
        <v>-0.004075105746</v>
      </c>
      <c r="F469" s="7">
        <f>IFERROR(IF(OR(PRECIOS!F469="",PRECIOS!F468=""),"",PRECIOS!F469/PRECIOS!F468-1),"")</f>
        <v>0.008064516129</v>
      </c>
      <c r="G469" s="7">
        <f>IFERROR(IF(OR(PRECIOS!G469="",PRECIOS!G468=""),"",PRECIOS!G469/PRECIOS!G468-1),"")</f>
        <v>-0.009186351706</v>
      </c>
      <c r="H469" s="7">
        <f>IFERROR(IF(OR(PRECIOS!H469="",PRECIOS!H468=""),"",PRECIOS!H469/PRECIOS!H468-1),"")</f>
        <v>-0.01025471655</v>
      </c>
      <c r="I469" s="7">
        <f>IFERROR(IF(OR(PRECIOS!I469="",PRECIOS!I468=""),"",PRECIOS!I469/PRECIOS!I468-1),"")</f>
        <v>-0.0005947373955</v>
      </c>
    </row>
    <row r="470" ht="15.75" customHeight="1">
      <c r="A470" s="4">
        <f>IF(PRECIOS!A470="","",PRECIOS!A470)</f>
        <v>45092</v>
      </c>
      <c r="B470" s="7">
        <f>IFERROR(IF(OR(PRECIOS!B470="",PRECIOS!B469=""),"",PRECIOS!B470/PRECIOS!B469-1),"")</f>
        <v>0.006941802967</v>
      </c>
      <c r="C470" s="7">
        <f>IFERROR(IF(OR(PRECIOS!C470="",PRECIOS!C469=""),"",PRECIOS!C470/PRECIOS!C469-1),"")</f>
        <v>0.003972758229</v>
      </c>
      <c r="D470" s="7">
        <f>IFERROR(IF(OR(PRECIOS!D470="",PRECIOS!D469=""),"",PRECIOS!D470/PRECIOS!D469-1),"")</f>
        <v>0.02095929061</v>
      </c>
      <c r="E470" s="7">
        <f>IFERROR(IF(OR(PRECIOS!E470="",PRECIOS!E469=""),"",PRECIOS!E470/PRECIOS!E469-1),"")</f>
        <v>0.01978557</v>
      </c>
      <c r="F470" s="7">
        <f>IFERROR(IF(OR(PRECIOS!F470="",PRECIOS!F469=""),"",PRECIOS!F470/PRECIOS!F469-1),"")</f>
        <v>0.076</v>
      </c>
      <c r="G470" s="7">
        <f>IFERROR(IF(OR(PRECIOS!G470="",PRECIOS!G469=""),"",PRECIOS!G470/PRECIOS!G469-1),"")</f>
        <v>0.01225165563</v>
      </c>
      <c r="H470" s="7">
        <f>IFERROR(IF(OR(PRECIOS!H470="",PRECIOS!H469=""),"",PRECIOS!H470/PRECIOS!H469-1),"")</f>
        <v>0.01098459258</v>
      </c>
      <c r="I470" s="7">
        <f>IFERROR(IF(OR(PRECIOS!I470="",PRECIOS!I469=""),"",PRECIOS!I470/PRECIOS!I469-1),"")</f>
        <v>0.01086945801</v>
      </c>
    </row>
    <row r="471" ht="15.75" customHeight="1">
      <c r="A471" s="4">
        <f>IF(PRECIOS!A471="","",PRECIOS!A471)</f>
        <v>45093</v>
      </c>
      <c r="B471" s="7">
        <f>IFERROR(IF(OR(PRECIOS!B471="",PRECIOS!B470=""),"",PRECIOS!B471/PRECIOS!B470-1),"")</f>
        <v>-0.00717725942</v>
      </c>
      <c r="C471" s="7">
        <f>IFERROR(IF(OR(PRECIOS!C471="",PRECIOS!C470=""),"",PRECIOS!C471/PRECIOS!C470-1),"")</f>
        <v>0.01413227812</v>
      </c>
      <c r="D471" s="7">
        <f>IFERROR(IF(OR(PRECIOS!D471="",PRECIOS!D470=""),"",PRECIOS!D471/PRECIOS!D470-1),"")</f>
        <v>-0.01065929728</v>
      </c>
      <c r="E471" s="7">
        <f>IFERROR(IF(OR(PRECIOS!E471="",PRECIOS!E470=""),"",PRECIOS!E471/PRECIOS!E470-1),"")</f>
        <v>-0.02859464676</v>
      </c>
      <c r="F471" s="7">
        <f>IFERROR(IF(OR(PRECIOS!F471="",PRECIOS!F470=""),"",PRECIOS!F471/PRECIOS!F470-1),"")</f>
        <v>0.08178438662</v>
      </c>
      <c r="G471" s="7">
        <f>IFERROR(IF(OR(PRECIOS!G471="",PRECIOS!G470=""),"",PRECIOS!G471/PRECIOS!G470-1),"")</f>
        <v>-0.001308472359</v>
      </c>
      <c r="H471" s="7">
        <f>IFERROR(IF(OR(PRECIOS!H471="",PRECIOS!H470=""),"",PRECIOS!H471/PRECIOS!H470-1),"")</f>
        <v>-0.001477196789</v>
      </c>
      <c r="I471" s="7">
        <f>IFERROR(IF(OR(PRECIOS!I471="",PRECIOS!I470=""),"",PRECIOS!I471/PRECIOS!I470-1),"")</f>
        <v>0.005382796517</v>
      </c>
    </row>
    <row r="472" ht="15.75" customHeight="1">
      <c r="A472" s="4">
        <f>IF(PRECIOS!A472="","",PRECIOS!A472)</f>
        <v>45097</v>
      </c>
      <c r="B472" s="7">
        <f>IFERROR(IF(OR(PRECIOS!B472="",PRECIOS!B471=""),"",PRECIOS!B472/PRECIOS!B471-1),"")</f>
        <v>-0.02292399886</v>
      </c>
      <c r="C472" s="7">
        <f>IFERROR(IF(OR(PRECIOS!C472="",PRECIOS!C471=""),"",PRECIOS!C472/PRECIOS!C471-1),"")</f>
        <v>-0.01978818283</v>
      </c>
      <c r="D472" s="7">
        <f>IFERROR(IF(OR(PRECIOS!D472="",PRECIOS!D471=""),"",PRECIOS!D472/PRECIOS!D471-1),"")</f>
        <v>-0.003591380686</v>
      </c>
      <c r="E472" s="7">
        <f>IFERROR(IF(OR(PRECIOS!E472="",PRECIOS!E471=""),"",PRECIOS!E472/PRECIOS!E471-1),"")</f>
        <v>0.01552859981</v>
      </c>
      <c r="F472" s="7">
        <f>IFERROR(IF(OR(PRECIOS!F472="",PRECIOS!F471=""),"",PRECIOS!F472/PRECIOS!F471-1),"")</f>
        <v>-0.0006872852234</v>
      </c>
      <c r="G472" s="7">
        <f>IFERROR(IF(OR(PRECIOS!G472="",PRECIOS!G471=""),"",PRECIOS!G472/PRECIOS!G471-1),"")</f>
        <v>0.003603013429</v>
      </c>
      <c r="H472" s="7">
        <f>IFERROR(IF(OR(PRECIOS!H472="",PRECIOS!H471=""),"",PRECIOS!H472/PRECIOS!H471-1),"")</f>
        <v>-0.02238852476</v>
      </c>
      <c r="I472" s="7">
        <f>IFERROR(IF(OR(PRECIOS!I472="",PRECIOS!I471=""),"",PRECIOS!I472/PRECIOS!I471-1),"")</f>
        <v>-0.01173669432</v>
      </c>
    </row>
    <row r="473" ht="15.75" customHeight="1">
      <c r="A473" s="4">
        <f>IF(PRECIOS!A473="","",PRECIOS!A473)</f>
        <v>45098</v>
      </c>
      <c r="B473" s="7">
        <f>IFERROR(IF(OR(PRECIOS!B473="",PRECIOS!B472=""),"",PRECIOS!B473/PRECIOS!B472-1),"")</f>
        <v>0.01119548287</v>
      </c>
      <c r="C473" s="7">
        <f>IFERROR(IF(OR(PRECIOS!C473="",PRECIOS!C472=""),"",PRECIOS!C473/PRECIOS!C472-1),"")</f>
        <v>0.01848166051</v>
      </c>
      <c r="D473" s="7">
        <f>IFERROR(IF(OR(PRECIOS!D473="",PRECIOS!D472=""),"",PRECIOS!D473/PRECIOS!D472-1),"")</f>
        <v>0.00720865038</v>
      </c>
      <c r="E473" s="7">
        <f>IFERROR(IF(OR(PRECIOS!E473="",PRECIOS!E472=""),"",PRECIOS!E473/PRECIOS!E472-1),"")</f>
        <v>0.003140606497</v>
      </c>
      <c r="F473" s="7">
        <f>IFERROR(IF(OR(PRECIOS!F473="",PRECIOS!F472=""),"",PRECIOS!F473/PRECIOS!F472-1),"")</f>
        <v>0.06258596974</v>
      </c>
      <c r="G473" s="7">
        <f>IFERROR(IF(OR(PRECIOS!G473="",PRECIOS!G472=""),"",PRECIOS!G473/PRECIOS!G472-1),"")</f>
        <v>0.005874673629</v>
      </c>
      <c r="H473" s="7">
        <f>IFERROR(IF(OR(PRECIOS!H473="",PRECIOS!H472=""),"",PRECIOS!H473/PRECIOS!H472-1),"")</f>
        <v>0.007915523406</v>
      </c>
      <c r="I473" s="7">
        <f>IFERROR(IF(OR(PRECIOS!I473="",PRECIOS!I472=""),"",PRECIOS!I473/PRECIOS!I472-1),"")</f>
        <v>0.008033048761</v>
      </c>
    </row>
    <row r="474" ht="15.75" customHeight="1">
      <c r="A474" s="4">
        <f>IF(PRECIOS!A474="","",PRECIOS!A474)</f>
        <v>45099</v>
      </c>
      <c r="B474" s="7">
        <f>IFERROR(IF(OR(PRECIOS!B474="",PRECIOS!B473=""),"",PRECIOS!B474/PRECIOS!B473-1),"")</f>
        <v>-0.005487628767</v>
      </c>
      <c r="C474" s="7">
        <f>IFERROR(IF(OR(PRECIOS!C474="",PRECIOS!C473=""),"",PRECIOS!C474/PRECIOS!C473-1),"")</f>
        <v>-0.004745951982</v>
      </c>
      <c r="D474" s="7">
        <f>IFERROR(IF(OR(PRECIOS!D474="",PRECIOS!D473=""),"",PRECIOS!D474/PRECIOS!D473-1),"")</f>
        <v>0.005964214712</v>
      </c>
      <c r="E474" s="7">
        <f>IFERROR(IF(OR(PRECIOS!E474="",PRECIOS!E473=""),"",PRECIOS!E474/PRECIOS!E473-1),"")</f>
        <v>0.00390063642</v>
      </c>
      <c r="F474" s="7">
        <f>IFERROR(IF(OR(PRECIOS!F474="",PRECIOS!F473=""),"",PRECIOS!F474/PRECIOS!F473-1),"")</f>
        <v>-0.04660194175</v>
      </c>
      <c r="G474" s="7">
        <f>IFERROR(IF(OR(PRECIOS!G474="",PRECIOS!G473=""),"",PRECIOS!G474/PRECIOS!G473-1),"")</f>
        <v>-0.008111615834</v>
      </c>
      <c r="H474" s="7">
        <f>IFERROR(IF(OR(PRECIOS!H474="",PRECIOS!H473=""),"",PRECIOS!H474/PRECIOS!H473-1),"")</f>
        <v>-0.01342165614</v>
      </c>
      <c r="I474" s="7">
        <f>IFERROR(IF(OR(PRECIOS!I474="",PRECIOS!I473=""),"",PRECIOS!I474/PRECIOS!I473-1),"")</f>
        <v>-0.007667028207</v>
      </c>
    </row>
    <row r="475" ht="15.75" customHeight="1">
      <c r="A475" s="4">
        <f>IF(PRECIOS!A475="","",PRECIOS!A475)</f>
        <v>45100</v>
      </c>
      <c r="B475" s="7">
        <f>IFERROR(IF(OR(PRECIOS!B475="",PRECIOS!B474=""),"",PRECIOS!B475/PRECIOS!B474-1),"")</f>
        <v>-0.008712487899</v>
      </c>
      <c r="C475" s="7">
        <f>IFERROR(IF(OR(PRECIOS!C475="",PRECIOS!C474=""),"",PRECIOS!C475/PRECIOS!C474-1),"")</f>
        <v>-0.01192145863</v>
      </c>
      <c r="D475" s="7">
        <f>IFERROR(IF(OR(PRECIOS!D475="",PRECIOS!D474=""),"",PRECIOS!D475/PRECIOS!D474-1),"")</f>
        <v>-0.00790513834</v>
      </c>
      <c r="E475" s="7">
        <f>IFERROR(IF(OR(PRECIOS!E475="",PRECIOS!E474=""),"",PRECIOS!E475/PRECIOS!E474-1),"")</f>
        <v>-0.005828220859</v>
      </c>
      <c r="F475" s="7">
        <f>IFERROR(IF(OR(PRECIOS!F475="",PRECIOS!F474=""),"",PRECIOS!F475/PRECIOS!F474-1),"")</f>
        <v>0.004073319756</v>
      </c>
      <c r="G475" s="7">
        <f>IFERROR(IF(OR(PRECIOS!G475="",PRECIOS!G474=""),"",PRECIOS!G475/PRECIOS!G474-1),"")</f>
        <v>0.0006542361793</v>
      </c>
      <c r="H475" s="7">
        <f>IFERROR(IF(OR(PRECIOS!H475="",PRECIOS!H474=""),"",PRECIOS!H475/PRECIOS!H474-1),"")</f>
        <v>-0.007188148891</v>
      </c>
      <c r="I475" s="7">
        <f>IFERROR(IF(OR(PRECIOS!I475="",PRECIOS!I474=""),"",PRECIOS!I475/PRECIOS!I474-1),"")</f>
        <v>-0.01469659436</v>
      </c>
    </row>
    <row r="476" ht="15.75" customHeight="1">
      <c r="A476" s="4">
        <f>IF(PRECIOS!A476="","",PRECIOS!A476)</f>
        <v>45103</v>
      </c>
      <c r="B476" s="7">
        <f>IFERROR(IF(OR(PRECIOS!B476="",PRECIOS!B475=""),"",PRECIOS!B476/PRECIOS!B475-1),"")</f>
        <v>0.01845703125</v>
      </c>
      <c r="C476" s="7">
        <f>IFERROR(IF(OR(PRECIOS!C476="",PRECIOS!C475=""),"",PRECIOS!C476/PRECIOS!C475-1),"")</f>
        <v>0.01816891412</v>
      </c>
      <c r="D476" s="7">
        <f>IFERROR(IF(OR(PRECIOS!D476="",PRECIOS!D475=""),"",PRECIOS!D476/PRECIOS!D475-1),"")</f>
        <v>0.01992031873</v>
      </c>
      <c r="E476" s="7">
        <f>IFERROR(IF(OR(PRECIOS!E476="",PRECIOS!E475=""),"",PRECIOS!E476/PRECIOS!E475-1),"")</f>
        <v>0.00833076211</v>
      </c>
      <c r="F476" s="7">
        <f>IFERROR(IF(OR(PRECIOS!F476="",PRECIOS!F475=""),"",PRECIOS!F476/PRECIOS!F475-1),"")</f>
        <v>0.04124408384</v>
      </c>
      <c r="G476" s="7">
        <f>IFERROR(IF(OR(PRECIOS!G476="",PRECIOS!G475=""),"",PRECIOS!G476/PRECIOS!G475-1),"")</f>
        <v>0.01569140242</v>
      </c>
      <c r="H476" s="7">
        <f>IFERROR(IF(OR(PRECIOS!H476="",PRECIOS!H475=""),"",PRECIOS!H476/PRECIOS!H475-1),"")</f>
        <v>0.01796993874</v>
      </c>
      <c r="I476" s="7">
        <f>IFERROR(IF(OR(PRECIOS!I476="",PRECIOS!I475=""),"",PRECIOS!I476/PRECIOS!I475-1),"")</f>
        <v>0.009840911355</v>
      </c>
    </row>
    <row r="477" ht="15.75" customHeight="1">
      <c r="A477" s="4">
        <f>IF(PRECIOS!A477="","",PRECIOS!A477)</f>
        <v>45104</v>
      </c>
      <c r="B477" s="7">
        <f>IFERROR(IF(OR(PRECIOS!B477="",PRECIOS!B476=""),"",PRECIOS!B477/PRECIOS!B476-1),"")</f>
        <v>0.002493048231</v>
      </c>
      <c r="C477" s="7">
        <f>IFERROR(IF(OR(PRECIOS!C477="",PRECIOS!C476=""),"",PRECIOS!C477/PRECIOS!C476-1),"")</f>
        <v>-0.008504112645</v>
      </c>
      <c r="D477" s="7">
        <f>IFERROR(IF(OR(PRECIOS!D477="",PRECIOS!D476=""),"",PRECIOS!D477/PRECIOS!D476-1),"")</f>
        <v>0.007421875</v>
      </c>
      <c r="E477" s="7">
        <f>IFERROR(IF(OR(PRECIOS!E477="",PRECIOS!E476=""),"",PRECIOS!E477/PRECIOS!E476-1),"")</f>
        <v>0.008006935945</v>
      </c>
      <c r="F477" s="7">
        <f>IFERROR(IF(OR(PRECIOS!F477="",PRECIOS!F476=""),"",PRECIOS!F477/PRECIOS!F476-1),"")</f>
        <v>-0.02662337662</v>
      </c>
      <c r="G477" s="7">
        <f>IFERROR(IF(OR(PRECIOS!G477="",PRECIOS!G476=""),"",PRECIOS!G477/PRECIOS!G476-1),"")</f>
        <v>0.00965561635</v>
      </c>
      <c r="H477" s="7">
        <f>IFERROR(IF(OR(PRECIOS!H477="",PRECIOS!H476=""),"",PRECIOS!H477/PRECIOS!H476-1),"")</f>
        <v>0.002286221722</v>
      </c>
      <c r="I477" s="7">
        <f>IFERROR(IF(OR(PRECIOS!I477="",PRECIOS!I476=""),"",PRECIOS!I477/PRECIOS!I476-1),"")</f>
        <v>0.000305867727</v>
      </c>
    </row>
    <row r="478" ht="15.75" customHeight="1">
      <c r="A478" s="4">
        <f>IF(PRECIOS!A478="","",PRECIOS!A478)</f>
        <v>45105</v>
      </c>
      <c r="B478" s="7">
        <f>IFERROR(IF(OR(PRECIOS!B478="",PRECIOS!B477=""),"",PRECIOS!B478/PRECIOS!B477-1),"")</f>
        <v>0.008130081301</v>
      </c>
      <c r="C478" s="7">
        <f>IFERROR(IF(OR(PRECIOS!C478="",PRECIOS!C477=""),"",PRECIOS!C478/PRECIOS!C477-1),"")</f>
        <v>-0.01757592801</v>
      </c>
      <c r="D478" s="7">
        <f>IFERROR(IF(OR(PRECIOS!D478="",PRECIOS!D477=""),"",PRECIOS!D478/PRECIOS!D477-1),"")</f>
        <v>-0.002326483133</v>
      </c>
      <c r="E478" s="7">
        <f>IFERROR(IF(OR(PRECIOS!E478="",PRECIOS!E477=""),"",PRECIOS!E478/PRECIOS!E477-1),"")</f>
        <v>-0.01467240071</v>
      </c>
      <c r="F478" s="7">
        <f>IFERROR(IF(OR(PRECIOS!F478="",PRECIOS!F477=""),"",PRECIOS!F478/PRECIOS!F477-1),"")</f>
        <v>-0.01467645097</v>
      </c>
      <c r="G478" s="7">
        <f>IFERROR(IF(OR(PRECIOS!G478="",PRECIOS!G477=""),"",PRECIOS!G478/PRECIOS!G477-1),"")</f>
        <v>0.02072043354</v>
      </c>
      <c r="H478" s="7">
        <f>IFERROR(IF(OR(PRECIOS!H478="",PRECIOS!H477=""),"",PRECIOS!H478/PRECIOS!H477-1),"")</f>
        <v>0.01013108223</v>
      </c>
      <c r="I478" s="7">
        <f>IFERROR(IF(OR(PRECIOS!I478="",PRECIOS!I477=""),"",PRECIOS!I478/PRECIOS!I477-1),"")</f>
        <v>-0.01476922268</v>
      </c>
    </row>
    <row r="479" ht="15.75" customHeight="1">
      <c r="A479" s="4">
        <f>IF(PRECIOS!A479="","",PRECIOS!A479)</f>
        <v>45106</v>
      </c>
      <c r="B479" s="7">
        <f>IFERROR(IF(OR(PRECIOS!B479="",PRECIOS!B478=""),"",PRECIOS!B479/PRECIOS!B478-1),"")</f>
        <v>0.01233396584</v>
      </c>
      <c r="C479" s="7">
        <f>IFERROR(IF(OR(PRECIOS!C479="",PRECIOS!C478=""),"",PRECIOS!C479/PRECIOS!C478-1),"")</f>
        <v>-0.01044797481</v>
      </c>
      <c r="D479" s="7">
        <f>IFERROR(IF(OR(PRECIOS!D479="",PRECIOS!D478=""),"",PRECIOS!D479/PRECIOS!D478-1),"")</f>
        <v>0.01204819277</v>
      </c>
      <c r="E479" s="7">
        <f>IFERROR(IF(OR(PRECIOS!E479="",PRECIOS!E478=""),"",PRECIOS!E479/PRECIOS!E478-1),"")</f>
        <v>0.02105263158</v>
      </c>
      <c r="F479" s="7">
        <f>IFERROR(IF(OR(PRECIOS!F479="",PRECIOS!F478=""),"",PRECIOS!F479/PRECIOS!F478-1),"")</f>
        <v>0.02843601896</v>
      </c>
      <c r="G479" s="7">
        <f>IFERROR(IF(OR(PRECIOS!G479="",PRECIOS!G478=""),"",PRECIOS!G479/PRECIOS!G478-1),"")</f>
        <v>0.01592754528</v>
      </c>
      <c r="H479" s="7">
        <f>IFERROR(IF(OR(PRECIOS!H479="",PRECIOS!H478=""),"",PRECIOS!H479/PRECIOS!H478-1),"")</f>
        <v>0.0115385244</v>
      </c>
      <c r="I479" s="7">
        <f>IFERROR(IF(OR(PRECIOS!I479="",PRECIOS!I478=""),"",PRECIOS!I479/PRECIOS!I478-1),"")</f>
        <v>0</v>
      </c>
    </row>
    <row r="480" ht="15.75" customHeight="1">
      <c r="A480" s="4">
        <f>IF(PRECIOS!A480="","",PRECIOS!A480)</f>
        <v>45107</v>
      </c>
      <c r="B480" s="7">
        <f>IFERROR(IF(OR(PRECIOS!B480="",PRECIOS!B479=""),"",PRECIOS!B480/PRECIOS!B479-1),"")</f>
        <v>0.005154639175</v>
      </c>
      <c r="C480" s="7">
        <f>IFERROR(IF(OR(PRECIOS!C480="",PRECIOS!C479=""),"",PRECIOS!C480/PRECIOS!C479-1),"")</f>
        <v>0.01605438241</v>
      </c>
      <c r="D480" s="7">
        <f>IFERROR(IF(OR(PRECIOS!D480="",PRECIOS!D479=""),"",PRECIOS!D480/PRECIOS!D479-1),"")</f>
        <v>0.008064516129</v>
      </c>
      <c r="E480" s="7">
        <f>IFERROR(IF(OR(PRECIOS!E480="",PRECIOS!E479=""),"",PRECIOS!E480/PRECIOS!E479-1),"")</f>
        <v>0.0113150616</v>
      </c>
      <c r="F480" s="7">
        <f>IFERROR(IF(OR(PRECIOS!F480="",PRECIOS!F479=""),"",PRECIOS!F480/PRECIOS!F479-1),"")</f>
        <v>-0.01974983542</v>
      </c>
      <c r="G480" s="7">
        <f>IFERROR(IF(OR(PRECIOS!G480="",PRECIOS!G479=""),"",PRECIOS!G480/PRECIOS!G479-1),"")</f>
        <v>0.00307408546</v>
      </c>
      <c r="H480" s="7">
        <f>IFERROR(IF(OR(PRECIOS!H480="",PRECIOS!H479=""),"",PRECIOS!H480/PRECIOS!H479-1),"")</f>
        <v>0.006452064607</v>
      </c>
      <c r="I480" s="7">
        <f>IFERROR(IF(OR(PRECIOS!I480="",PRECIOS!I479=""),"",PRECIOS!I480/PRECIOS!I479-1),"")</f>
        <v>0.01112616551</v>
      </c>
    </row>
    <row r="481" ht="15.75" customHeight="1">
      <c r="A481" s="4">
        <f>IF(PRECIOS!A481="","",PRECIOS!A481)</f>
        <v>45110</v>
      </c>
      <c r="B481" s="7">
        <f>IFERROR(IF(OR(PRECIOS!B481="",PRECIOS!B480=""),"",PRECIOS!B481/PRECIOS!B480-1),"")</f>
        <v>0.001958041958</v>
      </c>
      <c r="C481" s="7">
        <f>IFERROR(IF(OR(PRECIOS!C481="",PRECIOS!C480=""),"",PRECIOS!C481/PRECIOS!C480-1),"")</f>
        <v>0.004555160142</v>
      </c>
      <c r="D481" s="7">
        <f>IFERROR(IF(OR(PRECIOS!D481="",PRECIOS!D480=""),"",PRECIOS!D481/PRECIOS!D480-1),"")</f>
        <v>-0.006095238095</v>
      </c>
      <c r="E481" s="7">
        <f>IFERROR(IF(OR(PRECIOS!E481="",PRECIOS!E480=""),"",PRECIOS!E481/PRECIOS!E480-1),"")</f>
        <v>-0.002337145699</v>
      </c>
      <c r="F481" s="7">
        <f>IFERROR(IF(OR(PRECIOS!F481="",PRECIOS!F480=""),"",PRECIOS!F481/PRECIOS!F480-1),"")</f>
        <v>0</v>
      </c>
      <c r="G481" s="7">
        <f>IFERROR(IF(OR(PRECIOS!G481="",PRECIOS!G480=""),"",PRECIOS!G481/PRECIOS!G480-1),"")</f>
        <v>0.002758197977</v>
      </c>
      <c r="H481" s="7">
        <f>IFERROR(IF(OR(PRECIOS!H481="",PRECIOS!H480=""),"",PRECIOS!H481/PRECIOS!H480-1),"")</f>
        <v>0.002338461538</v>
      </c>
      <c r="I481" s="7">
        <f>IFERROR(IF(OR(PRECIOS!I481="",PRECIOS!I480=""),"",PRECIOS!I481/PRECIOS!I480-1),"")</f>
        <v>0.00749204589</v>
      </c>
    </row>
    <row r="482" ht="15.75" customHeight="1">
      <c r="A482" s="4">
        <f>IF(PRECIOS!A482="","",PRECIOS!A482)</f>
        <v>45112</v>
      </c>
      <c r="B482" s="7">
        <f>IFERROR(IF(OR(PRECIOS!B482="",PRECIOS!B481=""),"",PRECIOS!B482/PRECIOS!B481-1),"")</f>
        <v>-0.00511818351</v>
      </c>
      <c r="C482" s="7">
        <f>IFERROR(IF(OR(PRECIOS!C482="",PRECIOS!C481=""),"",PRECIOS!C482/PRECIOS!C481-1),"")</f>
        <v>0.01572906334</v>
      </c>
      <c r="D482" s="7">
        <f>IFERROR(IF(OR(PRECIOS!D482="",PRECIOS!D481=""),"",PRECIOS!D482/PRECIOS!D481-1),"")</f>
        <v>0.02874664622</v>
      </c>
      <c r="E482" s="7">
        <f>IFERROR(IF(OR(PRECIOS!E482="",PRECIOS!E481=""),"",PRECIOS!E482/PRECIOS!E481-1),"")</f>
        <v>-0.00862283806</v>
      </c>
      <c r="F482" s="7">
        <f>IFERROR(IF(OR(PRECIOS!F482="",PRECIOS!F481=""),"",PRECIOS!F482/PRECIOS!F481-1),"")</f>
        <v>0.01746138348</v>
      </c>
      <c r="G482" s="7">
        <f>IFERROR(IF(OR(PRECIOS!G482="",PRECIOS!G481=""),"",PRECIOS!G482/PRECIOS!G481-1),"")</f>
        <v>-0.007946210269</v>
      </c>
      <c r="H482" s="7">
        <f>IFERROR(IF(OR(PRECIOS!H482="",PRECIOS!H481=""),"",PRECIOS!H482/PRECIOS!H481-1),"")</f>
        <v>-0.005530878961</v>
      </c>
      <c r="I482" s="7">
        <f>IFERROR(IF(OR(PRECIOS!I482="",PRECIOS!I481=""),"",PRECIOS!I482/PRECIOS!I481-1),"")</f>
        <v>0.01137398528</v>
      </c>
    </row>
    <row r="483" ht="15.75" customHeight="1">
      <c r="A483" s="4">
        <f>IF(PRECIOS!A483="","",PRECIOS!A483)</f>
        <v>45113</v>
      </c>
      <c r="B483" s="7">
        <f>IFERROR(IF(OR(PRECIOS!B483="",PRECIOS!B482=""),"",PRECIOS!B483/PRECIOS!B482-1),"")</f>
        <v>-0.03732111122</v>
      </c>
      <c r="C483" s="7">
        <f>IFERROR(IF(OR(PRECIOS!C483="",PRECIOS!C482=""),"",PRECIOS!C483/PRECIOS!C482-1),"")</f>
        <v>-0.01241629464</v>
      </c>
      <c r="D483" s="7">
        <f>IFERROR(IF(OR(PRECIOS!D483="",PRECIOS!D482=""),"",PRECIOS!D483/PRECIOS!D482-1),"")</f>
        <v>0.004098360656</v>
      </c>
      <c r="E483" s="7">
        <f>IFERROR(IF(OR(PRECIOS!E483="",PRECIOS!E482=""),"",PRECIOS!E483/PRECIOS!E482-1),"")</f>
        <v>-0.005781799899</v>
      </c>
      <c r="F483" s="7">
        <f>IFERROR(IF(OR(PRECIOS!F483="",PRECIOS!F482=""),"",PRECIOS!F483/PRECIOS!F482-1),"")</f>
        <v>-0.07260726073</v>
      </c>
      <c r="G483" s="7">
        <f>IFERROR(IF(OR(PRECIOS!G483="",PRECIOS!G482=""),"",PRECIOS!G483/PRECIOS!G482-1),"")</f>
        <v>-0.002772643253</v>
      </c>
      <c r="H483" s="7">
        <f>IFERROR(IF(OR(PRECIOS!H483="",PRECIOS!H482=""),"",PRECIOS!H483/PRECIOS!H482-1),"")</f>
        <v>-0.02249350426</v>
      </c>
      <c r="I483" s="7">
        <f>IFERROR(IF(OR(PRECIOS!I483="",PRECIOS!I482=""),"",PRECIOS!I483/PRECIOS!I482-1),"")</f>
        <v>-0.01215301396</v>
      </c>
    </row>
    <row r="484" ht="15.75" customHeight="1">
      <c r="A484" s="4">
        <f>IF(PRECIOS!A484="","",PRECIOS!A484)</f>
        <v>45114</v>
      </c>
      <c r="B484" s="7">
        <f>IFERROR(IF(OR(PRECIOS!B484="",PRECIOS!B483=""),"",PRECIOS!B484/PRECIOS!B483-1),"")</f>
        <v>0.002331908278</v>
      </c>
      <c r="C484" s="7">
        <f>IFERROR(IF(OR(PRECIOS!C484="",PRECIOS!C483=""),"",PRECIOS!C484/PRECIOS!C483-1),"")</f>
        <v>-0.001553891793</v>
      </c>
      <c r="D484" s="7">
        <f>IFERROR(IF(OR(PRECIOS!D484="",PRECIOS!D483=""),"",PRECIOS!D484/PRECIOS!D483-1),"")</f>
        <v>-0.009276437848</v>
      </c>
      <c r="E484" s="7">
        <f>IFERROR(IF(OR(PRECIOS!E484="",PRECIOS!E483=""),"",PRECIOS!E484/PRECIOS!E483-1),"")</f>
        <v>0.003590391909</v>
      </c>
      <c r="F484" s="7">
        <f>IFERROR(IF(OR(PRECIOS!F484="",PRECIOS!F483=""),"",PRECIOS!F484/PRECIOS!F483-1),"")</f>
        <v>0.02277580071</v>
      </c>
      <c r="G484" s="7">
        <f>IFERROR(IF(OR(PRECIOS!G484="",PRECIOS!G483=""),"",PRECIOS!G484/PRECIOS!G483-1),"")</f>
        <v>0.01112140871</v>
      </c>
      <c r="H484" s="7">
        <f>IFERROR(IF(OR(PRECIOS!H484="",PRECIOS!H483=""),"",PRECIOS!H484/PRECIOS!H483-1),"")</f>
        <v>0.02149533737</v>
      </c>
      <c r="I484" s="7">
        <f>IFERROR(IF(OR(PRECIOS!I484="",PRECIOS!I483=""),"",PRECIOS!I484/PRECIOS!I483-1),"")</f>
        <v>-0.007285771433</v>
      </c>
    </row>
    <row r="485" ht="15.75" customHeight="1">
      <c r="A485" s="4">
        <f>IF(PRECIOS!A485="","",PRECIOS!A485)</f>
        <v>45117</v>
      </c>
      <c r="B485" s="7">
        <f>IFERROR(IF(OR(PRECIOS!B485="",PRECIOS!B484=""),"",PRECIOS!B485/PRECIOS!B484-1),"")</f>
        <v>0.01483132997</v>
      </c>
      <c r="C485" s="7">
        <f>IFERROR(IF(OR(PRECIOS!C485="",PRECIOS!C484=""),"",PRECIOS!C485/PRECIOS!C484-1),"")</f>
        <v>-0.007640067912</v>
      </c>
      <c r="D485" s="7">
        <f>IFERROR(IF(OR(PRECIOS!D485="",PRECIOS!D484=""),"",PRECIOS!D485/PRECIOS!D484-1),"")</f>
        <v>-0.008988764045</v>
      </c>
      <c r="E485" s="7">
        <f>IFERROR(IF(OR(PRECIOS!E485="",PRECIOS!E484=""),"",PRECIOS!E485/PRECIOS!E484-1),"")</f>
        <v>0.02317847425</v>
      </c>
      <c r="F485" s="7">
        <f>IFERROR(IF(OR(PRECIOS!F485="",PRECIOS!F484=""),"",PRECIOS!F485/PRECIOS!F484-1),"")</f>
        <v>0.009742519137</v>
      </c>
      <c r="G485" s="7">
        <f>IFERROR(IF(OR(PRECIOS!G485="",PRECIOS!G484=""),"",PRECIOS!G485/PRECIOS!G484-1),"")</f>
        <v>0.005499541705</v>
      </c>
      <c r="H485" s="7">
        <f>IFERROR(IF(OR(PRECIOS!H485="",PRECIOS!H484=""),"",PRECIOS!H485/PRECIOS!H484-1),"")</f>
        <v>0.007795698925</v>
      </c>
      <c r="I485" s="7">
        <f>IFERROR(IF(OR(PRECIOS!I485="",PRECIOS!I484=""),"",PRECIOS!I485/PRECIOS!I484-1),"")</f>
        <v>-0.004280674867</v>
      </c>
    </row>
    <row r="486" ht="15.75" customHeight="1">
      <c r="A486" s="4">
        <f>IF(PRECIOS!A486="","",PRECIOS!A486)</f>
        <v>45118</v>
      </c>
      <c r="B486" s="7">
        <f>IFERROR(IF(OR(PRECIOS!B486="",PRECIOS!B485=""),"",PRECIOS!B486/PRECIOS!B485-1),"")</f>
        <v>0.01222657369</v>
      </c>
      <c r="C486" s="7">
        <f>IFERROR(IF(OR(PRECIOS!C486="",PRECIOS!C485=""),"",PRECIOS!C486/PRECIOS!C485-1),"")</f>
        <v>0.008411747933</v>
      </c>
      <c r="D486" s="7">
        <f>IFERROR(IF(OR(PRECIOS!D486="",PRECIOS!D485=""),"",PRECIOS!D486/PRECIOS!D485-1),"")</f>
        <v>0.002267573696</v>
      </c>
      <c r="E486" s="7">
        <f>IFERROR(IF(OR(PRECIOS!E486="",PRECIOS!E485=""),"",PRECIOS!E486/PRECIOS!E485-1),"")</f>
        <v>-0.0004432187531</v>
      </c>
      <c r="F486" s="7">
        <f>IFERROR(IF(OR(PRECIOS!F486="",PRECIOS!F485=""),"",PRECIOS!F486/PRECIOS!F485-1),"")</f>
        <v>-0.006202618884</v>
      </c>
      <c r="G486" s="7">
        <f>IFERROR(IF(OR(PRECIOS!G486="",PRECIOS!G485=""),"",PRECIOS!G486/PRECIOS!G485-1),"")</f>
        <v>0.0194469766</v>
      </c>
      <c r="H486" s="7">
        <f>IFERROR(IF(OR(PRECIOS!H486="",PRECIOS!H485=""),"",PRECIOS!H486/PRECIOS!H485-1),"")</f>
        <v>0.02198452921</v>
      </c>
      <c r="I486" s="7">
        <f>IFERROR(IF(OR(PRECIOS!I486="",PRECIOS!I485=""),"",PRECIOS!I486/PRECIOS!I485-1),"")</f>
        <v>0.01243946129</v>
      </c>
    </row>
    <row r="487" ht="15.75" customHeight="1">
      <c r="A487" s="4">
        <f>IF(PRECIOS!A487="","",PRECIOS!A487)</f>
        <v>45119</v>
      </c>
      <c r="B487" s="7">
        <f>IFERROR(IF(OR(PRECIOS!B487="",PRECIOS!B486=""),"",PRECIOS!B487/PRECIOS!B486-1),"")</f>
        <v>0.004907049165</v>
      </c>
      <c r="C487" s="7">
        <f>IFERROR(IF(OR(PRECIOS!C487="",PRECIOS!C486=""),"",PRECIOS!C487/PRECIOS!C486-1),"")</f>
        <v>0.01215891418</v>
      </c>
      <c r="D487" s="7">
        <f>IFERROR(IF(OR(PRECIOS!D487="",PRECIOS!D486=""),"",PRECIOS!D487/PRECIOS!D486-1),"")</f>
        <v>0.009049773756</v>
      </c>
      <c r="E487" s="7">
        <f>IFERROR(IF(OR(PRECIOS!E487="",PRECIOS!E486=""),"",PRECIOS!E487/PRECIOS!E486-1),"")</f>
        <v>-0.005173178302</v>
      </c>
      <c r="F487" s="7">
        <f>IFERROR(IF(OR(PRECIOS!F487="",PRECIOS!F486=""),"",PRECIOS!F487/PRECIOS!F486-1),"")</f>
        <v>0.03606102635</v>
      </c>
      <c r="G487" s="7">
        <f>IFERROR(IF(OR(PRECIOS!G487="",PRECIOS!G486=""),"",PRECIOS!G487/PRECIOS!G486-1),"")</f>
        <v>0.01669150522</v>
      </c>
      <c r="H487" s="7">
        <f>IFERROR(IF(OR(PRECIOS!H487="",PRECIOS!H486=""),"",PRECIOS!H487/PRECIOS!H486-1),"")</f>
        <v>0.009255054262</v>
      </c>
      <c r="I487" s="7">
        <f>IFERROR(IF(OR(PRECIOS!I487="",PRECIOS!I486=""),"",PRECIOS!I487/PRECIOS!I486-1),"")</f>
        <v>0.014563743</v>
      </c>
    </row>
    <row r="488" ht="15.75" customHeight="1">
      <c r="A488" s="4">
        <f>IF(PRECIOS!A488="","",PRECIOS!A488)</f>
        <v>45120</v>
      </c>
      <c r="B488" s="7">
        <f>IFERROR(IF(OR(PRECIOS!B488="",PRECIOS!B487=""),"",PRECIOS!B488/PRECIOS!B487-1),"")</f>
        <v>-0.01831157855</v>
      </c>
      <c r="C488" s="7">
        <f>IFERROR(IF(OR(PRECIOS!C488="",PRECIOS!C487=""),"",PRECIOS!C488/PRECIOS!C487-1),"")</f>
        <v>-0.001536527448</v>
      </c>
      <c r="D488" s="7">
        <f>IFERROR(IF(OR(PRECIOS!D488="",PRECIOS!D487=""),"",PRECIOS!D488/PRECIOS!D487-1),"")</f>
        <v>-0.001868460389</v>
      </c>
      <c r="E488" s="7">
        <f>IFERROR(IF(OR(PRECIOS!E488="",PRECIOS!E487=""),"",PRECIOS!E488/PRECIOS!E487-1),"")</f>
        <v>0.01208399366</v>
      </c>
      <c r="F488" s="7">
        <f>IFERROR(IF(OR(PRECIOS!F488="",PRECIOS!F487=""),"",PRECIOS!F488/PRECIOS!F487-1),"")</f>
        <v>0.01539491299</v>
      </c>
      <c r="G488" s="7">
        <f>IFERROR(IF(OR(PRECIOS!G488="",PRECIOS!G487=""),"",PRECIOS!G488/PRECIOS!G487-1),"")</f>
        <v>0.004397537379</v>
      </c>
      <c r="H488" s="7">
        <f>IFERROR(IF(OR(PRECIOS!H488="",PRECIOS!H487=""),"",PRECIOS!H488/PRECIOS!H487-1),"")</f>
        <v>-0.003809272592</v>
      </c>
      <c r="I488" s="7">
        <f>IFERROR(IF(OR(PRECIOS!I488="",PRECIOS!I487=""),"",PRECIOS!I488/PRECIOS!I487-1),"")</f>
        <v>0.003442540892</v>
      </c>
    </row>
    <row r="489" ht="15.75" customHeight="1">
      <c r="A489" s="4">
        <f>IF(PRECIOS!A489="","",PRECIOS!A489)</f>
        <v>45121</v>
      </c>
      <c r="B489" s="7">
        <f>IFERROR(IF(OR(PRECIOS!B489="",PRECIOS!B488=""),"",PRECIOS!B489/PRECIOS!B488-1),"")</f>
        <v>-0.0344365793</v>
      </c>
      <c r="C489" s="7">
        <f>IFERROR(IF(OR(PRECIOS!C489="",PRECIOS!C488=""),"",PRECIOS!C489/PRECIOS!C488-1),"")</f>
        <v>-0.001398992725</v>
      </c>
      <c r="D489" s="7">
        <f>IFERROR(IF(OR(PRECIOS!D489="",PRECIOS!D488=""),"",PRECIOS!D489/PRECIOS!D488-1),"")</f>
        <v>-0.0138524897</v>
      </c>
      <c r="E489" s="7">
        <f>IFERROR(IF(OR(PRECIOS!E489="",PRECIOS!E488=""),"",PRECIOS!E489/PRECIOS!E488-1),"")</f>
        <v>-0.004403992954</v>
      </c>
      <c r="F489" s="7">
        <f>IFERROR(IF(OR(PRECIOS!F489="",PRECIOS!F488=""),"",PRECIOS!F489/PRECIOS!F488-1),"")</f>
        <v>-0.0454845089</v>
      </c>
      <c r="G489" s="7">
        <f>IFERROR(IF(OR(PRECIOS!G489="",PRECIOS!G488=""),"",PRECIOS!G489/PRECIOS!G488-1),"")</f>
        <v>-0.02568593112</v>
      </c>
      <c r="H489" s="7">
        <f>IFERROR(IF(OR(PRECIOS!H489="",PRECIOS!H488=""),"",PRECIOS!H489/PRECIOS!H488-1),"")</f>
        <v>-0.02641641681</v>
      </c>
      <c r="I489" s="7">
        <f>IFERROR(IF(OR(PRECIOS!I489="",PRECIOS!I488=""),"",PRECIOS!I489/PRECIOS!I488-1),"")</f>
        <v>-0.003878077117</v>
      </c>
    </row>
    <row r="490" ht="15.75" customHeight="1">
      <c r="A490" s="4">
        <f>IF(PRECIOS!A490="","",PRECIOS!A490)</f>
        <v>45124</v>
      </c>
      <c r="B490" s="7">
        <f>IFERROR(IF(OR(PRECIOS!B490="",PRECIOS!B489=""),"",PRECIOS!B490/PRECIOS!B489-1),"")</f>
        <v>0.004359025163</v>
      </c>
      <c r="C490" s="7">
        <f>IFERROR(IF(OR(PRECIOS!C490="",PRECIOS!C489=""),"",PRECIOS!C490/PRECIOS!C489-1),"")</f>
        <v>-0.01681143177</v>
      </c>
      <c r="D490" s="7">
        <f>IFERROR(IF(OR(PRECIOS!D490="",PRECIOS!D489=""),"",PRECIOS!D490/PRECIOS!D489-1),"")</f>
        <v>-0.007972665148</v>
      </c>
      <c r="E490" s="7">
        <f>IFERROR(IF(OR(PRECIOS!E490="",PRECIOS!E489=""),"",PRECIOS!E490/PRECIOS!E489-1),"")</f>
        <v>0.0122874275</v>
      </c>
      <c r="F490" s="7">
        <f>IFERROR(IF(OR(PRECIOS!F490="",PRECIOS!F489=""),"",PRECIOS!F490/PRECIOS!F489-1),"")</f>
        <v>0.05248618785</v>
      </c>
      <c r="G490" s="7">
        <f>IFERROR(IF(OR(PRECIOS!G490="",PRECIOS!G489=""),"",PRECIOS!G490/PRECIOS!G489-1),"")</f>
        <v>-0.01108448173</v>
      </c>
      <c r="H490" s="7">
        <f>IFERROR(IF(OR(PRECIOS!H490="",PRECIOS!H489=""),"",PRECIOS!H490/PRECIOS!H489-1),"")</f>
        <v>-0.00196512896</v>
      </c>
      <c r="I490" s="7">
        <f>IFERROR(IF(OR(PRECIOS!I490="",PRECIOS!I489=""),"",PRECIOS!I490/PRECIOS!I489-1),"")</f>
        <v>-0.01151798292</v>
      </c>
    </row>
    <row r="491" ht="15.75" customHeight="1">
      <c r="A491" s="4">
        <f>IF(PRECIOS!A491="","",PRECIOS!A491)</f>
        <v>45125</v>
      </c>
      <c r="B491" s="7">
        <f>IFERROR(IF(OR(PRECIOS!B491="",PRECIOS!B490=""),"",PRECIOS!B491/PRECIOS!B490-1),"")</f>
        <v>-0.004537384099</v>
      </c>
      <c r="C491" s="7">
        <f>IFERROR(IF(OR(PRECIOS!C491="",PRECIOS!C490=""),"",PRECIOS!C491/PRECIOS!C490-1),"")</f>
        <v>-0.01553149045</v>
      </c>
      <c r="D491" s="7">
        <f>IFERROR(IF(OR(PRECIOS!D491="",PRECIOS!D490=""),"",PRECIOS!D491/PRECIOS!D490-1),"")</f>
        <v>0.02487562189</v>
      </c>
      <c r="E491" s="7">
        <f>IFERROR(IF(OR(PRECIOS!E491="",PRECIOS!E490=""),"",PRECIOS!E491/PRECIOS!E490-1),"")</f>
        <v>0.02126626529</v>
      </c>
      <c r="F491" s="7">
        <f>IFERROR(IF(OR(PRECIOS!F491="",PRECIOS!F490=""),"",PRECIOS!F491/PRECIOS!F490-1),"")</f>
        <v>0.0157480315</v>
      </c>
      <c r="G491" s="7">
        <f>IFERROR(IF(OR(PRECIOS!G491="",PRECIOS!G490=""),"",PRECIOS!G491/PRECIOS!G490-1),"")</f>
        <v>0.009996970615</v>
      </c>
      <c r="H491" s="7">
        <f>IFERROR(IF(OR(PRECIOS!H491="",PRECIOS!H490=""),"",PRECIOS!H491/PRECIOS!H490-1),"")</f>
        <v>0.01008543903</v>
      </c>
      <c r="I491" s="7">
        <f>IFERROR(IF(OR(PRECIOS!I491="",PRECIOS!I490=""),"",PRECIOS!I491/PRECIOS!I490-1),"")</f>
        <v>-0.007716921991</v>
      </c>
    </row>
    <row r="492" ht="15.75" customHeight="1">
      <c r="A492" s="4">
        <f>IF(PRECIOS!A492="","",PRECIOS!A492)</f>
        <v>45126</v>
      </c>
      <c r="B492" s="7">
        <f>IFERROR(IF(OR(PRECIOS!B492="",PRECIOS!B491=""),"",PRECIOS!B492/PRECIOS!B491-1),"")</f>
        <v>0.006936187079</v>
      </c>
      <c r="C492" s="7">
        <f>IFERROR(IF(OR(PRECIOS!C492="",PRECIOS!C491=""),"",PRECIOS!C492/PRECIOS!C491-1),"")</f>
        <v>0.01519756839</v>
      </c>
      <c r="D492" s="7">
        <f>IFERROR(IF(OR(PRECIOS!D492="",PRECIOS!D491=""),"",PRECIOS!D492/PRECIOS!D491-1),"")</f>
        <v>0.02053771471</v>
      </c>
      <c r="E492" s="7">
        <f>IFERROR(IF(OR(PRECIOS!E492="",PRECIOS!E491=""),"",PRECIOS!E492/PRECIOS!E491-1),"")</f>
        <v>-0.002519729961</v>
      </c>
      <c r="F492" s="7">
        <f>IFERROR(IF(OR(PRECIOS!F492="",PRECIOS!F491=""),"",PRECIOS!F492/PRECIOS!F491-1),"")</f>
        <v>-0.008397932817</v>
      </c>
      <c r="G492" s="7">
        <f>IFERROR(IF(OR(PRECIOS!G492="",PRECIOS!G491=""),"",PRECIOS!G492/PRECIOS!G491-1),"")</f>
        <v>-0.000599880024</v>
      </c>
      <c r="H492" s="7">
        <f>IFERROR(IF(OR(PRECIOS!H492="",PRECIOS!H491=""),"",PRECIOS!H492/PRECIOS!H491-1),"")</f>
        <v>0.005848015087</v>
      </c>
      <c r="I492" s="7">
        <f>IFERROR(IF(OR(PRECIOS!I492="",PRECIOS!I491=""),"",PRECIOS!I492/PRECIOS!I491-1),"")</f>
        <v>0.01021772786</v>
      </c>
    </row>
    <row r="493" ht="15.75" customHeight="1">
      <c r="A493" s="4">
        <f>IF(PRECIOS!A493="","",PRECIOS!A493)</f>
        <v>45127</v>
      </c>
      <c r="B493" s="7">
        <f>IFERROR(IF(OR(PRECIOS!B493="",PRECIOS!B492=""),"",PRECIOS!B493/PRECIOS!B492-1),"")</f>
        <v>0.01761464279</v>
      </c>
      <c r="C493" s="7">
        <f>IFERROR(IF(OR(PRECIOS!C493="",PRECIOS!C492=""),"",PRECIOS!C493/PRECIOS!C492-1),"")</f>
        <v>0.01325919589</v>
      </c>
      <c r="D493" s="7">
        <f>IFERROR(IF(OR(PRECIOS!D493="",PRECIOS!D492=""),"",PRECIOS!D493/PRECIOS!D492-1),"")</f>
        <v>0.001463593121</v>
      </c>
      <c r="E493" s="7">
        <f>IFERROR(IF(OR(PRECIOS!E493="",PRECIOS!E492=""),"",PRECIOS!E493/PRECIOS!E492-1),"")</f>
        <v>0.005242838759</v>
      </c>
      <c r="F493" s="7">
        <f>IFERROR(IF(OR(PRECIOS!F493="",PRECIOS!F492=""),"",PRECIOS!F493/PRECIOS!F492-1),"")</f>
        <v>-0.00651465798</v>
      </c>
      <c r="G493" s="7">
        <f>IFERROR(IF(OR(PRECIOS!G493="",PRECIOS!G492=""),"",PRECIOS!G493/PRECIOS!G492-1),"")</f>
        <v>0.008403361345</v>
      </c>
      <c r="H493" s="7">
        <f>IFERROR(IF(OR(PRECIOS!H493="",PRECIOS!H492=""),"",PRECIOS!H493/PRECIOS!H492-1),"")</f>
        <v>0.01174373107</v>
      </c>
      <c r="I493" s="7">
        <f>IFERROR(IF(OR(PRECIOS!I493="",PRECIOS!I492=""),"",PRECIOS!I493/PRECIOS!I492-1),"")</f>
        <v>0.01826914298</v>
      </c>
    </row>
    <row r="494" ht="15.75" customHeight="1">
      <c r="A494" s="4">
        <f>IF(PRECIOS!A494="","",PRECIOS!A494)</f>
        <v>45128</v>
      </c>
      <c r="B494" s="7">
        <f>IFERROR(IF(OR(PRECIOS!B494="",PRECIOS!B493=""),"",PRECIOS!B494/PRECIOS!B493-1),"")</f>
        <v>0.004641717435</v>
      </c>
      <c r="C494" s="7">
        <f>IFERROR(IF(OR(PRECIOS!C494="",PRECIOS!C493=""),"",PRECIOS!C494/PRECIOS!C493-1),"")</f>
        <v>0.02800056283</v>
      </c>
      <c r="D494" s="7">
        <f>IFERROR(IF(OR(PRECIOS!D494="",PRECIOS!D493=""),"",PRECIOS!D494/PRECIOS!D493-1),"")</f>
        <v>0.03617099014</v>
      </c>
      <c r="E494" s="7">
        <f>IFERROR(IF(OR(PRECIOS!E494="",PRECIOS!E493=""),"",PRECIOS!E494/PRECIOS!E493-1),"")</f>
        <v>-0.01526717557</v>
      </c>
      <c r="F494" s="7">
        <f>IFERROR(IF(OR(PRECIOS!F494="",PRECIOS!F493=""),"",PRECIOS!F494/PRECIOS!F493-1),"")</f>
        <v>0.0137704918</v>
      </c>
      <c r="G494" s="7">
        <f>IFERROR(IF(OR(PRECIOS!G494="",PRECIOS!G493=""),"",PRECIOS!G494/PRECIOS!G493-1),"")</f>
        <v>0.00744047619</v>
      </c>
      <c r="H494" s="7">
        <f>IFERROR(IF(OR(PRECIOS!H494="",PRECIOS!H493=""),"",PRECIOS!H494/PRECIOS!H493-1),"")</f>
        <v>0.008855008655</v>
      </c>
      <c r="I494" s="7">
        <f>IFERROR(IF(OR(PRECIOS!I494="",PRECIOS!I493=""),"",PRECIOS!I494/PRECIOS!I493-1),"")</f>
        <v>0.0149698202</v>
      </c>
    </row>
    <row r="495" ht="15.75" customHeight="1">
      <c r="A495" s="4">
        <f>IF(PRECIOS!A495="","",PRECIOS!A495)</f>
        <v>45131</v>
      </c>
      <c r="B495" s="7">
        <f>IFERROR(IF(OR(PRECIOS!B495="",PRECIOS!B494=""),"",PRECIOS!B495/PRECIOS!B494-1),"")</f>
        <v>0.01568967177</v>
      </c>
      <c r="C495" s="7">
        <f>IFERROR(IF(OR(PRECIOS!C495="",PRECIOS!C494=""),"",PRECIOS!C495/PRECIOS!C494-1),"")</f>
        <v>-0.001505611826</v>
      </c>
      <c r="D495" s="7">
        <f>IFERROR(IF(OR(PRECIOS!D495="",PRECIOS!D494=""),"",PRECIOS!D495/PRECIOS!D494-1),"")</f>
        <v>-0.002115655853</v>
      </c>
      <c r="E495" s="7">
        <f>IFERROR(IF(OR(PRECIOS!E495="",PRECIOS!E494=""),"",PRECIOS!E495/PRECIOS!E494-1),"")</f>
        <v>-0.001588906543</v>
      </c>
      <c r="F495" s="7">
        <f>IFERROR(IF(OR(PRECIOS!F495="",PRECIOS!F494=""),"",PRECIOS!F495/PRECIOS!F494-1),"")</f>
        <v>0.01099611902</v>
      </c>
      <c r="G495" s="7">
        <f>IFERROR(IF(OR(PRECIOS!G495="",PRECIOS!G494=""),"",PRECIOS!G495/PRECIOS!G494-1),"")</f>
        <v>0.003249630724</v>
      </c>
      <c r="H495" s="7">
        <f>IFERROR(IF(OR(PRECIOS!H495="",PRECIOS!H494=""),"",PRECIOS!H495/PRECIOS!H494-1),"")</f>
        <v>0.01613505736</v>
      </c>
      <c r="I495" s="7">
        <f>IFERROR(IF(OR(PRECIOS!I495="",PRECIOS!I494=""),"",PRECIOS!I495/PRECIOS!I494-1),"")</f>
        <v>-0.002631163833</v>
      </c>
    </row>
    <row r="496" ht="15.75" customHeight="1">
      <c r="A496" s="4">
        <f>IF(PRECIOS!A496="","",PRECIOS!A496)</f>
        <v>45132</v>
      </c>
      <c r="B496" s="7">
        <f>IFERROR(IF(OR(PRECIOS!B496="",PRECIOS!B495=""),"",PRECIOS!B496/PRECIOS!B495-1),"")</f>
        <v>0.001516300227</v>
      </c>
      <c r="C496" s="7">
        <f>IFERROR(IF(OR(PRECIOS!C496="",PRECIOS!C495=""),"",PRECIOS!C496/PRECIOS!C495-1),"")</f>
        <v>-0.004660726525</v>
      </c>
      <c r="D496" s="7">
        <f>IFERROR(IF(OR(PRECIOS!D496="",PRECIOS!D495=""),"",PRECIOS!D496/PRECIOS!D495-1),"")</f>
        <v>-0.007067137809</v>
      </c>
      <c r="E496" s="7">
        <f>IFERROR(IF(OR(PRECIOS!E496="",PRECIOS!E495=""),"",PRECIOS!E496/PRECIOS!E495-1),"")</f>
        <v>-0.005160108025</v>
      </c>
      <c r="F496" s="7">
        <f>IFERROR(IF(OR(PRECIOS!F496="",PRECIOS!F495=""),"",PRECIOS!F496/PRECIOS!F495-1),"")</f>
        <v>0</v>
      </c>
      <c r="G496" s="7">
        <f>IFERROR(IF(OR(PRECIOS!G496="",PRECIOS!G495=""),"",PRECIOS!G496/PRECIOS!G495-1),"")</f>
        <v>0.0005889281508</v>
      </c>
      <c r="H496" s="7">
        <f>IFERROR(IF(OR(PRECIOS!H496="",PRECIOS!H495=""),"",PRECIOS!H496/PRECIOS!H495-1),"")</f>
        <v>0.005253230027</v>
      </c>
      <c r="I496" s="7">
        <f>IFERROR(IF(OR(PRECIOS!I496="",PRECIOS!I495=""),"",PRECIOS!I496/PRECIOS!I495-1),"")</f>
        <v>0.001761899942</v>
      </c>
    </row>
    <row r="497" ht="15.75" customHeight="1">
      <c r="A497" s="4">
        <f>IF(PRECIOS!A497="","",PRECIOS!A497)</f>
        <v>45133</v>
      </c>
      <c r="B497" s="7">
        <f>IFERROR(IF(OR(PRECIOS!B497="",PRECIOS!B496=""),"",PRECIOS!B497/PRECIOS!B496-1),"")</f>
        <v>-0.005582891749</v>
      </c>
      <c r="C497" s="7">
        <f>IFERROR(IF(OR(PRECIOS!C497="",PRECIOS!C496=""),"",PRECIOS!C497/PRECIOS!C496-1),"")</f>
        <v>0.006610659689</v>
      </c>
      <c r="D497" s="7">
        <f>IFERROR(IF(OR(PRECIOS!D497="",PRECIOS!D496=""),"",PRECIOS!D497/PRECIOS!D496-1),"")</f>
        <v>0.01103202847</v>
      </c>
      <c r="E497" s="7">
        <f>IFERROR(IF(OR(PRECIOS!E497="",PRECIOS!E496=""),"",PRECIOS!E497/PRECIOS!E496-1),"")</f>
        <v>-0.01575452034</v>
      </c>
      <c r="F497" s="7">
        <f>IFERROR(IF(OR(PRECIOS!F497="",PRECIOS!F496=""),"",PRECIOS!F497/PRECIOS!F496-1),"")</f>
        <v>-0.01471529111</v>
      </c>
      <c r="G497" s="7">
        <f>IFERROR(IF(OR(PRECIOS!G497="",PRECIOS!G496=""),"",PRECIOS!G497/PRECIOS!G496-1),"")</f>
        <v>0.002648616833</v>
      </c>
      <c r="H497" s="7">
        <f>IFERROR(IF(OR(PRECIOS!H497="",PRECIOS!H496=""),"",PRECIOS!H497/PRECIOS!H496-1),"")</f>
        <v>0.000350571002</v>
      </c>
      <c r="I497" s="7">
        <f>IFERROR(IF(OR(PRECIOS!I497="",PRECIOS!I496=""),"",PRECIOS!I497/PRECIOS!I496-1),"")</f>
        <v>0</v>
      </c>
    </row>
    <row r="498" ht="15.75" customHeight="1">
      <c r="A498" s="4">
        <f>IF(PRECIOS!A498="","",PRECIOS!A498)</f>
        <v>45134</v>
      </c>
      <c r="B498" s="7">
        <f>IFERROR(IF(OR(PRECIOS!B498="",PRECIOS!B497=""),"",PRECIOS!B498/PRECIOS!B497-1),"")</f>
        <v>0.003140165572</v>
      </c>
      <c r="C498" s="7">
        <f>IFERROR(IF(OR(PRECIOS!C498="",PRECIOS!C497=""),"",PRECIOS!C498/PRECIOS!C497-1),"")</f>
        <v>-0.003146805309</v>
      </c>
      <c r="D498" s="7">
        <f>IFERROR(IF(OR(PRECIOS!D498="",PRECIOS!D497=""),"",PRECIOS!D498/PRECIOS!D497-1),"")</f>
        <v>-0.01091165083</v>
      </c>
      <c r="E498" s="7">
        <f>IFERROR(IF(OR(PRECIOS!E498="",PRECIOS!E497=""),"",PRECIOS!E498/PRECIOS!E497-1),"")</f>
        <v>-0.00462962963</v>
      </c>
      <c r="F498" s="7">
        <f>IFERROR(IF(OR(PRECIOS!F498="",PRECIOS!F497=""),"",PRECIOS!F498/PRECIOS!F497-1),"")</f>
        <v>-0.06818181818</v>
      </c>
      <c r="G498" s="7">
        <f>IFERROR(IF(OR(PRECIOS!G498="",PRECIOS!G497=""),"",PRECIOS!G498/PRECIOS!G497-1),"")</f>
        <v>-0.0005870267097</v>
      </c>
      <c r="H498" s="7">
        <f>IFERROR(IF(OR(PRECIOS!H498="",PRECIOS!H497=""),"",PRECIOS!H498/PRECIOS!H497-1),"")</f>
        <v>-0.00639126653</v>
      </c>
      <c r="I498" s="7">
        <f>IFERROR(IF(OR(PRECIOS!I498="",PRECIOS!I497=""),"",PRECIOS!I498/PRECIOS!I497-1),"")</f>
        <v>-0.01769221296</v>
      </c>
    </row>
    <row r="499" ht="15.75" customHeight="1">
      <c r="A499" s="4">
        <f>IF(PRECIOS!A499="","",PRECIOS!A499)</f>
        <v>45135</v>
      </c>
      <c r="B499" s="7">
        <f>IFERROR(IF(OR(PRECIOS!B499="",PRECIOS!B498=""),"",PRECIOS!B499/PRECIOS!B498-1),"")</f>
        <v>-0.01195219124</v>
      </c>
      <c r="C499" s="7">
        <f>IFERROR(IF(OR(PRECIOS!C499="",PRECIOS!C498=""),"",PRECIOS!C499/PRECIOS!C498-1),"")</f>
        <v>-0.006999725501</v>
      </c>
      <c r="D499" s="7">
        <f>IFERROR(IF(OR(PRECIOS!D499="",PRECIOS!D498=""),"",PRECIOS!D499/PRECIOS!D498-1),"")</f>
        <v>-0.01352313167</v>
      </c>
      <c r="E499" s="7">
        <f>IFERROR(IF(OR(PRECIOS!E499="",PRECIOS!E498=""),"",PRECIOS!E499/PRECIOS!E498-1),"")</f>
        <v>0.005937654626</v>
      </c>
      <c r="F499" s="7">
        <f>IFERROR(IF(OR(PRECIOS!F499="",PRECIOS!F498=""),"",PRECIOS!F499/PRECIOS!F498-1),"")</f>
        <v>0.01672473868</v>
      </c>
      <c r="G499" s="7">
        <f>IFERROR(IF(OR(PRECIOS!G499="",PRECIOS!G498=""),"",PRECIOS!G499/PRECIOS!G498-1),"")</f>
        <v>0.0002936857562</v>
      </c>
      <c r="H499" s="7">
        <f>IFERROR(IF(OR(PRECIOS!H499="",PRECIOS!H498=""),"",PRECIOS!H499/PRECIOS!H498-1),"")</f>
        <v>0.003039837605</v>
      </c>
      <c r="I499" s="7">
        <f>IFERROR(IF(OR(PRECIOS!I499="",PRECIOS!I498=""),"",PRECIOS!I499/PRECIOS!I498-1),"")</f>
        <v>-0.00223408017</v>
      </c>
    </row>
    <row r="500" ht="15.75" customHeight="1">
      <c r="A500" s="4">
        <f>IF(PRECIOS!A500="","",PRECIOS!A500)</f>
        <v>45138</v>
      </c>
      <c r="B500" s="7">
        <f>IFERROR(IF(OR(PRECIOS!B500="",PRECIOS!B499=""),"",PRECIOS!B500/PRECIOS!B499-1),"")</f>
        <v>0.02956989247</v>
      </c>
      <c r="C500" s="7">
        <f>IFERROR(IF(OR(PRECIOS!C500="",PRECIOS!C499=""),"",PRECIOS!C500/PRECIOS!C499-1),"")</f>
        <v>-0.0001382170007</v>
      </c>
      <c r="D500" s="7">
        <f>IFERROR(IF(OR(PRECIOS!D500="",PRECIOS!D499=""),"",PRECIOS!D500/PRECIOS!D499-1),"")</f>
        <v>0.01226551227</v>
      </c>
      <c r="E500" s="7">
        <f>IFERROR(IF(OR(PRECIOS!E500="",PRECIOS!E499=""),"",PRECIOS!E500/PRECIOS!E499-1),"")</f>
        <v>0.009936055091</v>
      </c>
      <c r="F500" s="7">
        <f>IFERROR(IF(OR(PRECIOS!F500="",PRECIOS!F499=""),"",PRECIOS!F500/PRECIOS!F499-1),"")</f>
        <v>0.02056202879</v>
      </c>
      <c r="G500" s="7">
        <f>IFERROR(IF(OR(PRECIOS!G500="",PRECIOS!G499=""),"",PRECIOS!G500/PRECIOS!G499-1),"")</f>
        <v>0.01145038168</v>
      </c>
      <c r="H500" s="7">
        <f>IFERROR(IF(OR(PRECIOS!H500="",PRECIOS!H499=""),"",PRECIOS!H500/PRECIOS!H499-1),"")</f>
        <v>0.01898820637</v>
      </c>
      <c r="I500" s="7">
        <f>IFERROR(IF(OR(PRECIOS!I500="",PRECIOS!I499=""),"",PRECIOS!I500/PRECIOS!I499-1),"")</f>
        <v>0.0004510381933</v>
      </c>
    </row>
    <row r="501" ht="15.75" customHeight="1">
      <c r="A501" s="4">
        <f>IF(PRECIOS!A501="","",PRECIOS!A501)</f>
        <v>45139</v>
      </c>
      <c r="B501" s="7">
        <f>IFERROR(IF(OR(PRECIOS!B501="",PRECIOS!B500=""),"",PRECIOS!B501/PRECIOS!B500-1),"")</f>
        <v>-0.005781424841</v>
      </c>
      <c r="C501" s="7">
        <f>IFERROR(IF(OR(PRECIOS!C501="",PRECIOS!C500=""),"",PRECIOS!C501/PRECIOS!C500-1),"")</f>
        <v>-0.01465302737</v>
      </c>
      <c r="D501" s="7">
        <f>IFERROR(IF(OR(PRECIOS!D501="",PRECIOS!D500=""),"",PRECIOS!D501/PRECIOS!D500-1),"")</f>
        <v>-0.006058446187</v>
      </c>
      <c r="E501" s="7">
        <f>IFERROR(IF(OR(PRECIOS!E501="",PRECIOS!E500=""),"",PRECIOS!E501/PRECIOS!E500-1),"")</f>
        <v>0.0666277031</v>
      </c>
      <c r="F501" s="7">
        <f>IFERROR(IF(OR(PRECIOS!F501="",PRECIOS!F500=""),"",PRECIOS!F501/PRECIOS!F500-1),"")</f>
        <v>-0.01410342512</v>
      </c>
      <c r="G501" s="7">
        <f>IFERROR(IF(OR(PRECIOS!G501="",PRECIOS!G500=""),"",PRECIOS!G501/PRECIOS!G500-1),"")</f>
        <v>-0.01015965167</v>
      </c>
      <c r="H501" s="7">
        <f>IFERROR(IF(OR(PRECIOS!H501="",PRECIOS!H500=""),"",PRECIOS!H501/PRECIOS!H500-1),"")</f>
        <v>-0.004687143127</v>
      </c>
      <c r="I501" s="7">
        <f>IFERROR(IF(OR(PRECIOS!I501="",PRECIOS!I500=""),"",PRECIOS!I501/PRECIOS!I500-1),"")</f>
        <v>-0.01222728517</v>
      </c>
    </row>
    <row r="502" ht="15.75" customHeight="1">
      <c r="A502" s="4">
        <f>IF(PRECIOS!A502="","",PRECIOS!A502)</f>
        <v>45140</v>
      </c>
      <c r="B502" s="7">
        <f>IFERROR(IF(OR(PRECIOS!B502="",PRECIOS!B501=""),"",PRECIOS!B502/PRECIOS!B501-1),"")</f>
        <v>-0.01247420747</v>
      </c>
      <c r="C502" s="7">
        <f>IFERROR(IF(OR(PRECIOS!C502="",PRECIOS!C501=""),"",PRECIOS!C502/PRECIOS!C501-1),"")</f>
        <v>-0.004349046016</v>
      </c>
      <c r="D502" s="7">
        <f>IFERROR(IF(OR(PRECIOS!D502="",PRECIOS!D501=""),"",PRECIOS!D502/PRECIOS!D501-1),"")</f>
        <v>0.003585514521</v>
      </c>
      <c r="E502" s="7">
        <f>IFERROR(IF(OR(PRECIOS!E502="",PRECIOS!E501=""),"",PRECIOS!E502/PRECIOS!E501-1),"")</f>
        <v>-0.0005936073059</v>
      </c>
      <c r="F502" s="7">
        <f>IFERROR(IF(OR(PRECIOS!F502="",PRECIOS!F501=""),"",PRECIOS!F502/PRECIOS!F501-1),"")</f>
        <v>-0.02861035422</v>
      </c>
      <c r="G502" s="7">
        <f>IFERROR(IF(OR(PRECIOS!G502="",PRECIOS!G501=""),"",PRECIOS!G502/PRECIOS!G501-1),"")</f>
        <v>-0.01231671554</v>
      </c>
      <c r="H502" s="7">
        <f>IFERROR(IF(OR(PRECIOS!H502="",PRECIOS!H501=""),"",PRECIOS!H502/PRECIOS!H501-1),"")</f>
        <v>-0.01309251813</v>
      </c>
      <c r="I502" s="7">
        <f>IFERROR(IF(OR(PRECIOS!I502="",PRECIOS!I501=""),"",PRECIOS!I502/PRECIOS!I501-1),"")</f>
        <v>0</v>
      </c>
    </row>
    <row r="503" ht="15.75" customHeight="1">
      <c r="A503" s="4">
        <f>IF(PRECIOS!A503="","",PRECIOS!A503)</f>
        <v>45141</v>
      </c>
      <c r="B503" s="7">
        <f>IFERROR(IF(OR(PRECIOS!B503="",PRECIOS!B502=""),"",PRECIOS!B503/PRECIOS!B502-1),"")</f>
        <v>0.01738056796</v>
      </c>
      <c r="C503" s="7">
        <f>IFERROR(IF(OR(PRECIOS!C503="",PRECIOS!C502=""),"",PRECIOS!C503/PRECIOS!C502-1),"")</f>
        <v>-0.03311258278</v>
      </c>
      <c r="D503" s="7">
        <f>IFERROR(IF(OR(PRECIOS!D503="",PRECIOS!D502=""),"",PRECIOS!D503/PRECIOS!D502-1),"")</f>
        <v>-0.001786352269</v>
      </c>
      <c r="E503" s="7">
        <f>IFERROR(IF(OR(PRECIOS!E503="",PRECIOS!E502=""),"",PRECIOS!E503/PRECIOS!E502-1),"")</f>
        <v>-0.008086992279</v>
      </c>
      <c r="F503" s="7">
        <f>IFERROR(IF(OR(PRECIOS!F503="",PRECIOS!F502=""),"",PRECIOS!F503/PRECIOS!F502-1),"")</f>
        <v>-0.01823281907</v>
      </c>
      <c r="G503" s="7">
        <f>IFERROR(IF(OR(PRECIOS!G503="",PRECIOS!G502=""),"",PRECIOS!G503/PRECIOS!G502-1),"")</f>
        <v>0.02256532067</v>
      </c>
      <c r="H503" s="7">
        <f>IFERROR(IF(OR(PRECIOS!H503="",PRECIOS!H502=""),"",PRECIOS!H503/PRECIOS!H502-1),"")</f>
        <v>0.01012467555</v>
      </c>
      <c r="I503" s="7">
        <f>IFERROR(IF(OR(PRECIOS!I503="",PRECIOS!I502=""),"",PRECIOS!I503/PRECIOS!I502-1),"")</f>
        <v>-0.02279143764</v>
      </c>
    </row>
    <row r="504" ht="15.75" customHeight="1">
      <c r="A504" s="4">
        <f>IF(PRECIOS!A504="","",PRECIOS!A504)</f>
        <v>45142</v>
      </c>
      <c r="B504" s="7">
        <f>IFERROR(IF(OR(PRECIOS!B504="",PRECIOS!B503=""),"",PRECIOS!B504/PRECIOS!B503-1),"")</f>
        <v>0.002800597461</v>
      </c>
      <c r="C504" s="7">
        <f>IFERROR(IF(OR(PRECIOS!C504="",PRECIOS!C503=""),"",PRECIOS!C504/PRECIOS!C503-1),"")</f>
        <v>-0.01136694841</v>
      </c>
      <c r="D504" s="7">
        <f>IFERROR(IF(OR(PRECIOS!D504="",PRECIOS!D503=""),"",PRECIOS!D504/PRECIOS!D503-1),"")</f>
        <v>0.0214745884</v>
      </c>
      <c r="E504" s="7">
        <f>IFERROR(IF(OR(PRECIOS!E504="",PRECIOS!E503=""),"",PRECIOS!E504/PRECIOS!E503-1),"")</f>
        <v>-0.005527406725</v>
      </c>
      <c r="F504" s="7">
        <f>IFERROR(IF(OR(PRECIOS!F504="",PRECIOS!F503=""),"",PRECIOS!F504/PRECIOS!F503-1),"")</f>
        <v>0.005</v>
      </c>
      <c r="G504" s="7">
        <f>IFERROR(IF(OR(PRECIOS!G504="",PRECIOS!G503=""),"",PRECIOS!G504/PRECIOS!G503-1),"")</f>
        <v>-0.002322880372</v>
      </c>
      <c r="H504" s="7">
        <f>IFERROR(IF(OR(PRECIOS!H504="",PRECIOS!H503=""),"",PRECIOS!H504/PRECIOS!H503-1),"")</f>
        <v>0.001381129073</v>
      </c>
      <c r="I504" s="7">
        <f>IFERROR(IF(OR(PRECIOS!I504="",PRECIOS!I503=""),"",PRECIOS!I504/PRECIOS!I503-1),"")</f>
        <v>-0.01158310175</v>
      </c>
    </row>
    <row r="505" ht="15.75" customHeight="1">
      <c r="A505" s="4">
        <f>IF(PRECIOS!A505="","",PRECIOS!A505)</f>
        <v>45145</v>
      </c>
      <c r="B505" s="7">
        <f>IFERROR(IF(OR(PRECIOS!B505="",PRECIOS!B504=""),"",PRECIOS!B505/PRECIOS!B504-1),"")</f>
        <v>-0.002048035748</v>
      </c>
      <c r="C505" s="7">
        <f>IFERROR(IF(OR(PRECIOS!C505="",PRECIOS!C504=""),"",PRECIOS!C505/PRECIOS!C504-1),"")</f>
        <v>0.002653301887</v>
      </c>
      <c r="D505" s="7">
        <f>IFERROR(IF(OR(PRECIOS!D505="",PRECIOS!D504=""),"",PRECIOS!D505/PRECIOS!D504-1),"")</f>
        <v>0.005606166783</v>
      </c>
      <c r="E505" s="7">
        <f>IFERROR(IF(OR(PRECIOS!E505="",PRECIOS!E504=""),"",PRECIOS!E505/PRECIOS!E504-1),"")</f>
        <v>0.0240389069</v>
      </c>
      <c r="F505" s="7">
        <f>IFERROR(IF(OR(PRECIOS!F505="",PRECIOS!F504=""),"",PRECIOS!F505/PRECIOS!F504-1),"")</f>
        <v>-0.008528784648</v>
      </c>
      <c r="G505" s="7">
        <f>IFERROR(IF(OR(PRECIOS!G505="",PRECIOS!G504=""),"",PRECIOS!G505/PRECIOS!G504-1),"")</f>
        <v>0.003201396973</v>
      </c>
      <c r="H505" s="7">
        <f>IFERROR(IF(OR(PRECIOS!H505="",PRECIOS!H504=""),"",PRECIOS!H505/PRECIOS!H504-1),"")</f>
        <v>0.001151852083</v>
      </c>
      <c r="I505" s="7">
        <f>IFERROR(IF(OR(PRECIOS!I505="",PRECIOS!I504=""),"",PRECIOS!I505/PRECIOS!I504-1),"")</f>
        <v>-0.0001620116446</v>
      </c>
    </row>
    <row r="506" ht="15.75" customHeight="1">
      <c r="A506" s="4">
        <f>IF(PRECIOS!A506="","",PRECIOS!A506)</f>
        <v>45146</v>
      </c>
      <c r="B506" s="7">
        <f>IFERROR(IF(OR(PRECIOS!B506="",PRECIOS!B505=""),"",PRECIOS!B506/PRECIOS!B505-1),"")</f>
        <v>0.004944029851</v>
      </c>
      <c r="C506" s="7">
        <f>IFERROR(IF(OR(PRECIOS!C506="",PRECIOS!C505=""),"",PRECIOS!C506/PRECIOS!C505-1),"")</f>
        <v>0.01161423111</v>
      </c>
      <c r="D506" s="7">
        <f>IFERROR(IF(OR(PRECIOS!D506="",PRECIOS!D505=""),"",PRECIOS!D506/PRECIOS!D505-1),"")</f>
        <v>0.004181184669</v>
      </c>
      <c r="E506" s="7">
        <f>IFERROR(IF(OR(PRECIOS!E506="",PRECIOS!E505=""),"",PRECIOS!E506/PRECIOS!E505-1),"")</f>
        <v>-0.004025509973</v>
      </c>
      <c r="F506" s="7">
        <f>IFERROR(IF(OR(PRECIOS!F506="",PRECIOS!F505=""),"",PRECIOS!F506/PRECIOS!F505-1),"")</f>
        <v>0.02724014337</v>
      </c>
      <c r="G506" s="7">
        <f>IFERROR(IF(OR(PRECIOS!G506="",PRECIOS!G505=""),"",PRECIOS!G506/PRECIOS!G505-1),"")</f>
        <v>0.01044386423</v>
      </c>
      <c r="H506" s="7">
        <f>IFERROR(IF(OR(PRECIOS!H506="",PRECIOS!H505=""),"",PRECIOS!H506/PRECIOS!H505-1),"")</f>
        <v>0.004939029564</v>
      </c>
      <c r="I506" s="7">
        <f>IFERROR(IF(OR(PRECIOS!I506="",PRECIOS!I505=""),"",PRECIOS!I506/PRECIOS!I505-1),"")</f>
        <v>0.004692347423</v>
      </c>
    </row>
    <row r="507" ht="15.75" customHeight="1">
      <c r="A507" s="4">
        <f>IF(PRECIOS!A507="","",PRECIOS!A507)</f>
        <v>45147</v>
      </c>
      <c r="B507" s="7">
        <f>IFERROR(IF(OR(PRECIOS!B507="",PRECIOS!B506=""),"",PRECIOS!B507/PRECIOS!B506-1),"")</f>
        <v>0.01698691172</v>
      </c>
      <c r="C507" s="7">
        <f>IFERROR(IF(OR(PRECIOS!C507="",PRECIOS!C506=""),"",PRECIOS!C507/PRECIOS!C506-1),"")</f>
        <v>0.005522453132</v>
      </c>
      <c r="D507" s="7">
        <f>IFERROR(IF(OR(PRECIOS!D507="",PRECIOS!D506=""),"",PRECIOS!D507/PRECIOS!D506-1),"")</f>
        <v>0.05170020819</v>
      </c>
      <c r="E507" s="7">
        <f>IFERROR(IF(OR(PRECIOS!E507="",PRECIOS!E506=""),"",PRECIOS!E507/PRECIOS!E506-1),"")</f>
        <v>-0.01076294278</v>
      </c>
      <c r="F507" s="7">
        <f>IFERROR(IF(OR(PRECIOS!F507="",PRECIOS!F506=""),"",PRECIOS!F507/PRECIOS!F506-1),"")</f>
        <v>0</v>
      </c>
      <c r="G507" s="7">
        <f>IFERROR(IF(OR(PRECIOS!G507="",PRECIOS!G506=""),"",PRECIOS!G507/PRECIOS!G506-1),"")</f>
        <v>0.01234567901</v>
      </c>
      <c r="H507" s="7">
        <f>IFERROR(IF(OR(PRECIOS!H507="",PRECIOS!H506=""),"",PRECIOS!H507/PRECIOS!H506-1),"")</f>
        <v>0.01257869445</v>
      </c>
      <c r="I507" s="7">
        <f>IFERROR(IF(OR(PRECIOS!I507="",PRECIOS!I506=""),"",PRECIOS!I507/PRECIOS!I506-1),"")</f>
        <v>0.002180655003</v>
      </c>
    </row>
    <row r="508" ht="15.75" customHeight="1">
      <c r="A508" s="4">
        <f>IF(PRECIOS!A508="","",PRECIOS!A508)</f>
        <v>45148</v>
      </c>
      <c r="B508" s="7">
        <f>IFERROR(IF(OR(PRECIOS!B508="",PRECIOS!B507=""),"",PRECIOS!B508/PRECIOS!B507-1),"")</f>
        <v>0.005111354509</v>
      </c>
      <c r="C508" s="7">
        <f>IFERROR(IF(OR(PRECIOS!C508="",PRECIOS!C507=""),"",PRECIOS!C508/PRECIOS!C507-1),"")</f>
        <v>0.003179650238</v>
      </c>
      <c r="D508" s="7">
        <f>IFERROR(IF(OR(PRECIOS!D508="",PRECIOS!D507=""),"",PRECIOS!D508/PRECIOS!D507-1),"")</f>
        <v>0.01253711646</v>
      </c>
      <c r="E508" s="7">
        <f>IFERROR(IF(OR(PRECIOS!E508="",PRECIOS!E507=""),"",PRECIOS!E508/PRECIOS!E507-1),"")</f>
        <v>-0.004131662305</v>
      </c>
      <c r="F508" s="7">
        <f>IFERROR(IF(OR(PRECIOS!F508="",PRECIOS!F507=""),"",PRECIOS!F508/PRECIOS!F507-1),"")</f>
        <v>0.004187020237</v>
      </c>
      <c r="G508" s="7">
        <f>IFERROR(IF(OR(PRECIOS!G508="",PRECIOS!G507=""),"",PRECIOS!G508/PRECIOS!G507-1),"")</f>
        <v>-0.005672149745</v>
      </c>
      <c r="H508" s="7">
        <f>IFERROR(IF(OR(PRECIOS!H508="",PRECIOS!H507=""),"",PRECIOS!H508/PRECIOS!H507-1),"")</f>
        <v>-0.0001103671547</v>
      </c>
      <c r="I508" s="7">
        <f>IFERROR(IF(OR(PRECIOS!I508="",PRECIOS!I507=""),"",PRECIOS!I508/PRECIOS!I507-1),"")</f>
        <v>-0.003107964032</v>
      </c>
    </row>
    <row r="509" ht="15.75" customHeight="1">
      <c r="A509" s="4">
        <f>IF(PRECIOS!A509="","",PRECIOS!A509)</f>
        <v>45149</v>
      </c>
      <c r="B509" s="7">
        <f>IFERROR(IF(OR(PRECIOS!B509="",PRECIOS!B508=""),"",PRECIOS!B509/PRECIOS!B508-1),"")</f>
        <v>0.01552851435</v>
      </c>
      <c r="C509" s="7">
        <f>IFERROR(IF(OR(PRECIOS!C509="",PRECIOS!C508=""),"",PRECIOS!C509/PRECIOS!C508-1),"")</f>
        <v>0.001296643135</v>
      </c>
      <c r="D509" s="7">
        <f>IFERROR(IF(OR(PRECIOS!D509="",PRECIOS!D508=""),"",PRECIOS!D509/PRECIOS!D508-1),"")</f>
        <v>-0.01792114695</v>
      </c>
      <c r="E509" s="7">
        <f>IFERROR(IF(OR(PRECIOS!E509="",PRECIOS!E508=""),"",PRECIOS!E509/PRECIOS!E508-1),"")</f>
        <v>0.006591988199</v>
      </c>
      <c r="F509" s="7">
        <f>IFERROR(IF(OR(PRECIOS!F509="",PRECIOS!F508=""),"",PRECIOS!F509/PRECIOS!F508-1),"")</f>
        <v>0.008339124392</v>
      </c>
      <c r="G509" s="7">
        <f>IFERROR(IF(OR(PRECIOS!G509="",PRECIOS!G508=""),"",PRECIOS!G509/PRECIOS!G508-1),"")</f>
        <v>0.009127210496</v>
      </c>
      <c r="H509" s="7">
        <f>IFERROR(IF(OR(PRECIOS!H509="",PRECIOS!H508=""),"",PRECIOS!H509/PRECIOS!H508-1),"")</f>
        <v>0.01535499221</v>
      </c>
      <c r="I509" s="7">
        <f>IFERROR(IF(OR(PRECIOS!I509="",PRECIOS!I508=""),"",PRECIOS!I509/PRECIOS!I508-1),"")</f>
        <v>0.005451689822</v>
      </c>
    </row>
    <row r="510" ht="15.75" customHeight="1">
      <c r="A510" s="4">
        <f>IF(PRECIOS!A510="","",PRECIOS!A510)</f>
        <v>45152</v>
      </c>
      <c r="B510" s="7">
        <f>IFERROR(IF(OR(PRECIOS!B510="",PRECIOS!B509=""),"",PRECIOS!B510/PRECIOS!B509-1),"")</f>
        <v>0.0008047929894</v>
      </c>
      <c r="C510" s="7">
        <f>IFERROR(IF(OR(PRECIOS!C510="",PRECIOS!C509=""),"",PRECIOS!C510/PRECIOS!C509-1),"")</f>
        <v>-0.00964028777</v>
      </c>
      <c r="D510" s="7">
        <f>IFERROR(IF(OR(PRECIOS!D510="",PRECIOS!D509=""),"",PRECIOS!D510/PRECIOS!D509-1),"")</f>
        <v>0.00597213006</v>
      </c>
      <c r="E510" s="7">
        <f>IFERROR(IF(OR(PRECIOS!E510="",PRECIOS!E509=""),"",PRECIOS!E510/PRECIOS!E509-1),"")</f>
        <v>0.003114123466</v>
      </c>
      <c r="F510" s="7">
        <f>IFERROR(IF(OR(PRECIOS!F510="",PRECIOS!F509=""),"",PRECIOS!F510/PRECIOS!F509-1),"")</f>
        <v>-0.01929703653</v>
      </c>
      <c r="G510" s="7">
        <f>IFERROR(IF(OR(PRECIOS!G510="",PRECIOS!G509=""),"",PRECIOS!G510/PRECIOS!G509-1),"")</f>
        <v>-0.009892594686</v>
      </c>
      <c r="H510" s="7">
        <f>IFERROR(IF(OR(PRECIOS!H510="",PRECIOS!H509=""),"",PRECIOS!H510/PRECIOS!H509-1),"")</f>
        <v>-0.004225199</v>
      </c>
      <c r="I510" s="7">
        <f>IFERROR(IF(OR(PRECIOS!I510="",PRECIOS!I509=""),"",PRECIOS!I510/PRECIOS!I509-1),"")</f>
        <v>-0.007900722505</v>
      </c>
    </row>
    <row r="511" ht="15.75" customHeight="1">
      <c r="A511" s="4">
        <f>IF(PRECIOS!A511="","",PRECIOS!A511)</f>
        <v>45153</v>
      </c>
      <c r="B511" s="7">
        <f>IFERROR(IF(OR(PRECIOS!B511="",PRECIOS!B510=""),"",PRECIOS!B511/PRECIOS!B510-1),"")</f>
        <v>-0.0335954253</v>
      </c>
      <c r="C511" s="7">
        <f>IFERROR(IF(OR(PRECIOS!C511="",PRECIOS!C510=""),"",PRECIOS!C511/PRECIOS!C510-1),"")</f>
        <v>-0.01525497603</v>
      </c>
      <c r="D511" s="7">
        <f>IFERROR(IF(OR(PRECIOS!D511="",PRECIOS!D510=""),"",PRECIOS!D511/PRECIOS!D510-1),"")</f>
        <v>-0.002638522427</v>
      </c>
      <c r="E511" s="7">
        <f>IFERROR(IF(OR(PRECIOS!E511="",PRECIOS!E510=""),"",PRECIOS!E511/PRECIOS!E510-1),"")</f>
        <v>-0.005021913806</v>
      </c>
      <c r="F511" s="7">
        <f>IFERROR(IF(OR(PRECIOS!F511="",PRECIOS!F510=""),"",PRECIOS!F511/PRECIOS!F510-1),"")</f>
        <v>-0.01124385102</v>
      </c>
      <c r="G511" s="7">
        <f>IFERROR(IF(OR(PRECIOS!G511="",PRECIOS!G510=""),"",PRECIOS!G511/PRECIOS!G510-1),"")</f>
        <v>-0.007707679132</v>
      </c>
      <c r="H511" s="7">
        <f>IFERROR(IF(OR(PRECIOS!H511="",PRECIOS!H510=""),"",PRECIOS!H511/PRECIOS!H510-1),"")</f>
        <v>-0.02077409776</v>
      </c>
      <c r="I511" s="7">
        <f>IFERROR(IF(OR(PRECIOS!I511="",PRECIOS!I510=""),"",PRECIOS!I511/PRECIOS!I510-1),"")</f>
        <v>-0.01623409463</v>
      </c>
    </row>
    <row r="512" ht="15.75" customHeight="1">
      <c r="A512" s="4">
        <f>IF(PRECIOS!A512="","",PRECIOS!A512)</f>
        <v>45154</v>
      </c>
      <c r="B512" s="7">
        <f>IFERROR(IF(OR(PRECIOS!B512="",PRECIOS!B511=""),"",PRECIOS!B512/PRECIOS!B511-1),"")</f>
        <v>-0.01682692308</v>
      </c>
      <c r="C512" s="7">
        <f>IFERROR(IF(OR(PRECIOS!C512="",PRECIOS!C511=""),"",PRECIOS!C512/PRECIOS!C511-1),"")</f>
        <v>0.00486869283</v>
      </c>
      <c r="D512" s="7">
        <f>IFERROR(IF(OR(PRECIOS!D512="",PRECIOS!D511=""),"",PRECIOS!D512/PRECIOS!D511-1),"")</f>
        <v>-0.005621693122</v>
      </c>
      <c r="E512" s="7">
        <f>IFERROR(IF(OR(PRECIOS!E512="",PRECIOS!E511=""),"",PRECIOS!E512/PRECIOS!E511-1),"")</f>
        <v>-0.008488574837</v>
      </c>
      <c r="F512" s="7">
        <f>IFERROR(IF(OR(PRECIOS!F512="",PRECIOS!F511=""),"",PRECIOS!F512/PRECIOS!F511-1),"")</f>
        <v>0.03980099502</v>
      </c>
      <c r="G512" s="7">
        <f>IFERROR(IF(OR(PRECIOS!G512="",PRECIOS!G511=""),"",PRECIOS!G512/PRECIOS!G511-1),"")</f>
        <v>-0.0083429229</v>
      </c>
      <c r="H512" s="7">
        <f>IFERROR(IF(OR(PRECIOS!H512="",PRECIOS!H511=""),"",PRECIOS!H512/PRECIOS!H511-1),"")</f>
        <v>-0.008671243432</v>
      </c>
      <c r="I512" s="7">
        <f>IFERROR(IF(OR(PRECIOS!I512="",PRECIOS!I511=""),"",PRECIOS!I512/PRECIOS!I511-1),"")</f>
        <v>0.004445084189</v>
      </c>
    </row>
    <row r="513" ht="15.75" customHeight="1">
      <c r="A513" s="4">
        <f>IF(PRECIOS!A513="","",PRECIOS!A513)</f>
        <v>45155</v>
      </c>
      <c r="B513" s="7">
        <f>IFERROR(IF(OR(PRECIOS!B513="",PRECIOS!B512=""),"",PRECIOS!B513/PRECIOS!B512-1),"")</f>
        <v>0.01937182622</v>
      </c>
      <c r="C513" s="7">
        <f>IFERROR(IF(OR(PRECIOS!C513="",PRECIOS!C512=""),"",PRECIOS!C513/PRECIOS!C512-1),"")</f>
        <v>0.002055498458</v>
      </c>
      <c r="D513" s="7">
        <f>IFERROR(IF(OR(PRECIOS!D513="",PRECIOS!D512=""),"",PRECIOS!D513/PRECIOS!D512-1),"")</f>
        <v>-0.01197206518</v>
      </c>
      <c r="E513" s="7">
        <f>IFERROR(IF(OR(PRECIOS!E513="",PRECIOS!E512=""),"",PRECIOS!E513/PRECIOS!E512-1),"")</f>
        <v>-0.007913369429</v>
      </c>
      <c r="F513" s="7">
        <f>IFERROR(IF(OR(PRECIOS!F513="",PRECIOS!F512=""),"",PRECIOS!F513/PRECIOS!F512-1),"")</f>
        <v>0.007518796992</v>
      </c>
      <c r="G513" s="7">
        <f>IFERROR(IF(OR(PRECIOS!G513="",PRECIOS!G512=""),"",PRECIOS!G513/PRECIOS!G512-1),"")</f>
        <v>0.004061502756</v>
      </c>
      <c r="H513" s="7">
        <f>IFERROR(IF(OR(PRECIOS!H513="",PRECIOS!H512=""),"",PRECIOS!H513/PRECIOS!H512-1),"")</f>
        <v>0.01196852047</v>
      </c>
      <c r="I513" s="7">
        <f>IFERROR(IF(OR(PRECIOS!I513="",PRECIOS!I512=""),"",PRECIOS!I513/PRECIOS!I512-1),"")</f>
        <v>-0.002211000409</v>
      </c>
    </row>
    <row r="514" ht="15.75" customHeight="1">
      <c r="A514" s="4">
        <f>IF(PRECIOS!A514="","",PRECIOS!A514)</f>
        <v>45156</v>
      </c>
      <c r="B514" s="7">
        <f>IFERROR(IF(OR(PRECIOS!B514="",PRECIOS!B513=""),"",PRECIOS!B514/PRECIOS!B513-1),"")</f>
        <v>0.01512915129</v>
      </c>
      <c r="C514" s="7">
        <f>IFERROR(IF(OR(PRECIOS!C514="",PRECIOS!C513=""),"",PRECIOS!C514/PRECIOS!C513-1),"")</f>
        <v>-0.006446886447</v>
      </c>
      <c r="D514" s="7">
        <f>IFERROR(IF(OR(PRECIOS!D514="",PRECIOS!D513=""),"",PRECIOS!D514/PRECIOS!D513-1),"")</f>
        <v>0.005048805116</v>
      </c>
      <c r="E514" s="7">
        <f>IFERROR(IF(OR(PRECIOS!E514="",PRECIOS!E513=""),"",PRECIOS!E514/PRECIOS!E513-1),"")</f>
        <v>0.001259445844</v>
      </c>
      <c r="F514" s="7">
        <f>IFERROR(IF(OR(PRECIOS!F514="",PRECIOS!F513=""),"",PRECIOS!F514/PRECIOS!F513-1),"")</f>
        <v>-0.01017639077</v>
      </c>
      <c r="G514" s="7">
        <f>IFERROR(IF(OR(PRECIOS!G514="",PRECIOS!G513=""),"",PRECIOS!G514/PRECIOS!G513-1),"")</f>
        <v>0.004622941346</v>
      </c>
      <c r="H514" s="7">
        <f>IFERROR(IF(OR(PRECIOS!H514="",PRECIOS!H513=""),"",PRECIOS!H514/PRECIOS!H513-1),"")</f>
        <v>0.009890793783</v>
      </c>
      <c r="I514" s="7">
        <f>IFERROR(IF(OR(PRECIOS!I514="",PRECIOS!I513=""),"",PRECIOS!I514/PRECIOS!I513-1),"")</f>
        <v>0.00522172676</v>
      </c>
    </row>
    <row r="515" ht="15.75" customHeight="1">
      <c r="A515" s="4">
        <f>IF(PRECIOS!A515="","",PRECIOS!A515)</f>
        <v>45159</v>
      </c>
      <c r="B515" s="7">
        <f>IFERROR(IF(OR(PRECIOS!B515="",PRECIOS!B514=""),"",PRECIOS!B515/PRECIOS!B514-1),"")</f>
        <v>-0.01208651399</v>
      </c>
      <c r="C515" s="7">
        <f>IFERROR(IF(OR(PRECIOS!C515="",PRECIOS!C514=""),"",PRECIOS!C515/PRECIOS!C514-1),"")</f>
        <v>-0.00294941749</v>
      </c>
      <c r="D515" s="7">
        <f>IFERROR(IF(OR(PRECIOS!D515="",PRECIOS!D514=""),"",PRECIOS!D515/PRECIOS!D514-1),"")</f>
        <v>0.004688546551</v>
      </c>
      <c r="E515" s="7">
        <f>IFERROR(IF(OR(PRECIOS!E515="",PRECIOS!E514=""),"",PRECIOS!E515/PRECIOS!E514-1),"")</f>
        <v>0.005078034009</v>
      </c>
      <c r="F515" s="7">
        <f>IFERROR(IF(OR(PRECIOS!F515="",PRECIOS!F514=""),"",PRECIOS!F515/PRECIOS!F514-1),"")</f>
        <v>-0.01302261823</v>
      </c>
      <c r="G515" s="7">
        <f>IFERROR(IF(OR(PRECIOS!G515="",PRECIOS!G514=""),"",PRECIOS!G515/PRECIOS!G514-1),"")</f>
        <v>0.001725625539</v>
      </c>
      <c r="H515" s="7">
        <f>IFERROR(IF(OR(PRECIOS!H515="",PRECIOS!H514=""),"",PRECIOS!H515/PRECIOS!H514-1),"")</f>
        <v>-0.006304303702</v>
      </c>
      <c r="I515" s="7">
        <f>IFERROR(IF(OR(PRECIOS!I515="",PRECIOS!I514=""),"",PRECIOS!I515/PRECIOS!I514-1),"")</f>
        <v>-0.006296796492</v>
      </c>
    </row>
    <row r="516" ht="15.75" customHeight="1">
      <c r="A516" s="4">
        <f>IF(PRECIOS!A516="","",PRECIOS!A516)</f>
        <v>45160</v>
      </c>
      <c r="B516" s="7">
        <f>IFERROR(IF(OR(PRECIOS!B516="",PRECIOS!B515=""),"",PRECIOS!B516/PRECIOS!B515-1),"")</f>
        <v>-0.005611259314</v>
      </c>
      <c r="C516" s="7">
        <f>IFERROR(IF(OR(PRECIOS!C516="",PRECIOS!C515=""),"",PRECIOS!C516/PRECIOS!C515-1),"")</f>
        <v>0.001774885372</v>
      </c>
      <c r="D516" s="7">
        <f>IFERROR(IF(OR(PRECIOS!D516="",PRECIOS!D515=""),"",PRECIOS!D516/PRECIOS!D515-1),"")</f>
        <v>-0.01133333333</v>
      </c>
      <c r="E516" s="7">
        <f>IFERROR(IF(OR(PRECIOS!E516="",PRECIOS!E515=""),"",PRECIOS!E516/PRECIOS!E515-1),"")</f>
        <v>0.007184574024</v>
      </c>
      <c r="F516" s="7">
        <f>IFERROR(IF(OR(PRECIOS!F516="",PRECIOS!F515=""),"",PRECIOS!F516/PRECIOS!F515-1),"")</f>
        <v>0.01527777778</v>
      </c>
      <c r="G516" s="7">
        <f>IFERROR(IF(OR(PRECIOS!G516="",PRECIOS!G515=""),"",PRECIOS!G516/PRECIOS!G515-1),"")</f>
        <v>-0.005742176285</v>
      </c>
      <c r="H516" s="7">
        <f>IFERROR(IF(OR(PRECIOS!H516="",PRECIOS!H515=""),"",PRECIOS!H516/PRECIOS!H515-1),"")</f>
        <v>-0.007702738287</v>
      </c>
      <c r="I516" s="7">
        <f>IFERROR(IF(OR(PRECIOS!I516="",PRECIOS!I515=""),"",PRECIOS!I516/PRECIOS!I515-1),"")</f>
        <v>0.002855108385</v>
      </c>
    </row>
    <row r="517" ht="15.75" customHeight="1">
      <c r="A517" s="4">
        <f>IF(PRECIOS!A517="","",PRECIOS!A517)</f>
        <v>45161</v>
      </c>
      <c r="B517" s="7">
        <f>IFERROR(IF(OR(PRECIOS!B517="",PRECIOS!B516=""),"",PRECIOS!B517/PRECIOS!B516-1),"")</f>
        <v>-0.008788159112</v>
      </c>
      <c r="C517" s="7">
        <f>IFERROR(IF(OR(PRECIOS!C517="",PRECIOS!C516=""),"",PRECIOS!C517/PRECIOS!C516-1),"")</f>
        <v>-0.002657611103</v>
      </c>
      <c r="D517" s="7">
        <f>IFERROR(IF(OR(PRECIOS!D517="",PRECIOS!D516=""),"",PRECIOS!D517/PRECIOS!D516-1),"")</f>
        <v>0.02258934592</v>
      </c>
      <c r="E517" s="7">
        <f>IFERROR(IF(OR(PRECIOS!E517="",PRECIOS!E516=""),"",PRECIOS!E517/PRECIOS!E516-1),"")</f>
        <v>0.01845459984</v>
      </c>
      <c r="F517" s="7">
        <f>IFERROR(IF(OR(PRECIOS!F517="",PRECIOS!F516=""),"",PRECIOS!F517/PRECIOS!F516-1),"")</f>
        <v>0.02804377565</v>
      </c>
      <c r="G517" s="7">
        <f>IFERROR(IF(OR(PRECIOS!G517="",PRECIOS!G516=""),"",PRECIOS!G517/PRECIOS!G516-1),"")</f>
        <v>0.002021368755</v>
      </c>
      <c r="H517" s="7">
        <f>IFERROR(IF(OR(PRECIOS!H517="",PRECIOS!H516=""),"",PRECIOS!H517/PRECIOS!H516-1),"")</f>
        <v>-0.002514762449</v>
      </c>
      <c r="I517" s="7">
        <f>IFERROR(IF(OR(PRECIOS!I517="",PRECIOS!I516=""),"",PRECIOS!I517/PRECIOS!I516-1),"")</f>
        <v>0.00394958729</v>
      </c>
    </row>
    <row r="518" ht="15.75" customHeight="1">
      <c r="A518" s="4">
        <f>IF(PRECIOS!A518="","",PRECIOS!A518)</f>
        <v>45162</v>
      </c>
      <c r="B518" s="7">
        <f>IFERROR(IF(OR(PRECIOS!B518="",PRECIOS!B517=""),"",PRECIOS!B518/PRECIOS!B517-1),"")</f>
        <v>-0.007466168922</v>
      </c>
      <c r="C518" s="7">
        <f>IFERROR(IF(OR(PRECIOS!C518="",PRECIOS!C517=""),"",PRECIOS!C518/PRECIOS!C517-1),"")</f>
        <v>-0.00177646188</v>
      </c>
      <c r="D518" s="7">
        <f>IFERROR(IF(OR(PRECIOS!D518="",PRECIOS!D517=""),"",PRECIOS!D518/PRECIOS!D517-1),"")</f>
        <v>-0.01055060996</v>
      </c>
      <c r="E518" s="7">
        <f>IFERROR(IF(OR(PRECIOS!E518="",PRECIOS!E517=""),"",PRECIOS!E518/PRECIOS!E517-1),"")</f>
        <v>-0.001762313601</v>
      </c>
      <c r="F518" s="7">
        <f>IFERROR(IF(OR(PRECIOS!F518="",PRECIOS!F517=""),"",PRECIOS!F518/PRECIOS!F517-1),"")</f>
        <v>-0.02262142382</v>
      </c>
      <c r="G518" s="7">
        <f>IFERROR(IF(OR(PRECIOS!G518="",PRECIOS!G517=""),"",PRECIOS!G518/PRECIOS!G517-1),"")</f>
        <v>-0.005187319885</v>
      </c>
      <c r="H518" s="7">
        <f>IFERROR(IF(OR(PRECIOS!H518="",PRECIOS!H517=""),"",PRECIOS!H518/PRECIOS!H517-1),"")</f>
        <v>-0.006867144864</v>
      </c>
      <c r="I518" s="7">
        <f>IFERROR(IF(OR(PRECIOS!I518="",PRECIOS!I517=""),"",PRECIOS!I518/PRECIOS!I517-1),"")</f>
        <v>-0.005827969493</v>
      </c>
    </row>
    <row r="519" ht="15.75" customHeight="1">
      <c r="A519" s="4">
        <f>IF(PRECIOS!A519="","",PRECIOS!A519)</f>
        <v>45163</v>
      </c>
      <c r="B519" s="7">
        <f>IFERROR(IF(OR(PRECIOS!B519="",PRECIOS!B518=""),"",PRECIOS!B519/PRECIOS!B518-1),"")</f>
        <v>0.01786553832</v>
      </c>
      <c r="C519" s="7">
        <f>IFERROR(IF(OR(PRECIOS!C519="",PRECIOS!C518=""),"",PRECIOS!C519/PRECIOS!C518-1),"")</f>
        <v>0.009787928222</v>
      </c>
      <c r="D519" s="7">
        <f>IFERROR(IF(OR(PRECIOS!D519="",PRECIOS!D518=""),"",PRECIOS!D519/PRECIOS!D518-1),"")</f>
        <v>0.003665444852</v>
      </c>
      <c r="E519" s="7">
        <f>IFERROR(IF(OR(PRECIOS!E519="",PRECIOS!E518=""),"",PRECIOS!E519/PRECIOS!E518-1),"")</f>
        <v>0.01511927934</v>
      </c>
      <c r="F519" s="7">
        <f>IFERROR(IF(OR(PRECIOS!F519="",PRECIOS!F518=""),"",PRECIOS!F519/PRECIOS!F518-1),"")</f>
        <v>0.004084411164</v>
      </c>
      <c r="G519" s="7">
        <f>IFERROR(IF(OR(PRECIOS!G519="",PRECIOS!G518=""),"",PRECIOS!G519/PRECIOS!G518-1),"")</f>
        <v>0.004345307068</v>
      </c>
      <c r="H519" s="7">
        <f>IFERROR(IF(OR(PRECIOS!H519="",PRECIOS!H518=""),"",PRECIOS!H519/PRECIOS!H518-1),"")</f>
        <v>0.009683484252</v>
      </c>
      <c r="I519" s="7">
        <f>IFERROR(IF(OR(PRECIOS!I519="",PRECIOS!I518=""),"",PRECIOS!I519/PRECIOS!I518-1),"")</f>
        <v>0.007599569061</v>
      </c>
    </row>
    <row r="520" ht="15.75" customHeight="1">
      <c r="A520" s="4">
        <f>IF(PRECIOS!A520="","",PRECIOS!A520)</f>
        <v>45166</v>
      </c>
      <c r="B520" s="7">
        <f>IFERROR(IF(OR(PRECIOS!B520="",PRECIOS!B519=""),"",PRECIOS!B520/PRECIOS!B519-1),"")</f>
        <v>0.008406466513</v>
      </c>
      <c r="C520" s="7">
        <f>IFERROR(IF(OR(PRECIOS!C520="",PRECIOS!C519=""),"",PRECIOS!C520/PRECIOS!C519-1),"")</f>
        <v>0.0005874577765</v>
      </c>
      <c r="D520" s="7">
        <f>IFERROR(IF(OR(PRECIOS!D520="",PRECIOS!D519=""),"",PRECIOS!D520/PRECIOS!D519-1),"")</f>
        <v>-0.004980079681</v>
      </c>
      <c r="E520" s="7">
        <f>IFERROR(IF(OR(PRECIOS!E520="",PRECIOS!E519=""),"",PRECIOS!E520/PRECIOS!E519-1),"")</f>
        <v>0.008874024526</v>
      </c>
      <c r="F520" s="7">
        <f>IFERROR(IF(OR(PRECIOS!F520="",PRECIOS!F519=""),"",PRECIOS!F520/PRECIOS!F519-1),"")</f>
        <v>0.01016949153</v>
      </c>
      <c r="G520" s="7">
        <f>IFERROR(IF(OR(PRECIOS!G520="",PRECIOS!G519=""),"",PRECIOS!G520/PRECIOS!G519-1),"")</f>
        <v>0.005768676089</v>
      </c>
      <c r="H520" s="7">
        <f>IFERROR(IF(OR(PRECIOS!H520="",PRECIOS!H519=""),"",PRECIOS!H520/PRECIOS!H519-1),"")</f>
        <v>0.006734257186</v>
      </c>
      <c r="I520" s="7">
        <f>IFERROR(IF(OR(PRECIOS!I520="",PRECIOS!I519=""),"",PRECIOS!I520/PRECIOS!I519-1),"")</f>
        <v>-0.0001527458614</v>
      </c>
    </row>
    <row r="521" ht="15.75" customHeight="1">
      <c r="A521" s="4">
        <f>IF(PRECIOS!A521="","",PRECIOS!A521)</f>
        <v>45167</v>
      </c>
      <c r="B521" s="7">
        <f>IFERROR(IF(OR(PRECIOS!B521="",PRECIOS!B520=""),"",PRECIOS!B521/PRECIOS!B520-1),"")</f>
        <v>0.005954562111</v>
      </c>
      <c r="C521" s="7">
        <f>IFERROR(IF(OR(PRECIOS!C521="",PRECIOS!C520=""),"",PRECIOS!C521/PRECIOS!C520-1),"")</f>
        <v>0.006458241597</v>
      </c>
      <c r="D521" s="7">
        <f>IFERROR(IF(OR(PRECIOS!D521="",PRECIOS!D520=""),"",PRECIOS!D521/PRECIOS!D520-1),"")</f>
        <v>0.01501501502</v>
      </c>
      <c r="E521" s="7">
        <f>IFERROR(IF(OR(PRECIOS!E521="",PRECIOS!E520=""),"",PRECIOS!E521/PRECIOS!E520-1),"")</f>
        <v>0.008132956153</v>
      </c>
      <c r="F521" s="7">
        <f>IFERROR(IF(OR(PRECIOS!F521="",PRECIOS!F520=""),"",PRECIOS!F521/PRECIOS!F520-1),"")</f>
        <v>-0.004026845638</v>
      </c>
      <c r="G521" s="7">
        <f>IFERROR(IF(OR(PRECIOS!G521="",PRECIOS!G520=""),"",PRECIOS!G521/PRECIOS!G520-1),"")</f>
        <v>0.0002867794666</v>
      </c>
      <c r="H521" s="7">
        <f>IFERROR(IF(OR(PRECIOS!H521="",PRECIOS!H520=""),"",PRECIOS!H521/PRECIOS!H520-1),"")</f>
        <v>0.002721493891</v>
      </c>
      <c r="I521" s="7">
        <f>IFERROR(IF(OR(PRECIOS!I521="",PRECIOS!I520=""),"",PRECIOS!I521/PRECIOS!I520-1),"")</f>
        <v>0.003768306842</v>
      </c>
    </row>
    <row r="522" ht="15.75" customHeight="1">
      <c r="A522" s="4">
        <f>IF(PRECIOS!A522="","",PRECIOS!A522)</f>
        <v>45168</v>
      </c>
      <c r="B522" s="7">
        <f>IFERROR(IF(OR(PRECIOS!B522="",PRECIOS!B521=""),"",PRECIOS!B522/PRECIOS!B521-1),"")</f>
        <v>0.009744103451</v>
      </c>
      <c r="C522" s="7">
        <f>IFERROR(IF(OR(PRECIOS!C522="",PRECIOS!C521=""),"",PRECIOS!C522/PRECIOS!C521-1),"")</f>
        <v>0.000729181858</v>
      </c>
      <c r="D522" s="7">
        <f>IFERROR(IF(OR(PRECIOS!D522="",PRECIOS!D521=""),"",PRECIOS!D522/PRECIOS!D521-1),"")</f>
        <v>0.02991452991</v>
      </c>
      <c r="E522" s="7">
        <f>IFERROR(IF(OR(PRECIOS!E522="",PRECIOS!E521=""),"",PRECIOS!E522/PRECIOS!E521-1),"")</f>
        <v>0.008768853034</v>
      </c>
      <c r="F522" s="7">
        <f>IFERROR(IF(OR(PRECIOS!F522="",PRECIOS!F521=""),"",PRECIOS!F522/PRECIOS!F521-1),"")</f>
        <v>-0.01549865229</v>
      </c>
      <c r="G522" s="7">
        <f>IFERROR(IF(OR(PRECIOS!G522="",PRECIOS!G521=""),"",PRECIOS!G522/PRECIOS!G521-1),"")</f>
        <v>0.003440366972</v>
      </c>
      <c r="H522" s="7">
        <f>IFERROR(IF(OR(PRECIOS!H522="",PRECIOS!H521=""),"",PRECIOS!H522/PRECIOS!H521-1),"")</f>
        <v>0.004978729257</v>
      </c>
      <c r="I522" s="7">
        <f>IFERROR(IF(OR(PRECIOS!I522="",PRECIOS!I521=""),"",PRECIOS!I522/PRECIOS!I521-1),"")</f>
        <v>-0.004542195406</v>
      </c>
    </row>
    <row r="523" ht="15.75" customHeight="1">
      <c r="A523" s="4">
        <f>IF(PRECIOS!A523="","",PRECIOS!A523)</f>
        <v>45169</v>
      </c>
      <c r="B523" s="7">
        <f>IFERROR(IF(OR(PRECIOS!B523="",PRECIOS!B522=""),"",PRECIOS!B523/PRECIOS!B522-1),"")</f>
        <v>0.002795815296</v>
      </c>
      <c r="C523" s="7">
        <f>IFERROR(IF(OR(PRECIOS!C523="",PRECIOS!C522=""),"",PRECIOS!C523/PRECIOS!C522-1),"")</f>
        <v>-0.0129699796</v>
      </c>
      <c r="D523" s="7">
        <f>IFERROR(IF(OR(PRECIOS!D523="",PRECIOS!D522=""),"",PRECIOS!D523/PRECIOS!D522-1),"")</f>
        <v>0.002872646026</v>
      </c>
      <c r="E523" s="7">
        <f>IFERROR(IF(OR(PRECIOS!E523="",PRECIOS!E522=""),"",PRECIOS!E523/PRECIOS!E522-1),"")</f>
        <v>0.001260431154</v>
      </c>
      <c r="F523" s="7">
        <f>IFERROR(IF(OR(PRECIOS!F523="",PRECIOS!F522=""),"",PRECIOS!F523/PRECIOS!F522-1),"")</f>
        <v>-0.01163586585</v>
      </c>
      <c r="G523" s="7">
        <f>IFERROR(IF(OR(PRECIOS!G523="",PRECIOS!G522=""),"",PRECIOS!G523/PRECIOS!G522-1),"")</f>
        <v>-0.01342857143</v>
      </c>
      <c r="H523" s="7">
        <f>IFERROR(IF(OR(PRECIOS!H523="",PRECIOS!H522=""),"",PRECIOS!H523/PRECIOS!H522-1),"")</f>
        <v>0.0006721103532</v>
      </c>
      <c r="I523" s="7">
        <f>IFERROR(IF(OR(PRECIOS!I523="",PRECIOS!I522=""),"",PRECIOS!I523/PRECIOS!I522-1),"")</f>
        <v>-0.009594705245</v>
      </c>
    </row>
    <row r="524" ht="15.75" customHeight="1">
      <c r="A524" s="4">
        <f>IF(PRECIOS!A524="","",PRECIOS!A524)</f>
        <v>45170</v>
      </c>
      <c r="B524" s="7">
        <f>IFERROR(IF(OR(PRECIOS!B524="",PRECIOS!B523=""),"",PRECIOS!B524/PRECIOS!B523-1),"")</f>
        <v>0.02095512186</v>
      </c>
      <c r="C524" s="7">
        <f>IFERROR(IF(OR(PRECIOS!C524="",PRECIOS!C523=""),"",PRECIOS!C524/PRECIOS!C523-1),"")</f>
        <v>-0.007529898125</v>
      </c>
      <c r="D524" s="7">
        <f>IFERROR(IF(OR(PRECIOS!D524="",PRECIOS!D523=""),"",PRECIOS!D524/PRECIOS!D523-1),"")</f>
        <v>0.01177593889</v>
      </c>
      <c r="E524" s="7">
        <f>IFERROR(IF(OR(PRECIOS!E524="",PRECIOS!E523=""),"",PRECIOS!E524/PRECIOS!E523-1),"")</f>
        <v>0.01432478187</v>
      </c>
      <c r="F524" s="7">
        <f>IFERROR(IF(OR(PRECIOS!F524="",PRECIOS!F523=""),"",PRECIOS!F524/PRECIOS!F523-1),"")</f>
        <v>-0.01592797784</v>
      </c>
      <c r="G524" s="7">
        <f>IFERROR(IF(OR(PRECIOS!G524="",PRECIOS!G523=""),"",PRECIOS!G524/PRECIOS!G523-1),"")</f>
        <v>0.004633651897</v>
      </c>
      <c r="H524" s="7">
        <f>IFERROR(IF(OR(PRECIOS!H524="",PRECIOS!H523=""),"",PRECIOS!H524/PRECIOS!H523-1),"")</f>
        <v>0.02046727922</v>
      </c>
      <c r="I524" s="7">
        <f>IFERROR(IF(OR(PRECIOS!I524="",PRECIOS!I523=""),"",PRECIOS!I524/PRECIOS!I523-1),"")</f>
        <v>-0.005080530351</v>
      </c>
    </row>
    <row r="525" ht="15.75" customHeight="1">
      <c r="A525" s="4">
        <f>IF(PRECIOS!A525="","",PRECIOS!A525)</f>
        <v>45174</v>
      </c>
      <c r="B525" s="7">
        <f>IFERROR(IF(OR(PRECIOS!B525="",PRECIOS!B524=""),"",PRECIOS!B525/PRECIOS!B524-1),"")</f>
        <v>0.00008809020437</v>
      </c>
      <c r="C525" s="7">
        <f>IFERROR(IF(OR(PRECIOS!C525="",PRECIOS!C524=""),"",PRECIOS!C525/PRECIOS!C524-1),"")</f>
        <v>-0.01368640286</v>
      </c>
      <c r="D525" s="7">
        <f>IFERROR(IF(OR(PRECIOS!D525="",PRECIOS!D524=""),"",PRECIOS!D525/PRECIOS!D524-1),"")</f>
        <v>0.02233406732</v>
      </c>
      <c r="E525" s="7">
        <f>IFERROR(IF(OR(PRECIOS!E525="",PRECIOS!E524=""),"",PRECIOS!E525/PRECIOS!E524-1),"")</f>
        <v>-0.01754611204</v>
      </c>
      <c r="F525" s="7">
        <f>IFERROR(IF(OR(PRECIOS!F525="",PRECIOS!F524=""),"",PRECIOS!F525/PRECIOS!F524-1),"")</f>
        <v>-0.039408867</v>
      </c>
      <c r="G525" s="7">
        <f>IFERROR(IF(OR(PRECIOS!G525="",PRECIOS!G524=""),"",PRECIOS!G525/PRECIOS!G524-1),"")</f>
        <v>-0.007206687806</v>
      </c>
      <c r="H525" s="7">
        <f>IFERROR(IF(OR(PRECIOS!H525="",PRECIOS!H524=""),"",PRECIOS!H525/PRECIOS!H524-1),"")</f>
        <v>0.005291828421</v>
      </c>
      <c r="I525" s="7">
        <f>IFERROR(IF(OR(PRECIOS!I525="",PRECIOS!I524=""),"",PRECIOS!I525/PRECIOS!I524-1),"")</f>
        <v>-0.01532631782</v>
      </c>
    </row>
    <row r="526" ht="15.75" customHeight="1">
      <c r="A526" s="4">
        <f>IF(PRECIOS!A526="","",PRECIOS!A526)</f>
        <v>45175</v>
      </c>
      <c r="B526" s="7">
        <f>IFERROR(IF(OR(PRECIOS!B526="",PRECIOS!B525=""),"",PRECIOS!B526/PRECIOS!B525-1),"")</f>
        <v>0.008632079627</v>
      </c>
      <c r="C526" s="7">
        <f>IFERROR(IF(OR(PRECIOS!C526="",PRECIOS!C525=""),"",PRECIOS!C526/PRECIOS!C525-1),"")</f>
        <v>-0.000754147813</v>
      </c>
      <c r="D526" s="7">
        <f>IFERROR(IF(OR(PRECIOS!D526="",PRECIOS!D525=""),"",PRECIOS!D526/PRECIOS!D525-1),"")</f>
        <v>0.009538461538</v>
      </c>
      <c r="E526" s="7">
        <f>IFERROR(IF(OR(PRECIOS!E526="",PRECIOS!E525=""),"",PRECIOS!E526/PRECIOS!E525-1),"")</f>
        <v>0.008886178508</v>
      </c>
      <c r="F526" s="7">
        <f>IFERROR(IF(OR(PRECIOS!F526="",PRECIOS!F525=""),"",PRECIOS!F526/PRECIOS!F525-1),"")</f>
        <v>-0.01318681319</v>
      </c>
      <c r="G526" s="7">
        <f>IFERROR(IF(OR(PRECIOS!G526="",PRECIOS!G525=""),"",PRECIOS!G526/PRECIOS!G525-1),"")</f>
        <v>-0.01742160279</v>
      </c>
      <c r="H526" s="7">
        <f>IFERROR(IF(OR(PRECIOS!H526="",PRECIOS!H525=""),"",PRECIOS!H526/PRECIOS!H525-1),"")</f>
        <v>0.0004404499732</v>
      </c>
      <c r="I526" s="7">
        <f>IFERROR(IF(OR(PRECIOS!I526="",PRECIOS!I525=""),"",PRECIOS!I526/PRECIOS!I525-1),"")</f>
        <v>0.002269074407</v>
      </c>
    </row>
    <row r="527" ht="15.75" customHeight="1">
      <c r="A527" s="4">
        <f>IF(PRECIOS!A527="","",PRECIOS!A527)</f>
        <v>45176</v>
      </c>
      <c r="B527" s="7">
        <f>IFERROR(IF(OR(PRECIOS!B527="",PRECIOS!B526=""),"",PRECIOS!B527/PRECIOS!B526-1),"")</f>
        <v>-0.004890402585</v>
      </c>
      <c r="C527" s="7">
        <f>IFERROR(IF(OR(PRECIOS!C527="",PRECIOS!C526=""),"",PRECIOS!C527/PRECIOS!C526-1),"")</f>
        <v>0.01298113208</v>
      </c>
      <c r="D527" s="7">
        <f>IFERROR(IF(OR(PRECIOS!D527="",PRECIOS!D526=""),"",PRECIOS!D527/PRECIOS!D526-1),"")</f>
        <v>0.01706796708</v>
      </c>
      <c r="E527" s="7">
        <f>IFERROR(IF(OR(PRECIOS!E527="",PRECIOS!E526=""),"",PRECIOS!E527/PRECIOS!E526-1),"")</f>
        <v>0.01381632917</v>
      </c>
      <c r="F527" s="7">
        <f>IFERROR(IF(OR(PRECIOS!F527="",PRECIOS!F526=""),"",PRECIOS!F527/PRECIOS!F526-1),"")</f>
        <v>-0.0282108389</v>
      </c>
      <c r="G527" s="7">
        <f>IFERROR(IF(OR(PRECIOS!G527="",PRECIOS!G526=""),"",PRECIOS!G527/PRECIOS!G526-1),"")</f>
        <v>0.0103427896</v>
      </c>
      <c r="H527" s="7">
        <f>IFERROR(IF(OR(PRECIOS!H527="",PRECIOS!H526=""),"",PRECIOS!H527/PRECIOS!H526-1),"")</f>
        <v>-0.0009923609624</v>
      </c>
      <c r="I527" s="7">
        <f>IFERROR(IF(OR(PRECIOS!I527="",PRECIOS!I526=""),"",PRECIOS!I527/PRECIOS!I526-1),"")</f>
        <v>0.01310498311</v>
      </c>
    </row>
    <row r="528" ht="15.75" customHeight="1">
      <c r="A528" s="4">
        <f>IF(PRECIOS!A528="","",PRECIOS!A528)</f>
        <v>45177</v>
      </c>
      <c r="B528" s="7">
        <f>IFERROR(IF(OR(PRECIOS!B528="",PRECIOS!B527=""),"",PRECIOS!B528/PRECIOS!B527-1),"")</f>
        <v>0.01456779289</v>
      </c>
      <c r="C528" s="7">
        <f>IFERROR(IF(OR(PRECIOS!C528="",PRECIOS!C527=""),"",PRECIOS!C528/PRECIOS!C527-1),"")</f>
        <v>0.01221874534</v>
      </c>
      <c r="D528" s="7">
        <f>IFERROR(IF(OR(PRECIOS!D528="",PRECIOS!D527=""),"",PRECIOS!D528/PRECIOS!D527-1),"")</f>
        <v>0.02067725502</v>
      </c>
      <c r="E528" s="7">
        <f>IFERROR(IF(OR(PRECIOS!E528="",PRECIOS!E527=""),"",PRECIOS!E528/PRECIOS!E527-1),"")</f>
        <v>0.005621566373</v>
      </c>
      <c r="F528" s="7">
        <f>IFERROR(IF(OR(PRECIOS!F528="",PRECIOS!F527=""),"",PRECIOS!F528/PRECIOS!F527-1),"")</f>
        <v>-0.03284950344</v>
      </c>
      <c r="G528" s="7">
        <f>IFERROR(IF(OR(PRECIOS!G528="",PRECIOS!G527=""),"",PRECIOS!G528/PRECIOS!G527-1),"")</f>
        <v>-0.01082187774</v>
      </c>
      <c r="H528" s="7">
        <f>IFERROR(IF(OR(PRECIOS!H528="",PRECIOS!H527=""),"",PRECIOS!H528/PRECIOS!H527-1),"")</f>
        <v>0.009654758417</v>
      </c>
      <c r="I528" s="7">
        <f>IFERROR(IF(OR(PRECIOS!I528="",PRECIOS!I527=""),"",PRECIOS!I528/PRECIOS!I527-1),"")</f>
        <v>0.008783424949</v>
      </c>
    </row>
    <row r="529" ht="15.75" customHeight="1">
      <c r="A529" s="4">
        <f>IF(PRECIOS!A529="","",PRECIOS!A529)</f>
        <v>45180</v>
      </c>
      <c r="B529" s="7">
        <f>IFERROR(IF(OR(PRECIOS!B529="",PRECIOS!B528=""),"",PRECIOS!B529/PRECIOS!B528-1),"")</f>
        <v>-0.01254216763</v>
      </c>
      <c r="C529" s="7">
        <f>IFERROR(IF(OR(PRECIOS!C529="",PRECIOS!C528=""),"",PRECIOS!C529/PRECIOS!C528-1),"")</f>
        <v>0.002944207272</v>
      </c>
      <c r="D529" s="7">
        <f>IFERROR(IF(OR(PRECIOS!D529="",PRECIOS!D528=""),"",PRECIOS!D529/PRECIOS!D528-1),"")</f>
        <v>-0.01086318262</v>
      </c>
      <c r="E529" s="7">
        <f>IFERROR(IF(OR(PRECIOS!E529="",PRECIOS!E528=""),"",PRECIOS!E529/PRECIOS!E528-1),"")</f>
        <v>0.008088764664</v>
      </c>
      <c r="F529" s="7">
        <f>IFERROR(IF(OR(PRECIOS!F529="",PRECIOS!F528=""),"",PRECIOS!F529/PRECIOS!F528-1),"")</f>
        <v>-0.04660347551</v>
      </c>
      <c r="G529" s="7">
        <f>IFERROR(IF(OR(PRECIOS!G529="",PRECIOS!G528=""),"",PRECIOS!G529/PRECIOS!G528-1),"")</f>
        <v>-0.003843879361</v>
      </c>
      <c r="H529" s="7">
        <f>IFERROR(IF(OR(PRECIOS!H529="",PRECIOS!H528=""),"",PRECIOS!H529/PRECIOS!H528-1),"")</f>
        <v>-0.01314156557</v>
      </c>
      <c r="I529" s="7">
        <f>IFERROR(IF(OR(PRECIOS!I529="",PRECIOS!I528=""),"",PRECIOS!I529/PRECIOS!I528-1),"")</f>
        <v>0.00411246902</v>
      </c>
    </row>
    <row r="530" ht="15.75" customHeight="1">
      <c r="A530" s="4">
        <f>IF(PRECIOS!A530="","",PRECIOS!A530)</f>
        <v>45181</v>
      </c>
      <c r="B530" s="7">
        <f>IFERROR(IF(OR(PRECIOS!B530="",PRECIOS!B529=""),"",PRECIOS!B530/PRECIOS!B529-1),"")</f>
        <v>0.02916958655</v>
      </c>
      <c r="C530" s="7">
        <f>IFERROR(IF(OR(PRECIOS!C530="",PRECIOS!C529=""),"",PRECIOS!C530/PRECIOS!C529-1),"")</f>
        <v>0.006898576251</v>
      </c>
      <c r="D530" s="7">
        <f>IFERROR(IF(OR(PRECIOS!D530="",PRECIOS!D529=""),"",PRECIOS!D530/PRECIOS!D529-1),"")</f>
        <v>0.0002968239834</v>
      </c>
      <c r="E530" s="7">
        <f>IFERROR(IF(OR(PRECIOS!E530="",PRECIOS!E529=""),"",PRECIOS!E530/PRECIOS!E529-1),"")</f>
        <v>-0.04259788271</v>
      </c>
      <c r="F530" s="7">
        <f>IFERROR(IF(OR(PRECIOS!F530="",PRECIOS!F529=""),"",PRECIOS!F530/PRECIOS!F529-1),"")</f>
        <v>0.03148301574</v>
      </c>
      <c r="G530" s="7">
        <f>IFERROR(IF(OR(PRECIOS!G530="",PRECIOS!G529=""),"",PRECIOS!G530/PRECIOS!G529-1),"")</f>
        <v>0.01395072722</v>
      </c>
      <c r="H530" s="7">
        <f>IFERROR(IF(OR(PRECIOS!H530="",PRECIOS!H529=""),"",PRECIOS!H530/PRECIOS!H529-1),"")</f>
        <v>0.0235538257</v>
      </c>
      <c r="I530" s="7">
        <f>IFERROR(IF(OR(PRECIOS!I530="",PRECIOS!I529=""),"",PRECIOS!I530/PRECIOS!I529-1),"")</f>
        <v>0.00126307332</v>
      </c>
    </row>
    <row r="531" ht="15.75" customHeight="1">
      <c r="A531" s="4">
        <f>IF(PRECIOS!A531="","",PRECIOS!A531)</f>
        <v>45182</v>
      </c>
      <c r="B531" s="7">
        <f>IFERROR(IF(OR(PRECIOS!B531="",PRECIOS!B530=""),"",PRECIOS!B531/PRECIOS!B530-1),"")</f>
        <v>-0.008936930803</v>
      </c>
      <c r="C531" s="7">
        <f>IFERROR(IF(OR(PRECIOS!C531="",PRECIOS!C530=""),"",PRECIOS!C531/PRECIOS!C530-1),"")</f>
        <v>0.01311953353</v>
      </c>
      <c r="D531" s="7">
        <f>IFERROR(IF(OR(PRECIOS!D531="",PRECIOS!D530=""),"",PRECIOS!D531/PRECIOS!D530-1),"")</f>
        <v>-0.01543026706</v>
      </c>
      <c r="E531" s="7">
        <f>IFERROR(IF(OR(PRECIOS!E531="",PRECIOS!E530=""),"",PRECIOS!E531/PRECIOS!E530-1),"")</f>
        <v>-0.02847740237</v>
      </c>
      <c r="F531" s="7">
        <f>IFERROR(IF(OR(PRECIOS!F531="",PRECIOS!F530=""),"",PRECIOS!F531/PRECIOS!F530-1),"")</f>
        <v>0.0313253012</v>
      </c>
      <c r="G531" s="7">
        <f>IFERROR(IF(OR(PRECIOS!G531="",PRECIOS!G530=""),"",PRECIOS!G531/PRECIOS!G530-1),"")</f>
        <v>0.002927400468</v>
      </c>
      <c r="H531" s="7">
        <f>IFERROR(IF(OR(PRECIOS!H531="",PRECIOS!H530=""),"",PRECIOS!H531/PRECIOS!H530-1),"")</f>
        <v>-0.007525786681</v>
      </c>
      <c r="I531" s="7">
        <f>IFERROR(IF(OR(PRECIOS!I531="",PRECIOS!I530=""),"",PRECIOS!I531/PRECIOS!I530-1),"")</f>
        <v>0.01196195839</v>
      </c>
    </row>
    <row r="532" ht="15.75" customHeight="1">
      <c r="A532" s="4">
        <f>IF(PRECIOS!A532="","",PRECIOS!A532)</f>
        <v>45183</v>
      </c>
      <c r="B532" s="7">
        <f>IFERROR(IF(OR(PRECIOS!B532="",PRECIOS!B531=""),"",PRECIOS!B532/PRECIOS!B531-1),"")</f>
        <v>0.01786327722</v>
      </c>
      <c r="C532" s="7">
        <f>IFERROR(IF(OR(PRECIOS!C532="",PRECIOS!C531=""),"",PRECIOS!C532/PRECIOS!C531-1),"")</f>
        <v>0.02014388489</v>
      </c>
      <c r="D532" s="7">
        <f>IFERROR(IF(OR(PRECIOS!D532="",PRECIOS!D531=""),"",PRECIOS!D532/PRECIOS!D531-1),"")</f>
        <v>-0.004219409283</v>
      </c>
      <c r="E532" s="7">
        <f>IFERROR(IF(OR(PRECIOS!E532="",PRECIOS!E531=""),"",PRECIOS!E532/PRECIOS!E531-1),"")</f>
        <v>0.003342215799</v>
      </c>
      <c r="F532" s="7">
        <f>IFERROR(IF(OR(PRECIOS!F532="",PRECIOS!F531=""),"",PRECIOS!F532/PRECIOS!F531-1),"")</f>
        <v>0.007009345794</v>
      </c>
      <c r="G532" s="7">
        <f>IFERROR(IF(OR(PRECIOS!G532="",PRECIOS!G531=""),"",PRECIOS!G532/PRECIOS!G531-1),"")</f>
        <v>0.01342673672</v>
      </c>
      <c r="H532" s="7">
        <f>IFERROR(IF(OR(PRECIOS!H532="",PRECIOS!H531=""),"",PRECIOS!H532/PRECIOS!H531-1),"")</f>
        <v>0.01170141161</v>
      </c>
      <c r="I532" s="7">
        <f>IFERROR(IF(OR(PRECIOS!I532="",PRECIOS!I531=""),"",PRECIOS!I532/PRECIOS!I531-1),"")</f>
        <v>0.01462618063</v>
      </c>
    </row>
    <row r="533" ht="15.75" customHeight="1">
      <c r="A533" s="4">
        <f>IF(PRECIOS!A533="","",PRECIOS!A533)</f>
        <v>45184</v>
      </c>
      <c r="B533" s="7">
        <f>IFERROR(IF(OR(PRECIOS!B533="",PRECIOS!B532=""),"",PRECIOS!B533/PRECIOS!B532-1),"")</f>
        <v>-0.01535605805</v>
      </c>
      <c r="C533" s="7">
        <f>IFERROR(IF(OR(PRECIOS!C533="",PRECIOS!C532=""),"",PRECIOS!C533/PRECIOS!C532-1),"")</f>
        <v>0.002679830748</v>
      </c>
      <c r="D533" s="7">
        <f>IFERROR(IF(OR(PRECIOS!D533="",PRECIOS!D532=""),"",PRECIOS!D533/PRECIOS!D532-1),"")</f>
        <v>-0.003934624697</v>
      </c>
      <c r="E533" s="7">
        <f>IFERROR(IF(OR(PRECIOS!E533="",PRECIOS!E532=""),"",PRECIOS!E533/PRECIOS!E532-1),"")</f>
        <v>-0.02030159802</v>
      </c>
      <c r="F533" s="7">
        <f>IFERROR(IF(OR(PRECIOS!F533="",PRECIOS!F532=""),"",PRECIOS!F533/PRECIOS!F532-1),"")</f>
        <v>-0.01701469451</v>
      </c>
      <c r="G533" s="7">
        <f>IFERROR(IF(OR(PRECIOS!G533="",PRECIOS!G532=""),"",PRECIOS!G533/PRECIOS!G532-1),"")</f>
        <v>-0.01094470046</v>
      </c>
      <c r="H533" s="7">
        <f>IFERROR(IF(OR(PRECIOS!H533="",PRECIOS!H532=""),"",PRECIOS!H533/PRECIOS!H532-1),"")</f>
        <v>-0.01445991653</v>
      </c>
      <c r="I533" s="7">
        <f>IFERROR(IF(OR(PRECIOS!I533="",PRECIOS!I532=""),"",PRECIOS!I533/PRECIOS!I532-1),"")</f>
        <v>-0.004295128655</v>
      </c>
    </row>
    <row r="534" ht="15.75" customHeight="1">
      <c r="A534" s="4">
        <f>IF(PRECIOS!A534="","",PRECIOS!A534)</f>
        <v>45187</v>
      </c>
      <c r="B534" s="7">
        <f>IFERROR(IF(OR(PRECIOS!B534="",PRECIOS!B533=""),"",PRECIOS!B534/PRECIOS!B533-1),"")</f>
        <v>0.008054841474</v>
      </c>
      <c r="C534" s="7">
        <f>IFERROR(IF(OR(PRECIOS!C534="",PRECIOS!C533=""),"",PRECIOS!C534/PRECIOS!C533-1),"")</f>
        <v>-0.001969334646</v>
      </c>
      <c r="D534" s="7">
        <f>IFERROR(IF(OR(PRECIOS!D534="",PRECIOS!D533=""),"",PRECIOS!D534/PRECIOS!D533-1),"")</f>
        <v>0.01762382255</v>
      </c>
      <c r="E534" s="7">
        <f>IFERROR(IF(OR(PRECIOS!E534="",PRECIOS!E533=""),"",PRECIOS!E534/PRECIOS!E533-1),"")</f>
        <v>0.006938062856</v>
      </c>
      <c r="F534" s="7">
        <f>IFERROR(IF(OR(PRECIOS!F534="",PRECIOS!F533=""),"",PRECIOS!F534/PRECIOS!F533-1),"")</f>
        <v>0.02911093627</v>
      </c>
      <c r="G534" s="7">
        <f>IFERROR(IF(OR(PRECIOS!G534="",PRECIOS!G533=""),"",PRECIOS!G534/PRECIOS!G533-1),"")</f>
        <v>0.00262085032</v>
      </c>
      <c r="H534" s="7">
        <f>IFERROR(IF(OR(PRECIOS!H534="",PRECIOS!H533=""),"",PRECIOS!H534/PRECIOS!H533-1),"")</f>
        <v>0.008469015394</v>
      </c>
      <c r="I534" s="7">
        <f>IFERROR(IF(OR(PRECIOS!I534="",PRECIOS!I533=""),"",PRECIOS!I534/PRECIOS!I533-1),"")</f>
        <v>-0.000748321266</v>
      </c>
    </row>
    <row r="535" ht="15.75" customHeight="1">
      <c r="A535" s="4">
        <f>IF(PRECIOS!A535="","",PRECIOS!A535)</f>
        <v>45188</v>
      </c>
      <c r="B535" s="7">
        <f>IFERROR(IF(OR(PRECIOS!B535="",PRECIOS!B534=""),"",PRECIOS!B535/PRECIOS!B534-1),"")</f>
        <v>-0.002635158109</v>
      </c>
      <c r="C535" s="7">
        <f>IFERROR(IF(OR(PRECIOS!C535="",PRECIOS!C534=""),"",PRECIOS!C535/PRECIOS!C534-1),"")</f>
        <v>-0.000563777308</v>
      </c>
      <c r="D535" s="7">
        <f>IFERROR(IF(OR(PRECIOS!D535="",PRECIOS!D534=""),"",PRECIOS!D535/PRECIOS!D534-1),"")</f>
        <v>-0.01015228426</v>
      </c>
      <c r="E535" s="7">
        <f>IFERROR(IF(OR(PRECIOS!E535="",PRECIOS!E534=""),"",PRECIOS!E535/PRECIOS!E534-1),"")</f>
        <v>-0.01364362309</v>
      </c>
      <c r="F535" s="7">
        <f>IFERROR(IF(OR(PRECIOS!F535="",PRECIOS!F534=""),"",PRECIOS!F535/PRECIOS!F534-1),"")</f>
        <v>-0.01070336391</v>
      </c>
      <c r="G535" s="7">
        <f>IFERROR(IF(OR(PRECIOS!G535="",PRECIOS!G534=""),"",PRECIOS!G535/PRECIOS!G534-1),"")</f>
        <v>-0.004066221319</v>
      </c>
      <c r="H535" s="7">
        <f>IFERROR(IF(OR(PRECIOS!H535="",PRECIOS!H534=""),"",PRECIOS!H535/PRECIOS!H534-1),"")</f>
        <v>-0.009334113517</v>
      </c>
      <c r="I535" s="7">
        <f>IFERROR(IF(OR(PRECIOS!I535="",PRECIOS!I534=""),"",PRECIOS!I535/PRECIOS!I534-1),"")</f>
        <v>-0.005441873469</v>
      </c>
    </row>
    <row r="536" ht="15.75" customHeight="1">
      <c r="A536" s="4">
        <f>IF(PRECIOS!A536="","",PRECIOS!A536)</f>
        <v>45189</v>
      </c>
      <c r="B536" s="7">
        <f>IFERROR(IF(OR(PRECIOS!B536="",PRECIOS!B535=""),"",PRECIOS!B536/PRECIOS!B535-1),"")</f>
        <v>-0.007926361544</v>
      </c>
      <c r="C536" s="7">
        <f>IFERROR(IF(OR(PRECIOS!C536="",PRECIOS!C535=""),"",PRECIOS!C536/PRECIOS!C535-1),"")</f>
        <v>0.004089691158</v>
      </c>
      <c r="D536" s="7">
        <f>IFERROR(IF(OR(PRECIOS!D536="",PRECIOS!D535=""),"",PRECIOS!D536/PRECIOS!D535-1),"")</f>
        <v>-0.02443438914</v>
      </c>
      <c r="E536" s="7">
        <f>IFERROR(IF(OR(PRECIOS!E536="",PRECIOS!E535=""),"",PRECIOS!E536/PRECIOS!E535-1),"")</f>
        <v>-0.006985566247</v>
      </c>
      <c r="F536" s="7">
        <f>IFERROR(IF(OR(PRECIOS!F536="",PRECIOS!F535=""),"",PRECIOS!F536/PRECIOS!F535-1),"")</f>
        <v>-0.01159196291</v>
      </c>
      <c r="G536" s="7">
        <f>IFERROR(IF(OR(PRECIOS!G536="",PRECIOS!G535=""),"",PRECIOS!G536/PRECIOS!G535-1),"")</f>
        <v>0</v>
      </c>
      <c r="H536" s="7">
        <f>IFERROR(IF(OR(PRECIOS!H536="",PRECIOS!H535=""),"",PRECIOS!H536/PRECIOS!H535-1),"")</f>
        <v>-0.009315742968</v>
      </c>
      <c r="I536" s="7">
        <f>IFERROR(IF(OR(PRECIOS!I536="",PRECIOS!I535=""),"",PRECIOS!I536/PRECIOS!I535-1),"")</f>
        <v>0.0009403874664</v>
      </c>
    </row>
    <row r="537" ht="15.75" customHeight="1">
      <c r="A537" s="4">
        <f>IF(PRECIOS!A537="","",PRECIOS!A537)</f>
        <v>45190</v>
      </c>
      <c r="B537" s="7">
        <f>IFERROR(IF(OR(PRECIOS!B537="",PRECIOS!B536=""),"",PRECIOS!B537/PRECIOS!B536-1),"")</f>
        <v>-0.01408934708</v>
      </c>
      <c r="C537" s="7">
        <f>IFERROR(IF(OR(PRECIOS!C537="",PRECIOS!C536=""),"",PRECIOS!C537/PRECIOS!C536-1),"")</f>
        <v>-0.01825842697</v>
      </c>
      <c r="D537" s="7">
        <f>IFERROR(IF(OR(PRECIOS!D537="",PRECIOS!D536=""),"",PRECIOS!D537/PRECIOS!D536-1),"")</f>
        <v>0.03432282004</v>
      </c>
      <c r="E537" s="7">
        <f>IFERROR(IF(OR(PRECIOS!E537="",PRECIOS!E536=""),"",PRECIOS!E537/PRECIOS!E536-1),"")</f>
        <v>-0.01863498719</v>
      </c>
      <c r="F537" s="7">
        <f>IFERROR(IF(OR(PRECIOS!F537="",PRECIOS!F536=""),"",PRECIOS!F537/PRECIOS!F536-1),"")</f>
        <v>0.02580140735</v>
      </c>
      <c r="G537" s="7">
        <f>IFERROR(IF(OR(PRECIOS!G537="",PRECIOS!G536=""),"",PRECIOS!G537/PRECIOS!G536-1),"")</f>
        <v>-0.02449693788</v>
      </c>
      <c r="H537" s="7">
        <f>IFERROR(IF(OR(PRECIOS!H537="",PRECIOS!H536=""),"",PRECIOS!H537/PRECIOS!H536-1),"")</f>
        <v>-0.01371748001</v>
      </c>
      <c r="I537" s="7">
        <f>IFERROR(IF(OR(PRECIOS!I537="",PRECIOS!I536=""),"",PRECIOS!I537/PRECIOS!I536-1),"")</f>
        <v>-0.01045825058</v>
      </c>
    </row>
    <row r="538" ht="15.75" customHeight="1">
      <c r="A538" s="4">
        <f>IF(PRECIOS!A538="","",PRECIOS!A538)</f>
        <v>45191</v>
      </c>
      <c r="B538" s="7">
        <f>IFERROR(IF(OR(PRECIOS!B538="",PRECIOS!B537=""),"",PRECIOS!B538/PRECIOS!B537-1),"")</f>
        <v>0.001568490763</v>
      </c>
      <c r="C538" s="7">
        <f>IFERROR(IF(OR(PRECIOS!C538="",PRECIOS!C537=""),"",PRECIOS!C538/PRECIOS!C537-1),"")</f>
        <v>-0.007582260372</v>
      </c>
      <c r="D538" s="7">
        <f>IFERROR(IF(OR(PRECIOS!D538="",PRECIOS!D537=""),"",PRECIOS!D538/PRECIOS!D537-1),"")</f>
        <v>-0.00687593423</v>
      </c>
      <c r="E538" s="7">
        <f>IFERROR(IF(OR(PRECIOS!E538="",PRECIOS!E537=""),"",PRECIOS!E538/PRECIOS!E537-1),"")</f>
        <v>0.009541894137</v>
      </c>
      <c r="F538" s="7">
        <f>IFERROR(IF(OR(PRECIOS!F538="",PRECIOS!F537=""),"",PRECIOS!F538/PRECIOS!F537-1),"")</f>
        <v>-0.01905487805</v>
      </c>
      <c r="G538" s="7">
        <f>IFERROR(IF(OR(PRECIOS!G538="",PRECIOS!G537=""),"",PRECIOS!G538/PRECIOS!G537-1),"")</f>
        <v>0.005082212257</v>
      </c>
      <c r="H538" s="7">
        <f>IFERROR(IF(OR(PRECIOS!H538="",PRECIOS!H537=""),"",PRECIOS!H538/PRECIOS!H537-1),"")</f>
        <v>0.001680501587</v>
      </c>
      <c r="I538" s="7">
        <f>IFERROR(IF(OR(PRECIOS!I538="",PRECIOS!I537=""),"",PRECIOS!I538/PRECIOS!I537-1),"")</f>
        <v>-0.001895487995</v>
      </c>
    </row>
    <row r="539" ht="15.75" customHeight="1">
      <c r="A539" s="4">
        <f>IF(PRECIOS!A539="","",PRECIOS!A539)</f>
        <v>45194</v>
      </c>
      <c r="B539" s="7">
        <f>IFERROR(IF(OR(PRECIOS!B539="",PRECIOS!B538=""),"",PRECIOS!B539/PRECIOS!B538-1),"")</f>
        <v>0.01122324691</v>
      </c>
      <c r="C539" s="7">
        <f>IFERROR(IF(OR(PRECIOS!C539="",PRECIOS!C538=""),"",PRECIOS!C539/PRECIOS!C538-1),"")</f>
        <v>-0.001153236269</v>
      </c>
      <c r="D539" s="7">
        <f>IFERROR(IF(OR(PRECIOS!D539="",PRECIOS!D538=""),"",PRECIOS!D539/PRECIOS!D538-1),"")</f>
        <v>0.01324503311</v>
      </c>
      <c r="E539" s="7">
        <f>IFERROR(IF(OR(PRECIOS!E539="",PRECIOS!E538=""),"",PRECIOS!E539/PRECIOS!E538-1),"")</f>
        <v>0.01523558732</v>
      </c>
      <c r="F539" s="7">
        <f>IFERROR(IF(OR(PRECIOS!F539="",PRECIOS!F538=""),"",PRECIOS!F539/PRECIOS!F538-1),"")</f>
        <v>-0.02253302253</v>
      </c>
      <c r="G539" s="7">
        <f>IFERROR(IF(OR(PRECIOS!G539="",PRECIOS!G538=""),"",PRECIOS!G539/PRECIOS!G538-1),"")</f>
        <v>0.01011302796</v>
      </c>
      <c r="H539" s="7">
        <f>IFERROR(IF(OR(PRECIOS!H539="",PRECIOS!H538=""),"",PRECIOS!H539/PRECIOS!H538-1),"")</f>
        <v>0.01254278693</v>
      </c>
      <c r="I539" s="7">
        <f>IFERROR(IF(OR(PRECIOS!I539="",PRECIOS!I538=""),"",PRECIOS!I539/PRECIOS!I538-1),"")</f>
        <v>-0.001415006516</v>
      </c>
    </row>
    <row r="540" ht="15.75" customHeight="1">
      <c r="A540" s="4">
        <f>IF(PRECIOS!A540="","",PRECIOS!A540)</f>
        <v>45195</v>
      </c>
      <c r="B540" s="7">
        <f>IFERROR(IF(OR(PRECIOS!B540="",PRECIOS!B539=""),"",PRECIOS!B540/PRECIOS!B539-1),"")</f>
        <v>0.001548653532</v>
      </c>
      <c r="C540" s="7">
        <f>IFERROR(IF(OR(PRECIOS!C540="",PRECIOS!C539=""),"",PRECIOS!C540/PRECIOS!C539-1),"")</f>
        <v>-0.03146197142</v>
      </c>
      <c r="D540" s="7">
        <f>IFERROR(IF(OR(PRECIOS!D540="",PRECIOS!D539=""),"",PRECIOS!D540/PRECIOS!D539-1),"")</f>
        <v>-0.01990493167</v>
      </c>
      <c r="E540" s="7">
        <f>IFERROR(IF(OR(PRECIOS!E540="",PRECIOS!E539=""),"",PRECIOS!E540/PRECIOS!E539-1),"")</f>
        <v>-0.02237146827</v>
      </c>
      <c r="F540" s="7">
        <f>IFERROR(IF(OR(PRECIOS!F540="",PRECIOS!F539=""),"",PRECIOS!F540/PRECIOS!F539-1),"")</f>
        <v>-0.02941176471</v>
      </c>
      <c r="G540" s="7">
        <f>IFERROR(IF(OR(PRECIOS!G540="",PRECIOS!G539=""),"",PRECIOS!G540/PRECIOS!G539-1),"")</f>
        <v>-0.01118963486</v>
      </c>
      <c r="H540" s="7">
        <f>IFERROR(IF(OR(PRECIOS!H540="",PRECIOS!H539=""),"",PRECIOS!H540/PRECIOS!H539-1),"")</f>
        <v>-0.005750277739</v>
      </c>
      <c r="I540" s="7">
        <f>IFERROR(IF(OR(PRECIOS!I540="",PRECIOS!I539=""),"",PRECIOS!I540/PRECIOS!I539-1),"")</f>
        <v>-0.02990640266</v>
      </c>
    </row>
    <row r="541" ht="15.75" customHeight="1">
      <c r="A541" s="4">
        <f>IF(PRECIOS!A541="","",PRECIOS!A541)</f>
        <v>45196</v>
      </c>
      <c r="B541" s="7">
        <f>IFERROR(IF(OR(PRECIOS!B541="",PRECIOS!B540=""),"",PRECIOS!B541/PRECIOS!B540-1),"")</f>
        <v>0.03255734043</v>
      </c>
      <c r="C541" s="7">
        <f>IFERROR(IF(OR(PRECIOS!C541="",PRECIOS!C540=""),"",PRECIOS!C541/PRECIOS!C540-1),"")</f>
        <v>-0.01445388169</v>
      </c>
      <c r="D541" s="7">
        <f>IFERROR(IF(OR(PRECIOS!D541="",PRECIOS!D540=""),"",PRECIOS!D541/PRECIOS!D540-1),"")</f>
        <v>0.01000303122</v>
      </c>
      <c r="E541" s="7">
        <f>IFERROR(IF(OR(PRECIOS!E541="",PRECIOS!E540=""),"",PRECIOS!E541/PRECIOS!E540-1),"")</f>
        <v>0.01558724594</v>
      </c>
      <c r="F541" s="7">
        <f>IFERROR(IF(OR(PRECIOS!F541="",PRECIOS!F540=""),"",PRECIOS!F541/PRECIOS!F540-1),"")</f>
        <v>0.03931203931</v>
      </c>
      <c r="G541" s="7">
        <f>IFERROR(IF(OR(PRECIOS!G541="",PRECIOS!G540=""),"",PRECIOS!G541/PRECIOS!G540-1),"")</f>
        <v>0.01548540798</v>
      </c>
      <c r="H541" s="7">
        <f>IFERROR(IF(OR(PRECIOS!H541="",PRECIOS!H540=""),"",PRECIOS!H541/PRECIOS!H540-1),"")</f>
        <v>0.02491331891</v>
      </c>
      <c r="I541" s="7">
        <f>IFERROR(IF(OR(PRECIOS!I541="",PRECIOS!I540=""),"",PRECIOS!I541/PRECIOS!I540-1),"")</f>
        <v>-0.01924414237</v>
      </c>
    </row>
    <row r="542" ht="15.75" customHeight="1">
      <c r="A542" s="4">
        <f>IF(PRECIOS!A542="","",PRECIOS!A542)</f>
        <v>45197</v>
      </c>
      <c r="B542" s="7">
        <f>IFERROR(IF(OR(PRECIOS!B542="",PRECIOS!B541=""),"",PRECIOS!B542/PRECIOS!B541-1),"")</f>
        <v>-0.006073211314</v>
      </c>
      <c r="C542" s="7">
        <f>IFERROR(IF(OR(PRECIOS!C542="",PRECIOS!C541=""),"",PRECIOS!C542/PRECIOS!C541-1),"")</f>
        <v>-0.01617780466</v>
      </c>
      <c r="D542" s="7">
        <f>IFERROR(IF(OR(PRECIOS!D542="",PRECIOS!D541=""),"",PRECIOS!D542/PRECIOS!D541-1),"")</f>
        <v>0.003301320528</v>
      </c>
      <c r="E542" s="7">
        <f>IFERROR(IF(OR(PRECIOS!E542="",PRECIOS!E541=""),"",PRECIOS!E542/PRECIOS!E541-1),"")</f>
        <v>0.005458107856</v>
      </c>
      <c r="F542" s="7">
        <f>IFERROR(IF(OR(PRECIOS!F542="",PRECIOS!F541=""),"",PRECIOS!F542/PRECIOS!F541-1),"")</f>
        <v>-0.005516154452</v>
      </c>
      <c r="G542" s="7">
        <f>IFERROR(IF(OR(PRECIOS!G542="",PRECIOS!G541=""),"",PRECIOS!G542/PRECIOS!G541-1),"")</f>
        <v>0.009090909091</v>
      </c>
      <c r="H542" s="7">
        <f>IFERROR(IF(OR(PRECIOS!H542="",PRECIOS!H541=""),"",PRECIOS!H542/PRECIOS!H541-1),"")</f>
        <v>0.001085542631</v>
      </c>
      <c r="I542" s="7">
        <f>IFERROR(IF(OR(PRECIOS!I542="",PRECIOS!I541=""),"",PRECIOS!I542/PRECIOS!I541-1),"")</f>
        <v>-0.02162418317</v>
      </c>
    </row>
    <row r="543" ht="15.75" customHeight="1">
      <c r="A543" s="4">
        <f>IF(PRECIOS!A543="","",PRECIOS!A543)</f>
        <v>45198</v>
      </c>
      <c r="B543" s="7">
        <f>IFERROR(IF(OR(PRECIOS!B543="",PRECIOS!B542=""),"",PRECIOS!B543/PRECIOS!B542-1),"")</f>
        <v>-0.0158198711</v>
      </c>
      <c r="C543" s="7">
        <f>IFERROR(IF(OR(PRECIOS!C543="",PRECIOS!C542=""),"",PRECIOS!C543/PRECIOS!C542-1),"")</f>
        <v>-0.005378822806</v>
      </c>
      <c r="D543" s="7">
        <f>IFERROR(IF(OR(PRECIOS!D543="",PRECIOS!D542=""),"",PRECIOS!D543/PRECIOS!D542-1),"")</f>
        <v>-0.007478312893</v>
      </c>
      <c r="E543" s="7">
        <f>IFERROR(IF(OR(PRECIOS!E543="",PRECIOS!E542=""),"",PRECIOS!E543/PRECIOS!E542-1),"")</f>
        <v>-0.01043938199</v>
      </c>
      <c r="F543" s="7">
        <f>IFERROR(IF(OR(PRECIOS!F543="",PRECIOS!F542=""),"",PRECIOS!F543/PRECIOS!F542-1),"")</f>
        <v>-0.029318542</v>
      </c>
      <c r="G543" s="7">
        <f>IFERROR(IF(OR(PRECIOS!G543="",PRECIOS!G542=""),"",PRECIOS!G543/PRECIOS!G542-1),"")</f>
        <v>-0.02092414996</v>
      </c>
      <c r="H543" s="7">
        <f>IFERROR(IF(OR(PRECIOS!H543="",PRECIOS!H542=""),"",PRECIOS!H543/PRECIOS!H542-1),"")</f>
        <v>-0.02016358962</v>
      </c>
      <c r="I543" s="7">
        <f>IFERROR(IF(OR(PRECIOS!I543="",PRECIOS!I542=""),"",PRECIOS!I543/PRECIOS!I542-1),"")</f>
        <v>0.00169708182</v>
      </c>
    </row>
    <row r="544" ht="15.75" customHeight="1">
      <c r="A544" s="4">
        <f>IF(PRECIOS!A544="","",PRECIOS!A544)</f>
        <v>45201</v>
      </c>
      <c r="B544" s="7">
        <f>IFERROR(IF(OR(PRECIOS!B544="",PRECIOS!B543=""),"",PRECIOS!B544/PRECIOS!B543-1),"")</f>
        <v>-0.01658445314</v>
      </c>
      <c r="C544" s="7">
        <f>IFERROR(IF(OR(PRECIOS!C544="",PRECIOS!C543=""),"",PRECIOS!C544/PRECIOS!C543-1),"")</f>
        <v>-0.03105686032</v>
      </c>
      <c r="D544" s="7">
        <f>IFERROR(IF(OR(PRECIOS!D544="",PRECIOS!D543=""),"",PRECIOS!D544/PRECIOS!D543-1),"")</f>
        <v>-0.01959011453</v>
      </c>
      <c r="E544" s="7">
        <f>IFERROR(IF(OR(PRECIOS!E544="",PRECIOS!E543=""),"",PRECIOS!E544/PRECIOS!E543-1),"")</f>
        <v>-0.01425356339</v>
      </c>
      <c r="F544" s="7">
        <f>IFERROR(IF(OR(PRECIOS!F544="",PRECIOS!F543=""),"",PRECIOS!F544/PRECIOS!F543-1),"")</f>
        <v>-0.0106122449</v>
      </c>
      <c r="G544" s="7">
        <f>IFERROR(IF(OR(PRECIOS!G544="",PRECIOS!G543=""),"",PRECIOS!G544/PRECIOS!G543-1),"")</f>
        <v>-0.02255862274</v>
      </c>
      <c r="H544" s="7">
        <f>IFERROR(IF(OR(PRECIOS!H544="",PRECIOS!H543=""),"",PRECIOS!H544/PRECIOS!H543-1),"")</f>
        <v>-0.01991308745</v>
      </c>
      <c r="I544" s="7">
        <f>IFERROR(IF(OR(PRECIOS!I544="",PRECIOS!I543=""),"",PRECIOS!I544/PRECIOS!I543-1),"")</f>
        <v>-0.04649251968</v>
      </c>
    </row>
    <row r="545" ht="15.75" customHeight="1">
      <c r="A545" s="4">
        <f>IF(PRECIOS!A545="","",PRECIOS!A545)</f>
        <v>45202</v>
      </c>
      <c r="B545" s="7">
        <f>IFERROR(IF(OR(PRECIOS!B545="",PRECIOS!B544=""),"",PRECIOS!B545/PRECIOS!B544-1),"")</f>
        <v>0.001729654934</v>
      </c>
      <c r="C545" s="7">
        <f>IFERROR(IF(OR(PRECIOS!C545="",PRECIOS!C544=""),"",PRECIOS!C545/PRECIOS!C544-1),"")</f>
        <v>0.02104927444</v>
      </c>
      <c r="D545" s="7">
        <f>IFERROR(IF(OR(PRECIOS!D545="",PRECIOS!D544=""),"",PRECIOS!D545/PRECIOS!D544-1),"")</f>
        <v>-0.01629265294</v>
      </c>
      <c r="E545" s="7">
        <f>IFERROR(IF(OR(PRECIOS!E545="",PRECIOS!E544=""),"",PRECIOS!E545/PRECIOS!E544-1),"")</f>
        <v>-0.005660197869</v>
      </c>
      <c r="F545" s="7">
        <f>IFERROR(IF(OR(PRECIOS!F545="",PRECIOS!F544=""),"",PRECIOS!F545/PRECIOS!F544-1),"")</f>
        <v>-0.0396039604</v>
      </c>
      <c r="G545" s="7">
        <f>IFERROR(IF(OR(PRECIOS!G545="",PRECIOS!G544=""),"",PRECIOS!G545/PRECIOS!G544-1),"")</f>
        <v>0.001214697844</v>
      </c>
      <c r="H545" s="7">
        <f>IFERROR(IF(OR(PRECIOS!H545="",PRECIOS!H544=""),"",PRECIOS!H545/PRECIOS!H544-1),"")</f>
        <v>-0.0006765257725</v>
      </c>
      <c r="I545" s="7">
        <f>IFERROR(IF(OR(PRECIOS!I545="",PRECIOS!I544=""),"",PRECIOS!I545/PRECIOS!I544-1),"")</f>
        <v>0.01156836354</v>
      </c>
    </row>
    <row r="546" ht="15.75" customHeight="1">
      <c r="A546" s="4">
        <f>IF(PRECIOS!A546="","",PRECIOS!A546)</f>
        <v>45203</v>
      </c>
      <c r="B546" s="7">
        <f>IFERROR(IF(OR(PRECIOS!B546="",PRECIOS!B545=""),"",PRECIOS!B546/PRECIOS!B545-1),"")</f>
        <v>-0.03738237072</v>
      </c>
      <c r="C546" s="7">
        <f>IFERROR(IF(OR(PRECIOS!C546="",PRECIOS!C545=""),"",PRECIOS!C546/PRECIOS!C545-1),"")</f>
        <v>0.009214430736</v>
      </c>
      <c r="D546" s="7">
        <f>IFERROR(IF(OR(PRECIOS!D546="",PRECIOS!D545=""),"",PRECIOS!D546/PRECIOS!D545-1),"")</f>
        <v>-0.0190625</v>
      </c>
      <c r="E546" s="7">
        <f>IFERROR(IF(OR(PRECIOS!E546="",PRECIOS!E545=""),"",PRECIOS!E546/PRECIOS!E545-1),"")</f>
        <v>0.001387227936</v>
      </c>
      <c r="F546" s="7">
        <f>IFERROR(IF(OR(PRECIOS!F546="",PRECIOS!F545=""),"",PRECIOS!F546/PRECIOS!F545-1),"")</f>
        <v>-0.01546391753</v>
      </c>
      <c r="G546" s="7">
        <f>IFERROR(IF(OR(PRECIOS!G546="",PRECIOS!G545=""),"",PRECIOS!G546/PRECIOS!G545-1),"")</f>
        <v>-0.001213224143</v>
      </c>
      <c r="H546" s="7">
        <f>IFERROR(IF(OR(PRECIOS!H546="",PRECIOS!H545=""),"",PRECIOS!H546/PRECIOS!H545-1),"")</f>
        <v>-0.03140425428</v>
      </c>
      <c r="I546" s="7">
        <f>IFERROR(IF(OR(PRECIOS!I546="",PRECIOS!I545=""),"",PRECIOS!I546/PRECIOS!I545-1),"")</f>
        <v>-0.001055404993</v>
      </c>
    </row>
    <row r="547" ht="15.75" customHeight="1">
      <c r="A547" s="4">
        <f>IF(PRECIOS!A547="","",PRECIOS!A547)</f>
        <v>45204</v>
      </c>
      <c r="B547" s="7">
        <f>IFERROR(IF(OR(PRECIOS!B547="",PRECIOS!B546=""),"",PRECIOS!B547/PRECIOS!B546-1),"")</f>
        <v>-0.02251121076</v>
      </c>
      <c r="C547" s="7">
        <f>IFERROR(IF(OR(PRECIOS!C547="",PRECIOS!C546=""),"",PRECIOS!C547/PRECIOS!C546-1),"")</f>
        <v>-0.0004642525534</v>
      </c>
      <c r="D547" s="7">
        <f>IFERROR(IF(OR(PRECIOS!D547="",PRECIOS!D546=""),"",PRECIOS!D547/PRECIOS!D546-1),"")</f>
        <v>0.01401720293</v>
      </c>
      <c r="E547" s="7">
        <f>IFERROR(IF(OR(PRECIOS!E547="",PRECIOS!E546=""),"",PRECIOS!E547/PRECIOS!E546-1),"")</f>
        <v>-0.02942581446</v>
      </c>
      <c r="F547" s="7">
        <f>IFERROR(IF(OR(PRECIOS!F547="",PRECIOS!F546=""),"",PRECIOS!F547/PRECIOS!F546-1),"")</f>
        <v>0.002617801047</v>
      </c>
      <c r="G547" s="7">
        <f>IFERROR(IF(OR(PRECIOS!G547="",PRECIOS!G546=""),"",PRECIOS!G547/PRECIOS!G546-1),"")</f>
        <v>0.01305800182</v>
      </c>
      <c r="H547" s="7">
        <f>IFERROR(IF(OR(PRECIOS!H547="",PRECIOS!H546=""),"",PRECIOS!H547/PRECIOS!H546-1),"")</f>
        <v>-0.006179776693</v>
      </c>
      <c r="I547" s="7">
        <f>IFERROR(IF(OR(PRECIOS!I547="",PRECIOS!I546=""),"",PRECIOS!I547/PRECIOS!I546-1),"")</f>
        <v>-0.005814633557</v>
      </c>
    </row>
    <row r="548" ht="15.75" customHeight="1">
      <c r="A548" s="4">
        <f>IF(PRECIOS!A548="","",PRECIOS!A548)</f>
        <v>45205</v>
      </c>
      <c r="B548" s="7">
        <f>IFERROR(IF(OR(PRECIOS!B548="",PRECIOS!B547=""),"",PRECIOS!B548/PRECIOS!B547-1),"")</f>
        <v>-0.0166987797</v>
      </c>
      <c r="C548" s="7">
        <f>IFERROR(IF(OR(PRECIOS!C548="",PRECIOS!C547=""),"",PRECIOS!C548/PRECIOS!C547-1),"")</f>
        <v>0.005883263663</v>
      </c>
      <c r="D548" s="7">
        <f>IFERROR(IF(OR(PRECIOS!D548="",PRECIOS!D547=""),"",PRECIOS!D548/PRECIOS!D547-1),"")</f>
        <v>-0.009110901665</v>
      </c>
      <c r="E548" s="7">
        <f>IFERROR(IF(OR(PRECIOS!E548="",PRECIOS!E547=""),"",PRECIOS!E548/PRECIOS!E547-1),"")</f>
        <v>0.03450142731</v>
      </c>
      <c r="F548" s="7">
        <f>IFERROR(IF(OR(PRECIOS!F548="",PRECIOS!F547=""),"",PRECIOS!F548/PRECIOS!F547-1),"")</f>
        <v>-0.007832898172</v>
      </c>
      <c r="G548" s="7">
        <f>IFERROR(IF(OR(PRECIOS!G548="",PRECIOS!G547=""),"",PRECIOS!G548/PRECIOS!G547-1),"")</f>
        <v>0.009592326139</v>
      </c>
      <c r="H548" s="7">
        <f>IFERROR(IF(OR(PRECIOS!H548="",PRECIOS!H547=""),"",PRECIOS!H548/PRECIOS!H547-1),"")</f>
        <v>0.005987993655</v>
      </c>
      <c r="I548" s="7">
        <f>IFERROR(IF(OR(PRECIOS!I548="",PRECIOS!I547=""),"",PRECIOS!I548/PRECIOS!I547-1),"")</f>
        <v>0.01417564901</v>
      </c>
    </row>
    <row r="549" ht="15.75" customHeight="1">
      <c r="A549" s="4">
        <f>IF(PRECIOS!A549="","",PRECIOS!A549)</f>
        <v>45208</v>
      </c>
      <c r="B549" s="7">
        <f>IFERROR(IF(OR(PRECIOS!B549="",PRECIOS!B548=""),"",PRECIOS!B549/PRECIOS!B548-1),"")</f>
        <v>0.03499113558</v>
      </c>
      <c r="C549" s="7">
        <f>IFERROR(IF(OR(PRECIOS!C549="",PRECIOS!C548=""),"",PRECIOS!C549/PRECIOS!C548-1),"")</f>
        <v>0.0144682161</v>
      </c>
      <c r="D549" s="7">
        <f>IFERROR(IF(OR(PRECIOS!D549="",PRECIOS!D548=""),"",PRECIOS!D549/PRECIOS!D548-1),"")</f>
        <v>0.00982878884</v>
      </c>
      <c r="E549" s="7">
        <f>IFERROR(IF(OR(PRECIOS!E549="",PRECIOS!E548=""),"",PRECIOS!E549/PRECIOS!E548-1),"")</f>
        <v>0.01470098482</v>
      </c>
      <c r="F549" s="7">
        <f>IFERROR(IF(OR(PRECIOS!F549="",PRECIOS!F548=""),"",PRECIOS!F549/PRECIOS!F548-1),"")</f>
        <v>0.05</v>
      </c>
      <c r="G549" s="7">
        <f>IFERROR(IF(OR(PRECIOS!G549="",PRECIOS!G548=""),"",PRECIOS!G549/PRECIOS!G548-1),"")</f>
        <v>0.02019002375</v>
      </c>
      <c r="H549" s="7">
        <f>IFERROR(IF(OR(PRECIOS!H549="",PRECIOS!H548=""),"",PRECIOS!H549/PRECIOS!H548-1),"")</f>
        <v>0.03335780998</v>
      </c>
      <c r="I549" s="7">
        <f>IFERROR(IF(OR(PRECIOS!I549="",PRECIOS!I548=""),"",PRECIOS!I549/PRECIOS!I548-1),"")</f>
        <v>0.009954530996</v>
      </c>
    </row>
    <row r="550" ht="15.75" customHeight="1">
      <c r="A550" s="4">
        <f>IF(PRECIOS!A550="","",PRECIOS!A550)</f>
        <v>45209</v>
      </c>
      <c r="B550" s="7">
        <f>IFERROR(IF(OR(PRECIOS!B550="",PRECIOS!B549=""),"",PRECIOS!B550/PRECIOS!B549-1),"")</f>
        <v>-0.004237288136</v>
      </c>
      <c r="C550" s="7">
        <f>IFERROR(IF(OR(PRECIOS!C550="",PRECIOS!C549=""),"",PRECIOS!C550/PRECIOS!C549-1),"")</f>
        <v>0.008041268396</v>
      </c>
      <c r="D550" s="7">
        <f>IFERROR(IF(OR(PRECIOS!D550="",PRECIOS!D549=""),"",PRECIOS!D550/PRECIOS!D549-1),"")</f>
        <v>0.007849293564</v>
      </c>
      <c r="E550" s="7">
        <f>IFERROR(IF(OR(PRECIOS!E550="",PRECIOS!E549=""),"",PRECIOS!E550/PRECIOS!E549-1),"")</f>
        <v>-0.0001875468867</v>
      </c>
      <c r="F550" s="7">
        <f>IFERROR(IF(OR(PRECIOS!F550="",PRECIOS!F549=""),"",PRECIOS!F550/PRECIOS!F549-1),"")</f>
        <v>0.009189640769</v>
      </c>
      <c r="G550" s="7">
        <f>IFERROR(IF(OR(PRECIOS!G550="",PRECIOS!G549=""),"",PRECIOS!G550/PRECIOS!G549-1),"")</f>
        <v>0.001746216531</v>
      </c>
      <c r="H550" s="7">
        <f>IFERROR(IF(OR(PRECIOS!H550="",PRECIOS!H549=""),"",PRECIOS!H550/PRECIOS!H549-1),"")</f>
        <v>0.001245975523</v>
      </c>
      <c r="I550" s="7">
        <f>IFERROR(IF(OR(PRECIOS!I550="",PRECIOS!I549=""),"",PRECIOS!I550/PRECIOS!I549-1),"")</f>
        <v>0.0136618805</v>
      </c>
    </row>
    <row r="551" ht="15.75" customHeight="1">
      <c r="A551" s="4">
        <f>IF(PRECIOS!A551="","",PRECIOS!A551)</f>
        <v>45210</v>
      </c>
      <c r="B551" s="7">
        <f>IFERROR(IF(OR(PRECIOS!B551="",PRECIOS!B550=""),"",PRECIOS!B551/PRECIOS!B550-1),"")</f>
        <v>-0.0358533273</v>
      </c>
      <c r="C551" s="7">
        <f>IFERROR(IF(OR(PRECIOS!C551="",PRECIOS!C550=""),"",PRECIOS!C551/PRECIOS!C550-1),"")</f>
        <v>0.009933774834</v>
      </c>
      <c r="D551" s="7">
        <f>IFERROR(IF(OR(PRECIOS!D551="",PRECIOS!D550=""),"",PRECIOS!D551/PRECIOS!D550-1),"")</f>
        <v>0.02087227414</v>
      </c>
      <c r="E551" s="7">
        <f>IFERROR(IF(OR(PRECIOS!E551="",PRECIOS!E550=""),"",PRECIOS!E551/PRECIOS!E550-1),"")</f>
        <v>0.01233352092</v>
      </c>
      <c r="F551" s="7">
        <f>IFERROR(IF(OR(PRECIOS!F551="",PRECIOS!F550=""),"",PRECIOS!F551/PRECIOS!F550-1),"")</f>
        <v>0.03476821192</v>
      </c>
      <c r="G551" s="7">
        <f>IFERROR(IF(OR(PRECIOS!G551="",PRECIOS!G550=""),"",PRECIOS!G551/PRECIOS!G550-1),"")</f>
        <v>0.007844276583</v>
      </c>
      <c r="H551" s="7">
        <f>IFERROR(IF(OR(PRECIOS!H551="",PRECIOS!H550=""),"",PRECIOS!H551/PRECIOS!H550-1),"")</f>
        <v>-0.01285500747</v>
      </c>
      <c r="I551" s="7">
        <f>IFERROR(IF(OR(PRECIOS!I551="",PRECIOS!I550=""),"",PRECIOS!I551/PRECIOS!I550-1),"")</f>
        <v>0.01620839152</v>
      </c>
    </row>
    <row r="552" ht="15.75" customHeight="1">
      <c r="A552" s="4">
        <f>IF(PRECIOS!A552="","",PRECIOS!A552)</f>
        <v>45211</v>
      </c>
      <c r="B552" s="7">
        <f>IFERROR(IF(OR(PRECIOS!B552="",PRECIOS!B551=""),"",PRECIOS!B552/PRECIOS!B551-1),"")</f>
        <v>-0.0001878110621</v>
      </c>
      <c r="C552" s="7">
        <f>IFERROR(IF(OR(PRECIOS!C552="",PRECIOS!C551=""),"",PRECIOS!C552/PRECIOS!C551-1),"")</f>
        <v>-0.02086438152</v>
      </c>
      <c r="D552" s="7">
        <f>IFERROR(IF(OR(PRECIOS!D552="",PRECIOS!D551=""),"",PRECIOS!D552/PRECIOS!D551-1),"")</f>
        <v>-0.02960024413</v>
      </c>
      <c r="E552" s="7">
        <f>IFERROR(IF(OR(PRECIOS!E552="",PRECIOS!E551=""),"",PRECIOS!E552/PRECIOS!E551-1),"")</f>
        <v>0.007319219901</v>
      </c>
      <c r="F552" s="7">
        <f>IFERROR(IF(OR(PRECIOS!F552="",PRECIOS!F551=""),"",PRECIOS!F552/PRECIOS!F551-1),"")</f>
        <v>0.0288</v>
      </c>
      <c r="G552" s="7">
        <f>IFERROR(IF(OR(PRECIOS!G552="",PRECIOS!G551=""),"",PRECIOS!G552/PRECIOS!G551-1),"")</f>
        <v>0.003170942635</v>
      </c>
      <c r="H552" s="7">
        <f>IFERROR(IF(OR(PRECIOS!H552="",PRECIOS!H551=""),"",PRECIOS!H552/PRECIOS!H551-1),"")</f>
        <v>0.001142446312</v>
      </c>
      <c r="I552" s="7">
        <f>IFERROR(IF(OR(PRECIOS!I552="",PRECIOS!I551=""),"",PRECIOS!I552/PRECIOS!I551-1),"")</f>
        <v>-0.01544626541</v>
      </c>
    </row>
    <row r="553" ht="15.75" customHeight="1">
      <c r="A553" s="4">
        <f>IF(PRECIOS!A553="","",PRECIOS!A553)</f>
        <v>45212</v>
      </c>
      <c r="B553" s="7">
        <f>IFERROR(IF(OR(PRECIOS!B553="",PRECIOS!B552=""),"",PRECIOS!B553/PRECIOS!B552-1),"")</f>
        <v>0.03193387809</v>
      </c>
      <c r="C553" s="7">
        <f>IFERROR(IF(OR(PRECIOS!C553="",PRECIOS!C552=""),"",PRECIOS!C553/PRECIOS!C552-1),"")</f>
        <v>0.01293759513</v>
      </c>
      <c r="D553" s="7">
        <f>IFERROR(IF(OR(PRECIOS!D553="",PRECIOS!D552=""),"",PRECIOS!D553/PRECIOS!D552-1),"")</f>
        <v>-0.005031446541</v>
      </c>
      <c r="E553" s="7">
        <f>IFERROR(IF(OR(PRECIOS!E553="",PRECIOS!E552=""),"",PRECIOS!E553/PRECIOS!E552-1),"")</f>
        <v>-0.04069901127</v>
      </c>
      <c r="F553" s="7">
        <f>IFERROR(IF(OR(PRECIOS!F553="",PRECIOS!F552=""),"",PRECIOS!F553/PRECIOS!F552-1),"")</f>
        <v>-0.00933125972</v>
      </c>
      <c r="G553" s="7">
        <f>IFERROR(IF(OR(PRECIOS!G553="",PRECIOS!G552=""),"",PRECIOS!G553/PRECIOS!G552-1),"")</f>
        <v>0.01120689655</v>
      </c>
      <c r="H553" s="7">
        <f>IFERROR(IF(OR(PRECIOS!H553="",PRECIOS!H552=""),"",PRECIOS!H553/PRECIOS!H552-1),"")</f>
        <v>0.02201618258</v>
      </c>
      <c r="I553" s="7">
        <f>IFERROR(IF(OR(PRECIOS!I553="",PRECIOS!I552=""),"",PRECIOS!I553/PRECIOS!I552-1),"")</f>
        <v>0.01125676831</v>
      </c>
    </row>
    <row r="554" ht="15.75" customHeight="1">
      <c r="A554" s="4">
        <f>IF(PRECIOS!A554="","",PRECIOS!A554)</f>
        <v>45215</v>
      </c>
      <c r="B554" s="7">
        <f>IFERROR(IF(OR(PRECIOS!B554="",PRECIOS!B553=""),"",PRECIOS!B554/PRECIOS!B553-1),"")</f>
        <v>0.0007281332484</v>
      </c>
      <c r="C554" s="7">
        <f>IFERROR(IF(OR(PRECIOS!C554="",PRECIOS!C553=""),"",PRECIOS!C554/PRECIOS!C553-1),"")</f>
        <v>0.01427498122</v>
      </c>
      <c r="D554" s="7">
        <f>IFERROR(IF(OR(PRECIOS!D554="",PRECIOS!D553=""),"",PRECIOS!D554/PRECIOS!D553-1),"")</f>
        <v>0.02054361568</v>
      </c>
      <c r="E554" s="7">
        <f>IFERROR(IF(OR(PRECIOS!E554="",PRECIOS!E553=""),"",PRECIOS!E554/PRECIOS!E553-1),"")</f>
        <v>0.01452540748</v>
      </c>
      <c r="F554" s="7">
        <f>IFERROR(IF(OR(PRECIOS!F554="",PRECIOS!F553=""),"",PRECIOS!F554/PRECIOS!F553-1),"")</f>
        <v>0.01883830455</v>
      </c>
      <c r="G554" s="7">
        <f>IFERROR(IF(OR(PRECIOS!G554="",PRECIOS!G553=""),"",PRECIOS!G554/PRECIOS!G553-1),"")</f>
        <v>0.01534526854</v>
      </c>
      <c r="H554" s="7">
        <f>IFERROR(IF(OR(PRECIOS!H554="",PRECIOS!H553=""),"",PRECIOS!H554/PRECIOS!H553-1),"")</f>
        <v>0.006699361347</v>
      </c>
      <c r="I554" s="7">
        <f>IFERROR(IF(OR(PRECIOS!I554="",PRECIOS!I553=""),"",PRECIOS!I554/PRECIOS!I553-1),"")</f>
        <v>0.01028603635</v>
      </c>
    </row>
    <row r="555" ht="15.75" customHeight="1">
      <c r="A555" s="4">
        <f>IF(PRECIOS!A555="","",PRECIOS!A555)</f>
        <v>45216</v>
      </c>
      <c r="B555" s="7">
        <f>IFERROR(IF(OR(PRECIOS!B555="",PRECIOS!B554=""),"",PRECIOS!B555/PRECIOS!B554-1),"")</f>
        <v>0.01309686221</v>
      </c>
      <c r="C555" s="7">
        <f>IFERROR(IF(OR(PRECIOS!C555="",PRECIOS!C554=""),"",PRECIOS!C555/PRECIOS!C554-1),"")</f>
        <v>-0.005777777778</v>
      </c>
      <c r="D555" s="7">
        <f>IFERROR(IF(OR(PRECIOS!D555="",PRECIOS!D554=""),"",PRECIOS!D555/PRECIOS!D554-1),"")</f>
        <v>0.008671415299</v>
      </c>
      <c r="E555" s="7">
        <f>IFERROR(IF(OR(PRECIOS!E555="",PRECIOS!E554=""),"",PRECIOS!E555/PRECIOS!E554-1),"")</f>
        <v>0.0006615319189</v>
      </c>
      <c r="F555" s="7">
        <f>IFERROR(IF(OR(PRECIOS!F555="",PRECIOS!F554=""),"",PRECIOS!F555/PRECIOS!F554-1),"")</f>
        <v>0.05701078582</v>
      </c>
      <c r="G555" s="7">
        <f>IFERROR(IF(OR(PRECIOS!G555="",PRECIOS!G554=""),"",PRECIOS!G555/PRECIOS!G554-1),"")</f>
        <v>0.004757906521</v>
      </c>
      <c r="H555" s="7">
        <f>IFERROR(IF(OR(PRECIOS!H555="",PRECIOS!H554=""),"",PRECIOS!H555/PRECIOS!H554-1),"")</f>
        <v>0.01042199519</v>
      </c>
      <c r="I555" s="7">
        <f>IFERROR(IF(OR(PRECIOS!I555="",PRECIOS!I554=""),"",PRECIOS!I555/PRECIOS!I554-1),"")</f>
        <v>-0.00267138719</v>
      </c>
    </row>
    <row r="556" ht="15.75" customHeight="1">
      <c r="A556" s="4">
        <f>IF(PRECIOS!A556="","",PRECIOS!A556)</f>
        <v>45217</v>
      </c>
      <c r="B556" s="7">
        <f>IFERROR(IF(OR(PRECIOS!B556="",PRECIOS!B555=""),"",PRECIOS!B556/PRECIOS!B555-1),"")</f>
        <v>0.01400484783</v>
      </c>
      <c r="C556" s="7">
        <f>IFERROR(IF(OR(PRECIOS!C556="",PRECIOS!C555=""),"",PRECIOS!C556/PRECIOS!C555-1),"")</f>
        <v>-0.007599463567</v>
      </c>
      <c r="D556" s="7">
        <f>IFERROR(IF(OR(PRECIOS!D556="",PRECIOS!D555=""),"",PRECIOS!D556/PRECIOS!D555-1),"")</f>
        <v>-0.004605465152</v>
      </c>
      <c r="E556" s="7">
        <f>IFERROR(IF(OR(PRECIOS!E556="",PRECIOS!E555=""),"",PRECIOS!E556/PRECIOS!E555-1),"")</f>
        <v>-0.04419889503</v>
      </c>
      <c r="F556" s="7">
        <f>IFERROR(IF(OR(PRECIOS!F556="",PRECIOS!F555=""),"",PRECIOS!F556/PRECIOS!F555-1),"")</f>
        <v>-0.01603498542</v>
      </c>
      <c r="G556" s="7">
        <f>IFERROR(IF(OR(PRECIOS!G556="",PRECIOS!G555=""),"",PRECIOS!G556/PRECIOS!G555-1),"")</f>
        <v>-0.006963788301</v>
      </c>
      <c r="H556" s="7">
        <f>IFERROR(IF(OR(PRECIOS!H556="",PRECIOS!H555=""),"",PRECIOS!H556/PRECIOS!H555-1),"")</f>
        <v>0.009105619509</v>
      </c>
      <c r="I556" s="7">
        <f>IFERROR(IF(OR(PRECIOS!I556="",PRECIOS!I555=""),"",PRECIOS!I556/PRECIOS!I555-1),"")</f>
        <v>-0.008706159931</v>
      </c>
    </row>
    <row r="557" ht="15.75" customHeight="1">
      <c r="A557" s="4">
        <f>IF(PRECIOS!A557="","",PRECIOS!A557)</f>
        <v>45218</v>
      </c>
      <c r="B557" s="7">
        <f>IFERROR(IF(OR(PRECIOS!B557="",PRECIOS!B556=""),"",PRECIOS!B557/PRECIOS!B556-1),"")</f>
        <v>0.0006197432492</v>
      </c>
      <c r="C557" s="7">
        <f>IFERROR(IF(OR(PRECIOS!C557="",PRECIOS!C556=""),"",PRECIOS!C557/PRECIOS!C556-1),"")</f>
        <v>-0.002402402402</v>
      </c>
      <c r="D557" s="7">
        <f>IFERROR(IF(OR(PRECIOS!D557="",PRECIOS!D556=""),"",PRECIOS!D557/PRECIOS!D556-1),"")</f>
        <v>-0.009561998766</v>
      </c>
      <c r="E557" s="7">
        <f>IFERROR(IF(OR(PRECIOS!E557="",PRECIOS!E556=""),"",PRECIOS!E557/PRECIOS!E556-1),"")</f>
        <v>-0.01235116842</v>
      </c>
      <c r="F557" s="7">
        <f>IFERROR(IF(OR(PRECIOS!F557="",PRECIOS!F556=""),"",PRECIOS!F557/PRECIOS!F556-1),"")</f>
        <v>-0.06592592593</v>
      </c>
      <c r="G557" s="7">
        <f>IFERROR(IF(OR(PRECIOS!G557="",PRECIOS!G556=""),"",PRECIOS!G557/PRECIOS!G556-1),"")</f>
        <v>-0.002244039271</v>
      </c>
      <c r="H557" s="7">
        <f>IFERROR(IF(OR(PRECIOS!H557="",PRECIOS!H556=""),"",PRECIOS!H557/PRECIOS!H556-1),"")</f>
        <v>-0.001741862128</v>
      </c>
      <c r="I557" s="7">
        <f>IFERROR(IF(OR(PRECIOS!I557="",PRECIOS!I556=""),"",PRECIOS!I557/PRECIOS!I556-1),"")</f>
        <v>-0.009958221049</v>
      </c>
    </row>
    <row r="558" ht="15.75" customHeight="1">
      <c r="A558" s="4">
        <f>IF(PRECIOS!A558="","",PRECIOS!A558)</f>
        <v>45219</v>
      </c>
      <c r="B558" s="7">
        <f>IFERROR(IF(OR(PRECIOS!B558="",PRECIOS!B557=""),"",PRECIOS!B558/PRECIOS!B557-1),"")</f>
        <v>-0.01716510352</v>
      </c>
      <c r="C558" s="7">
        <f>IFERROR(IF(OR(PRECIOS!C558="",PRECIOS!C557=""),"",PRECIOS!C558/PRECIOS!C557-1),"")</f>
        <v>-0.01068633353</v>
      </c>
      <c r="D558" s="7">
        <f>IFERROR(IF(OR(PRECIOS!D558="",PRECIOS!D557=""),"",PRECIOS!D558/PRECIOS!D557-1),"")</f>
        <v>-0.005605730302</v>
      </c>
      <c r="E558" s="7">
        <f>IFERROR(IF(OR(PRECIOS!E558="",PRECIOS!E557=""),"",PRECIOS!E558/PRECIOS!E557-1),"")</f>
        <v>-0.029613326</v>
      </c>
      <c r="F558" s="7">
        <f>IFERROR(IF(OR(PRECIOS!F558="",PRECIOS!F557=""),"",PRECIOS!F558/PRECIOS!F557-1),"")</f>
        <v>-0.02537668517</v>
      </c>
      <c r="G558" s="7">
        <f>IFERROR(IF(OR(PRECIOS!G558="",PRECIOS!G557=""),"",PRECIOS!G558/PRECIOS!G557-1),"")</f>
        <v>-0.01827382626</v>
      </c>
      <c r="H558" s="7">
        <f>IFERROR(IF(OR(PRECIOS!H558="",PRECIOS!H557=""),"",PRECIOS!H558/PRECIOS!H557-1),"")</f>
        <v>-0.01677500869</v>
      </c>
      <c r="I558" s="7">
        <f>IFERROR(IF(OR(PRECIOS!I558="",PRECIOS!I557=""),"",PRECIOS!I558/PRECIOS!I557-1),"")</f>
        <v>-0.01040182388</v>
      </c>
    </row>
    <row r="559" ht="15.75" customHeight="1">
      <c r="A559" s="4">
        <f>IF(PRECIOS!A559="","",PRECIOS!A559)</f>
        <v>45222</v>
      </c>
      <c r="B559" s="7">
        <f>IFERROR(IF(OR(PRECIOS!B559="",PRECIOS!B558=""),"",PRECIOS!B559/PRECIOS!B558-1),"")</f>
        <v>-0.01467410875</v>
      </c>
      <c r="C559" s="7">
        <f>IFERROR(IF(OR(PRECIOS!C559="",PRECIOS!C558=""),"",PRECIOS!C559/PRECIOS!C558-1),"")</f>
        <v>-0.00456412597</v>
      </c>
      <c r="D559" s="7">
        <f>IFERROR(IF(OR(PRECIOS!D559="",PRECIOS!D558=""),"",PRECIOS!D559/PRECIOS!D558-1),"")</f>
        <v>-0.00125274037</v>
      </c>
      <c r="E559" s="7">
        <f>IFERROR(IF(OR(PRECIOS!E559="",PRECIOS!E558=""),"",PRECIOS!E559/PRECIOS!E558-1),"")</f>
        <v>0.00762925924</v>
      </c>
      <c r="F559" s="7">
        <f>IFERROR(IF(OR(PRECIOS!F559="",PRECIOS!F558=""),"",PRECIOS!F559/PRECIOS!F558-1),"")</f>
        <v>-0.06509357201</v>
      </c>
      <c r="G559" s="7">
        <f>IFERROR(IF(OR(PRECIOS!G559="",PRECIOS!G558=""),"",PRECIOS!G559/PRECIOS!G558-1),"")</f>
        <v>-0.002290950745</v>
      </c>
      <c r="H559" s="7">
        <f>IFERROR(IF(OR(PRECIOS!H559="",PRECIOS!H558=""),"",PRECIOS!H559/PRECIOS!H558-1),"")</f>
        <v>-0.01617268057</v>
      </c>
      <c r="I559" s="7">
        <f>IFERROR(IF(OR(PRECIOS!I559="",PRECIOS!I558=""),"",PRECIOS!I559/PRECIOS!I558-1),"")</f>
        <v>-0.008439940189</v>
      </c>
    </row>
    <row r="560" ht="15.75" customHeight="1">
      <c r="A560" s="4">
        <f>IF(PRECIOS!A560="","",PRECIOS!A560)</f>
        <v>45223</v>
      </c>
      <c r="B560" s="7">
        <f>IFERROR(IF(OR(PRECIOS!B560="",PRECIOS!B559=""),"",PRECIOS!B560/PRECIOS!B559-1),"")</f>
        <v>-0.009684787574</v>
      </c>
      <c r="C560" s="7">
        <f>IFERROR(IF(OR(PRECIOS!C560="",PRECIOS!C559=""),"",PRECIOS!C560/PRECIOS!C559-1),"")</f>
        <v>0.01558917928</v>
      </c>
      <c r="D560" s="7">
        <f>IFERROR(IF(OR(PRECIOS!D560="",PRECIOS!D559=""),"",PRECIOS!D560/PRECIOS!D559-1),"")</f>
        <v>0.02539981185</v>
      </c>
      <c r="E560" s="7">
        <f>IFERROR(IF(OR(PRECIOS!E560="",PRECIOS!E559=""),"",PRECIOS!E560/PRECIOS!E559-1),"")</f>
        <v>0.02133319691</v>
      </c>
      <c r="F560" s="7">
        <f>IFERROR(IF(OR(PRECIOS!F560="",PRECIOS!F559=""),"",PRECIOS!F560/PRECIOS!F559-1),"")</f>
        <v>-0.02175805048</v>
      </c>
      <c r="G560" s="7">
        <f>IFERROR(IF(OR(PRECIOS!G560="",PRECIOS!G559=""),"",PRECIOS!G560/PRECIOS!G559-1),"")</f>
        <v>-0.01090700344</v>
      </c>
      <c r="H560" s="7">
        <f>IFERROR(IF(OR(PRECIOS!H560="",PRECIOS!H559=""),"",PRECIOS!H560/PRECIOS!H559-1),"")</f>
        <v>-0.01407872823</v>
      </c>
      <c r="I560" s="7">
        <f>IFERROR(IF(OR(PRECIOS!I560="",PRECIOS!I559=""),"",PRECIOS!I560/PRECIOS!I559-1),"")</f>
        <v>0.02571778575</v>
      </c>
    </row>
    <row r="561" ht="15.75" customHeight="1">
      <c r="A561" s="4">
        <f>IF(PRECIOS!A561="","",PRECIOS!A561)</f>
        <v>45224</v>
      </c>
      <c r="B561" s="7">
        <f>IFERROR(IF(OR(PRECIOS!B561="",PRECIOS!B560=""),"",PRECIOS!B561/PRECIOS!B560-1),"")</f>
        <v>0.001845188671</v>
      </c>
      <c r="C561" s="7">
        <f>IFERROR(IF(OR(PRECIOS!C561="",PRECIOS!C560=""),"",PRECIOS!C561/PRECIOS!C560-1),"")</f>
        <v>0.002407825433</v>
      </c>
      <c r="D561" s="7">
        <f>IFERROR(IF(OR(PRECIOS!D561="",PRECIOS!D560=""),"",PRECIOS!D561/PRECIOS!D560-1),"")</f>
        <v>0.00244648318</v>
      </c>
      <c r="E561" s="7">
        <f>IFERROR(IF(OR(PRECIOS!E561="",PRECIOS!E560=""),"",PRECIOS!E561/PRECIOS!E560-1),"")</f>
        <v>-0.02208976157</v>
      </c>
      <c r="F561" s="7">
        <f>IFERROR(IF(OR(PRECIOS!F561="",PRECIOS!F560=""),"",PRECIOS!F561/PRECIOS!F560-1),"")</f>
        <v>0.002669039146</v>
      </c>
      <c r="G561" s="7">
        <f>IFERROR(IF(OR(PRECIOS!G561="",PRECIOS!G560=""),"",PRECIOS!G561/PRECIOS!G560-1),"")</f>
        <v>0</v>
      </c>
      <c r="H561" s="7">
        <f>IFERROR(IF(OR(PRECIOS!H561="",PRECIOS!H560=""),"",PRECIOS!H561/PRECIOS!H560-1),"")</f>
        <v>-0.001827140673</v>
      </c>
      <c r="I561" s="7">
        <f>IFERROR(IF(OR(PRECIOS!I561="",PRECIOS!I560=""),"",PRECIOS!I561/PRECIOS!I560-1),"")</f>
        <v>0.005593953738</v>
      </c>
    </row>
    <row r="562" ht="15.75" customHeight="1">
      <c r="A562" s="4">
        <f>IF(PRECIOS!A562="","",PRECIOS!A562)</f>
        <v>45225</v>
      </c>
      <c r="B562" s="7">
        <f>IFERROR(IF(OR(PRECIOS!B562="",PRECIOS!B561=""),"",PRECIOS!B562/PRECIOS!B561-1),"")</f>
        <v>-0.009116861589</v>
      </c>
      <c r="C562" s="7">
        <f>IFERROR(IF(OR(PRECIOS!C562="",PRECIOS!C561=""),"",PRECIOS!C562/PRECIOS!C561-1),"")</f>
        <v>0.008257018466</v>
      </c>
      <c r="D562" s="7">
        <f>IFERROR(IF(OR(PRECIOS!D562="",PRECIOS!D561=""),"",PRECIOS!D562/PRECIOS!D561-1),"")</f>
        <v>0.003660768761</v>
      </c>
      <c r="E562" s="7">
        <f>IFERROR(IF(OR(PRECIOS!E562="",PRECIOS!E561=""),"",PRECIOS!E562/PRECIOS!E561-1),"")</f>
        <v>0.006761255955</v>
      </c>
      <c r="F562" s="7">
        <f>IFERROR(IF(OR(PRECIOS!F562="",PRECIOS!F561=""),"",PRECIOS!F562/PRECIOS!F561-1),"")</f>
        <v>0.002661934339</v>
      </c>
      <c r="G562" s="7">
        <f>IFERROR(IF(OR(PRECIOS!G562="",PRECIOS!G561=""),"",PRECIOS!G562/PRECIOS!G561-1),"")</f>
        <v>0.003482298317</v>
      </c>
      <c r="H562" s="7">
        <f>IFERROR(IF(OR(PRECIOS!H562="",PRECIOS!H561=""),"",PRECIOS!H562/PRECIOS!H561-1),"")</f>
        <v>-0.007780795694</v>
      </c>
      <c r="I562" s="7">
        <f>IFERROR(IF(OR(PRECIOS!I562="",PRECIOS!I561=""),"",PRECIOS!I562/PRECIOS!I561-1),"")</f>
        <v>0.008587920597</v>
      </c>
    </row>
    <row r="563" ht="15.75" customHeight="1">
      <c r="A563" s="4">
        <f>IF(PRECIOS!A563="","",PRECIOS!A563)</f>
        <v>45226</v>
      </c>
      <c r="B563" s="7">
        <f>IFERROR(IF(OR(PRECIOS!B563="",PRECIOS!B562=""),"",PRECIOS!B563/PRECIOS!B562-1),"")</f>
        <v>-0.01905204461</v>
      </c>
      <c r="C563" s="7">
        <f>IFERROR(IF(OR(PRECIOS!C563="",PRECIOS!C562=""),"",PRECIOS!C563/PRECIOS!C562-1),"")</f>
        <v>-0.009380583681</v>
      </c>
      <c r="D563" s="7">
        <f>IFERROR(IF(OR(PRECIOS!D563="",PRECIOS!D562=""),"",PRECIOS!D563/PRECIOS!D562-1),"")</f>
        <v>-0.02674772036</v>
      </c>
      <c r="E563" s="7">
        <f>IFERROR(IF(OR(PRECIOS!E563="",PRECIOS!E562=""),"",PRECIOS!E563/PRECIOS!E562-1),"")</f>
        <v>-0.00630882727</v>
      </c>
      <c r="F563" s="7">
        <f>IFERROR(IF(OR(PRECIOS!F563="",PRECIOS!F562=""),"",PRECIOS!F563/PRECIOS!F562-1),"")</f>
        <v>-0.02300884956</v>
      </c>
      <c r="G563" s="7">
        <f>IFERROR(IF(OR(PRECIOS!G563="",PRECIOS!G562=""),"",PRECIOS!G563/PRECIOS!G562-1),"")</f>
        <v>-0.01532677848</v>
      </c>
      <c r="H563" s="7">
        <f>IFERROR(IF(OR(PRECIOS!H563="",PRECIOS!H562=""),"",PRECIOS!H563/PRECIOS!H562-1),"")</f>
        <v>-0.02398788671</v>
      </c>
      <c r="I563" s="7">
        <f>IFERROR(IF(OR(PRECIOS!I563="",PRECIOS!I562=""),"",PRECIOS!I563/PRECIOS!I562-1),"")</f>
        <v>-0.0188728543</v>
      </c>
    </row>
    <row r="564" ht="15.75" customHeight="1">
      <c r="A564" s="4">
        <f>IF(PRECIOS!A564="","",PRECIOS!A564)</f>
        <v>45229</v>
      </c>
      <c r="B564" s="7">
        <f>IFERROR(IF(OR(PRECIOS!B564="",PRECIOS!B563=""),"",PRECIOS!B564/PRECIOS!B563-1),"")</f>
        <v>0.003126480341</v>
      </c>
      <c r="C564" s="7">
        <f>IFERROR(IF(OR(PRECIOS!C564="",PRECIOS!C563=""),"",PRECIOS!C564/PRECIOS!C563-1),"")</f>
        <v>0.003908011423</v>
      </c>
      <c r="D564" s="7">
        <f>IFERROR(IF(OR(PRECIOS!D564="",PRECIOS!D563=""),"",PRECIOS!D564/PRECIOS!D563-1),"")</f>
        <v>0.01748906933</v>
      </c>
      <c r="E564" s="7">
        <f>IFERROR(IF(OR(PRECIOS!E564="",PRECIOS!E563=""),"",PRECIOS!E564/PRECIOS!E563-1),"")</f>
        <v>0.01264656188</v>
      </c>
      <c r="F564" s="7">
        <f>IFERROR(IF(OR(PRECIOS!F564="",PRECIOS!F563=""),"",PRECIOS!F564/PRECIOS!F563-1),"")</f>
        <v>-0.05344202899</v>
      </c>
      <c r="G564" s="7">
        <f>IFERROR(IF(OR(PRECIOS!G564="",PRECIOS!G563=""),"",PRECIOS!G564/PRECIOS!G563-1),"")</f>
        <v>0.005286343612</v>
      </c>
      <c r="H564" s="7">
        <f>IFERROR(IF(OR(PRECIOS!H564="",PRECIOS!H563=""),"",PRECIOS!H564/PRECIOS!H563-1),"")</f>
        <v>0.003303995618</v>
      </c>
      <c r="I564" s="7">
        <f>IFERROR(IF(OR(PRECIOS!I564="",PRECIOS!I563=""),"",PRECIOS!I564/PRECIOS!I563-1),"")</f>
        <v>0.007660794607</v>
      </c>
    </row>
    <row r="565" ht="15.75" customHeight="1">
      <c r="A565" s="4">
        <f>IF(PRECIOS!A565="","",PRECIOS!A565)</f>
        <v>45230</v>
      </c>
      <c r="B565" s="7">
        <f>IFERROR(IF(OR(PRECIOS!B565="",PRECIOS!B564=""),"",PRECIOS!B565/PRECIOS!B564-1),"")</f>
        <v>-0.0002833396298</v>
      </c>
      <c r="C565" s="7">
        <f>IFERROR(IF(OR(PRECIOS!C565="",PRECIOS!C564=""),"",PRECIOS!C565/PRECIOS!C564-1),"")</f>
        <v>0.007635873634</v>
      </c>
      <c r="D565" s="7">
        <f>IFERROR(IF(OR(PRECIOS!D565="",PRECIOS!D564=""),"",PRECIOS!D565/PRECIOS!D564-1),"")</f>
        <v>0.004297114794</v>
      </c>
      <c r="E565" s="7">
        <f>IFERROR(IF(OR(PRECIOS!E565="",PRECIOS!E564=""),"",PRECIOS!E565/PRECIOS!E564-1),"")</f>
        <v>0.05121852563</v>
      </c>
      <c r="F565" s="7">
        <f>IFERROR(IF(OR(PRECIOS!F565="",PRECIOS!F564=""),"",PRECIOS!F565/PRECIOS!F564-1),"")</f>
        <v>-0.04976076555</v>
      </c>
      <c r="G565" s="7">
        <f>IFERROR(IF(OR(PRECIOS!G565="",PRECIOS!G564=""),"",PRECIOS!G565/PRECIOS!G564-1),"")</f>
        <v>0.004966403739</v>
      </c>
      <c r="H565" s="7">
        <f>IFERROR(IF(OR(PRECIOS!H565="",PRECIOS!H564=""),"",PRECIOS!H565/PRECIOS!H564-1),"")</f>
        <v>0.003300732255</v>
      </c>
      <c r="I565" s="7">
        <f>IFERROR(IF(OR(PRECIOS!I565="",PRECIOS!I564=""),"",PRECIOS!I565/PRECIOS!I564-1),"")</f>
        <v>0.008616226744</v>
      </c>
    </row>
    <row r="566" ht="15.75" customHeight="1">
      <c r="A566" s="4">
        <f>IF(PRECIOS!A566="","",PRECIOS!A566)</f>
        <v>45231</v>
      </c>
      <c r="B566" s="7">
        <f>IFERROR(IF(OR(PRECIOS!B566="",PRECIOS!B565=""),"",PRECIOS!B566/PRECIOS!B565-1),"")</f>
        <v>-0.001983939537</v>
      </c>
      <c r="C566" s="7">
        <f>IFERROR(IF(OR(PRECIOS!C566="",PRECIOS!C565=""),"",PRECIOS!C566/PRECIOS!C565-1),"")</f>
        <v>0.01679049034</v>
      </c>
      <c r="D566" s="7">
        <f>IFERROR(IF(OR(PRECIOS!D566="",PRECIOS!D565=""),"",PRECIOS!D566/PRECIOS!D565-1),"")</f>
        <v>0.0369804401</v>
      </c>
      <c r="E566" s="7">
        <f>IFERROR(IF(OR(PRECIOS!E566="",PRECIOS!E565=""),"",PRECIOS!E566/PRECIOS!E565-1),"")</f>
        <v>0.03328363234</v>
      </c>
      <c r="F566" s="7">
        <f>IFERROR(IF(OR(PRECIOS!F566="",PRECIOS!F565=""),"",PRECIOS!F566/PRECIOS!F565-1),"")</f>
        <v>0.04229607251</v>
      </c>
      <c r="G566" s="7">
        <f>IFERROR(IF(OR(PRECIOS!G566="",PRECIOS!G565=""),"",PRECIOS!G566/PRECIOS!G565-1),"")</f>
        <v>0.009302325581</v>
      </c>
      <c r="H566" s="7">
        <f>IFERROR(IF(OR(PRECIOS!H566="",PRECIOS!H565=""),"",PRECIOS!H566/PRECIOS!H565-1),"")</f>
        <v>-0.002345932704</v>
      </c>
      <c r="I566" s="7">
        <f>IFERROR(IF(OR(PRECIOS!I566="",PRECIOS!I565=""),"",PRECIOS!I566/PRECIOS!I565-1),"")</f>
        <v>0.01139614433</v>
      </c>
    </row>
    <row r="567" ht="15.75" customHeight="1">
      <c r="A567" s="4">
        <f>IF(PRECIOS!A567="","",PRECIOS!A567)</f>
        <v>45232</v>
      </c>
      <c r="B567" s="7">
        <f>IFERROR(IF(OR(PRECIOS!B567="",PRECIOS!B566=""),"",PRECIOS!B567/PRECIOS!B566-1),"")</f>
        <v>0.03284740629</v>
      </c>
      <c r="C567" s="7">
        <f>IFERROR(IF(OR(PRECIOS!C567="",PRECIOS!C566=""),"",PRECIOS!C567/PRECIOS!C566-1),"")</f>
        <v>0.02469677042</v>
      </c>
      <c r="D567" s="7">
        <f>IFERROR(IF(OR(PRECIOS!D567="",PRECIOS!D566=""),"",PRECIOS!D567/PRECIOS!D566-1),"")</f>
        <v>0.02151488358</v>
      </c>
      <c r="E567" s="7">
        <f>IFERROR(IF(OR(PRECIOS!E567="",PRECIOS!E566=""),"",PRECIOS!E567/PRECIOS!E566-1),"")</f>
        <v>0.006190941675</v>
      </c>
      <c r="F567" s="7">
        <f>IFERROR(IF(OR(PRECIOS!F567="",PRECIOS!F566=""),"",PRECIOS!F567/PRECIOS!F566-1),"")</f>
        <v>0.03381642512</v>
      </c>
      <c r="G567" s="7">
        <f>IFERROR(IF(OR(PRECIOS!G567="",PRECIOS!G566=""),"",PRECIOS!G567/PRECIOS!G566-1),"")</f>
        <v>0.03081797235</v>
      </c>
      <c r="H567" s="7">
        <f>IFERROR(IF(OR(PRECIOS!H567="",PRECIOS!H566=""),"",PRECIOS!H567/PRECIOS!H566-1),"")</f>
        <v>0.03023907667</v>
      </c>
      <c r="I567" s="7">
        <f>IFERROR(IF(OR(PRECIOS!I567="",PRECIOS!I566=""),"",PRECIOS!I567/PRECIOS!I566-1),"")</f>
        <v>0.01871686221</v>
      </c>
    </row>
    <row r="568" ht="15.75" customHeight="1">
      <c r="A568" s="4">
        <f>IF(PRECIOS!A568="","",PRECIOS!A568)</f>
        <v>45233</v>
      </c>
      <c r="B568" s="7">
        <f>IFERROR(IF(OR(PRECIOS!B568="",PRECIOS!B567=""),"",PRECIOS!B568/PRECIOS!B567-1),"")</f>
        <v>-0.0121895335</v>
      </c>
      <c r="C568" s="7">
        <f>IFERROR(IF(OR(PRECIOS!C568="",PRECIOS!C567=""),"",PRECIOS!C568/PRECIOS!C567-1),"")</f>
        <v>0.003850541928</v>
      </c>
      <c r="D568" s="7">
        <f>IFERROR(IF(OR(PRECIOS!D568="",PRECIOS!D567=""),"",PRECIOS!D568/PRECIOS!D567-1),"")</f>
        <v>0.009521061743</v>
      </c>
      <c r="E568" s="7">
        <f>IFERROR(IF(OR(PRECIOS!E568="",PRECIOS!E567=""),"",PRECIOS!E568/PRECIOS!E567-1),"")</f>
        <v>-0.006337897853</v>
      </c>
      <c r="F568" s="7">
        <f>IFERROR(IF(OR(PRECIOS!F568="",PRECIOS!F567=""),"",PRECIOS!F568/PRECIOS!F567-1),"")</f>
        <v>0.001869158879</v>
      </c>
      <c r="G568" s="7">
        <f>IFERROR(IF(OR(PRECIOS!G568="",PRECIOS!G567=""),"",PRECIOS!G568/PRECIOS!G567-1),"")</f>
        <v>0.008102822017</v>
      </c>
      <c r="H568" s="7">
        <f>IFERROR(IF(OR(PRECIOS!H568="",PRECIOS!H567=""),"",PRECIOS!H568/PRECIOS!H567-1),"")</f>
        <v>-0.01005057295</v>
      </c>
      <c r="I568" s="7">
        <f>IFERROR(IF(OR(PRECIOS!I568="",PRECIOS!I567=""),"",PRECIOS!I568/PRECIOS!I567-1),"")</f>
        <v>0.005849114446</v>
      </c>
    </row>
    <row r="569" ht="15.75" customHeight="1">
      <c r="A569" s="4">
        <f>IF(PRECIOS!A569="","",PRECIOS!A569)</f>
        <v>45236</v>
      </c>
      <c r="B569" s="7">
        <f>IFERROR(IF(OR(PRECIOS!B569="",PRECIOS!B568=""),"",PRECIOS!B569/PRECIOS!B568-1),"")</f>
        <v>-0.0177212841</v>
      </c>
      <c r="C569" s="7">
        <f>IFERROR(IF(OR(PRECIOS!C569="",PRECIOS!C568=""),"",PRECIOS!C569/PRECIOS!C568-1),"")</f>
        <v>-0.01647961358</v>
      </c>
      <c r="D569" s="7">
        <f>IFERROR(IF(OR(PRECIOS!D569="",PRECIOS!D568=""),"",PRECIOS!D569/PRECIOS!D568-1),"")</f>
        <v>0.009717062018</v>
      </c>
      <c r="E569" s="7">
        <f>IFERROR(IF(OR(PRECIOS!E569="",PRECIOS!E568=""),"",PRECIOS!E569/PRECIOS!E568-1),"")</f>
        <v>0.007635364775</v>
      </c>
      <c r="F569" s="7">
        <f>IFERROR(IF(OR(PRECIOS!F569="",PRECIOS!F568=""),"",PRECIOS!F569/PRECIOS!F568-1),"")</f>
        <v>-0.0447761194</v>
      </c>
      <c r="G569" s="7">
        <f>IFERROR(IF(OR(PRECIOS!G569="",PRECIOS!G568=""),"",PRECIOS!G569/PRECIOS!G568-1),"")</f>
        <v>-0.009146341463</v>
      </c>
      <c r="H569" s="7">
        <f>IFERROR(IF(OR(PRECIOS!H569="",PRECIOS!H568=""),"",PRECIOS!H569/PRECIOS!H568-1),"")</f>
        <v>-0.01130914481</v>
      </c>
      <c r="I569" s="7">
        <f>IFERROR(IF(OR(PRECIOS!I569="",PRECIOS!I568=""),"",PRECIOS!I569/PRECIOS!I568-1),"")</f>
        <v>-0.002583719795</v>
      </c>
    </row>
    <row r="570" ht="15.75" customHeight="1">
      <c r="A570" s="4">
        <f>IF(PRECIOS!A570="","",PRECIOS!A570)</f>
        <v>45237</v>
      </c>
      <c r="B570" s="7">
        <f>IFERROR(IF(OR(PRECIOS!B570="",PRECIOS!B569=""),"",PRECIOS!B570/PRECIOS!B569-1),"")</f>
        <v>-0.01567960707</v>
      </c>
      <c r="C570" s="7">
        <f>IFERROR(IF(OR(PRECIOS!C570="",PRECIOS!C569=""),"",PRECIOS!C570/PRECIOS!C569-1),"")</f>
        <v>-0.007366748519</v>
      </c>
      <c r="D570" s="7">
        <f>IFERROR(IF(OR(PRECIOS!D570="",PRECIOS!D569=""),"",PRECIOS!D570/PRECIOS!D569-1),"")</f>
        <v>-0.01641664308</v>
      </c>
      <c r="E570" s="7">
        <f>IFERROR(IF(OR(PRECIOS!E570="",PRECIOS!E569=""),"",PRECIOS!E570/PRECIOS!E569-1),"")</f>
        <v>-0.002726054614</v>
      </c>
      <c r="F570" s="7">
        <f>IFERROR(IF(OR(PRECIOS!F570="",PRECIOS!F569=""),"",PRECIOS!F570/PRECIOS!F569-1),"")</f>
        <v>-0.009765625</v>
      </c>
      <c r="G570" s="7">
        <f>IFERROR(IF(OR(PRECIOS!G570="",PRECIOS!G569=""),"",PRECIOS!G570/PRECIOS!G569-1),"")</f>
        <v>-0.01258741259</v>
      </c>
      <c r="H570" s="7">
        <f>IFERROR(IF(OR(PRECIOS!H570="",PRECIOS!H569=""),"",PRECIOS!H570/PRECIOS!H569-1),"")</f>
        <v>-0.02217012103</v>
      </c>
      <c r="I570" s="7">
        <f>IFERROR(IF(OR(PRECIOS!I570="",PRECIOS!I569=""),"",PRECIOS!I570/PRECIOS!I569-1),"")</f>
        <v>-0.007292046461</v>
      </c>
    </row>
    <row r="571" ht="15.75" customHeight="1">
      <c r="A571" s="4">
        <f>IF(PRECIOS!A571="","",PRECIOS!A571)</f>
        <v>45238</v>
      </c>
      <c r="B571" s="7">
        <f>IFERROR(IF(OR(PRECIOS!B571="",PRECIOS!B570=""),"",PRECIOS!B571/PRECIOS!B570-1),"")</f>
        <v>-0.01228289032</v>
      </c>
      <c r="C571" s="7">
        <f>IFERROR(IF(OR(PRECIOS!C571="",PRECIOS!C570=""),"",PRECIOS!C571/PRECIOS!C570-1),"")</f>
        <v>-0.001746216531</v>
      </c>
      <c r="D571" s="7">
        <f>IFERROR(IF(OR(PRECIOS!D571="",PRECIOS!D570=""),"",PRECIOS!D571/PRECIOS!D570-1),"")</f>
        <v>-0.002302158273</v>
      </c>
      <c r="E571" s="7">
        <f>IFERROR(IF(OR(PRECIOS!E571="",PRECIOS!E570=""),"",PRECIOS!E571/PRECIOS!E570-1),"")</f>
        <v>0.008154188288</v>
      </c>
      <c r="F571" s="7">
        <f>IFERROR(IF(OR(PRECIOS!F571="",PRECIOS!F570=""),"",PRECIOS!F571/PRECIOS!F570-1),"")</f>
        <v>-0.01084812623</v>
      </c>
      <c r="G571" s="7">
        <f>IFERROR(IF(OR(PRECIOS!G571="",PRECIOS!G570=""),"",PRECIOS!G571/PRECIOS!G570-1),"")</f>
        <v>-0.005099150142</v>
      </c>
      <c r="H571" s="7">
        <f>IFERROR(IF(OR(PRECIOS!H571="",PRECIOS!H570=""),"",PRECIOS!H571/PRECIOS!H570-1),"")</f>
        <v>-0.01252624105</v>
      </c>
      <c r="I571" s="7">
        <f>IFERROR(IF(OR(PRECIOS!I571="",PRECIOS!I570=""),"",PRECIOS!I571/PRECIOS!I570-1),"")</f>
        <v>-0.007345610997</v>
      </c>
    </row>
    <row r="572" ht="15.75" customHeight="1">
      <c r="A572" s="4">
        <f>IF(PRECIOS!A572="","",PRECIOS!A572)</f>
        <v>45239</v>
      </c>
      <c r="B572" s="7">
        <f>IFERROR(IF(OR(PRECIOS!B572="",PRECIOS!B571=""),"",PRECIOS!B572/PRECIOS!B571-1),"")</f>
        <v>0.0002914602157</v>
      </c>
      <c r="C572" s="7">
        <f>IFERROR(IF(OR(PRECIOS!C572="",PRECIOS!C571=""),"",PRECIOS!C572/PRECIOS!C571-1),"")</f>
        <v>-0.008163265306</v>
      </c>
      <c r="D572" s="7">
        <f>IFERROR(IF(OR(PRECIOS!D572="",PRECIOS!D571=""),"",PRECIOS!D572/PRECIOS!D571-1),"")</f>
        <v>-0.003172771849</v>
      </c>
      <c r="E572" s="7">
        <f>IFERROR(IF(OR(PRECIOS!E572="",PRECIOS!E571=""),"",PRECIOS!E572/PRECIOS!E571-1),"")</f>
        <v>0.003584558824</v>
      </c>
      <c r="F572" s="7">
        <f>IFERROR(IF(OR(PRECIOS!F572="",PRECIOS!F571=""),"",PRECIOS!F572/PRECIOS!F571-1),"")</f>
        <v>-0.006979062812</v>
      </c>
      <c r="G572" s="7">
        <f>IFERROR(IF(OR(PRECIOS!G572="",PRECIOS!G571=""),"",PRECIOS!G572/PRECIOS!G571-1),"")</f>
        <v>-0.007972665148</v>
      </c>
      <c r="H572" s="7">
        <f>IFERROR(IF(OR(PRECIOS!H572="",PRECIOS!H571=""),"",PRECIOS!H572/PRECIOS!H571-1),"")</f>
        <v>-0.003022131906</v>
      </c>
      <c r="I572" s="7">
        <f>IFERROR(IF(OR(PRECIOS!I572="",PRECIOS!I571=""),"",PRECIOS!I572/PRECIOS!I571-1),"")</f>
        <v>-0.01315784837</v>
      </c>
    </row>
    <row r="573" ht="15.75" customHeight="1">
      <c r="A573" s="4">
        <f>IF(PRECIOS!A573="","",PRECIOS!A573)</f>
        <v>45240</v>
      </c>
      <c r="B573" s="7">
        <f>IFERROR(IF(OR(PRECIOS!B573="",PRECIOS!B572=""),"",PRECIOS!B573/PRECIOS!B572-1),"")</f>
        <v>0.007672882673</v>
      </c>
      <c r="C573" s="7">
        <f>IFERROR(IF(OR(PRECIOS!C573="",PRECIOS!C572=""),"",PRECIOS!C573/PRECIOS!C572-1),"")</f>
        <v>0.0008818342152</v>
      </c>
      <c r="D573" s="7">
        <f>IFERROR(IF(OR(PRECIOS!D573="",PRECIOS!D572=""),"",PRECIOS!D573/PRECIOS!D572-1),"")</f>
        <v>-0.002314814815</v>
      </c>
      <c r="E573" s="7">
        <f>IFERROR(IF(OR(PRECIOS!E573="",PRECIOS!E572=""),"",PRECIOS!E573/PRECIOS!E572-1),"")</f>
        <v>0.01575235827</v>
      </c>
      <c r="F573" s="7">
        <f>IFERROR(IF(OR(PRECIOS!F573="",PRECIOS!F572=""),"",PRECIOS!F573/PRECIOS!F572-1),"")</f>
        <v>0.03614457831</v>
      </c>
      <c r="G573" s="7">
        <f>IFERROR(IF(OR(PRECIOS!G573="",PRECIOS!G572=""),"",PRECIOS!G573/PRECIOS!G572-1),"")</f>
        <v>0.001148105626</v>
      </c>
      <c r="H573" s="7">
        <f>IFERROR(IF(OR(PRECIOS!H573="",PRECIOS!H572=""),"",PRECIOS!H573/PRECIOS!H572-1),"")</f>
        <v>0.0110302476</v>
      </c>
      <c r="I573" s="7">
        <f>IFERROR(IF(OR(PRECIOS!I573="",PRECIOS!I572=""),"",PRECIOS!I573/PRECIOS!I572-1),"")</f>
        <v>0.005327601044</v>
      </c>
    </row>
    <row r="574" ht="15.75" customHeight="1">
      <c r="A574" s="4">
        <f>IF(PRECIOS!A574="","",PRECIOS!A574)</f>
        <v>45243</v>
      </c>
      <c r="B574" s="7">
        <f>IFERROR(IF(OR(PRECIOS!B574="",PRECIOS!B573=""),"",PRECIOS!B574/PRECIOS!B573-1),"")</f>
        <v>0.0105060241</v>
      </c>
      <c r="C574" s="7">
        <f>IFERROR(IF(OR(PRECIOS!C574="",PRECIOS!C573=""),"",PRECIOS!C574/PRECIOS!C573-1),"")</f>
        <v>-0.01116005874</v>
      </c>
      <c r="D574" s="7">
        <f>IFERROR(IF(OR(PRECIOS!D574="",PRECIOS!D573=""),"",PRECIOS!D574/PRECIOS!D573-1),"")</f>
        <v>-0.002320185615</v>
      </c>
      <c r="E574" s="7">
        <f>IFERROR(IF(OR(PRECIOS!E574="",PRECIOS!E573=""),"",PRECIOS!E574/PRECIOS!E573-1),"")</f>
        <v>0.003381119827</v>
      </c>
      <c r="F574" s="7">
        <f>IFERROR(IF(OR(PRECIOS!F574="",PRECIOS!F573=""),"",PRECIOS!F574/PRECIOS!F573-1),"")</f>
        <v>-0.01550387597</v>
      </c>
      <c r="G574" s="7">
        <f>IFERROR(IF(OR(PRECIOS!G574="",PRECIOS!G573=""),"",PRECIOS!G574/PRECIOS!G573-1),"")</f>
        <v>0.001433486239</v>
      </c>
      <c r="H574" s="7">
        <f>IFERROR(IF(OR(PRECIOS!H574="",PRECIOS!H573=""),"",PRECIOS!H574/PRECIOS!H573-1),"")</f>
        <v>0.007193147513</v>
      </c>
      <c r="I574" s="7">
        <f>IFERROR(IF(OR(PRECIOS!I574="",PRECIOS!I573=""),"",PRECIOS!I574/PRECIOS!I573-1),"")</f>
        <v>-0.01193423385</v>
      </c>
    </row>
    <row r="575" ht="15.75" customHeight="1">
      <c r="A575" s="4">
        <f>IF(PRECIOS!A575="","",PRECIOS!A575)</f>
        <v>45244</v>
      </c>
      <c r="B575" s="7">
        <f>IFERROR(IF(OR(PRECIOS!B575="",PRECIOS!B574=""),"",PRECIOS!B575/PRECIOS!B574-1),"")</f>
        <v>-0.005246089279</v>
      </c>
      <c r="C575" s="7">
        <f>IFERROR(IF(OR(PRECIOS!C575="",PRECIOS!C574=""),"",PRECIOS!C575/PRECIOS!C574-1),"")</f>
        <v>0.02776952777</v>
      </c>
      <c r="D575" s="7">
        <f>IFERROR(IF(OR(PRECIOS!D575="",PRECIOS!D574=""),"",PRECIOS!D575/PRECIOS!D574-1),"")</f>
        <v>0.0238372093</v>
      </c>
      <c r="E575" s="7">
        <f>IFERROR(IF(OR(PRECIOS!E575="",PRECIOS!E574=""),"",PRECIOS!E575/PRECIOS!E574-1),"")</f>
        <v>0.02484611583</v>
      </c>
      <c r="F575" s="7">
        <f>IFERROR(IF(OR(PRECIOS!F575="",PRECIOS!F574=""),"",PRECIOS!F575/PRECIOS!F574-1),"")</f>
        <v>0.03051181102</v>
      </c>
      <c r="G575" s="7">
        <f>IFERROR(IF(OR(PRECIOS!G575="",PRECIOS!G574=""),"",PRECIOS!G575/PRECIOS!G574-1),"")</f>
        <v>0.01030632694</v>
      </c>
      <c r="H575" s="7">
        <f>IFERROR(IF(OR(PRECIOS!H575="",PRECIOS!H574=""),"",PRECIOS!H575/PRECIOS!H574-1),"")</f>
        <v>0.008925294922</v>
      </c>
      <c r="I575" s="7">
        <f>IFERROR(IF(OR(PRECIOS!I575="",PRECIOS!I574=""),"",PRECIOS!I575/PRECIOS!I574-1),"")</f>
        <v>0.03993054931</v>
      </c>
    </row>
    <row r="576" ht="15.75" customHeight="1">
      <c r="A576" s="4">
        <f>IF(PRECIOS!A576="","",PRECIOS!A576)</f>
        <v>45245</v>
      </c>
      <c r="B576" s="7">
        <f>IFERROR(IF(OR(PRECIOS!B576="",PRECIOS!B575=""),"",PRECIOS!B576/PRECIOS!B575-1),"")</f>
        <v>-0.006040847636</v>
      </c>
      <c r="C576" s="7">
        <f>IFERROR(IF(OR(PRECIOS!C576="",PRECIOS!C575=""),"",PRECIOS!C576/PRECIOS!C575-1),"")</f>
        <v>-0.006357462794</v>
      </c>
      <c r="D576" s="7">
        <f>IFERROR(IF(OR(PRECIOS!D576="",PRECIOS!D575=""),"",PRECIOS!D576/PRECIOS!D575-1),"")</f>
        <v>-0.01476433844</v>
      </c>
      <c r="E576" s="7">
        <f>IFERROR(IF(OR(PRECIOS!E576="",PRECIOS!E575=""),"",PRECIOS!E576/PRECIOS!E575-1),"")</f>
        <v>-0.01074090311</v>
      </c>
      <c r="F576" s="7">
        <f>IFERROR(IF(OR(PRECIOS!F576="",PRECIOS!F575=""),"",PRECIOS!F576/PRECIOS!F575-1),"")</f>
        <v>-0.02101241643</v>
      </c>
      <c r="G576" s="7">
        <f>IFERROR(IF(OR(PRECIOS!G576="",PRECIOS!G575=""),"",PRECIOS!G576/PRECIOS!G575-1),"")</f>
        <v>0.002550297535</v>
      </c>
      <c r="H576" s="7">
        <f>IFERROR(IF(OR(PRECIOS!H576="",PRECIOS!H575=""),"",PRECIOS!H576/PRECIOS!H575-1),"")</f>
        <v>-0.001887286758</v>
      </c>
      <c r="I576" s="7">
        <f>IFERROR(IF(OR(PRECIOS!I576="",PRECIOS!I575=""),"",PRECIOS!I576/PRECIOS!I575-1),"")</f>
        <v>-0.003066116817</v>
      </c>
    </row>
    <row r="577" ht="15.75" customHeight="1">
      <c r="A577" s="4">
        <f>IF(PRECIOS!A577="","",PRECIOS!A577)</f>
        <v>45246</v>
      </c>
      <c r="B577" s="7">
        <f>IFERROR(IF(OR(PRECIOS!B577="",PRECIOS!B576=""),"",PRECIOS!B577/PRECIOS!B576-1),"")</f>
        <v>-0.01157630716</v>
      </c>
      <c r="C577" s="7">
        <f>IFERROR(IF(OR(PRECIOS!C577="",PRECIOS!C576=""),"",PRECIOS!C577/PRECIOS!C576-1),"")</f>
        <v>0.02181183656</v>
      </c>
      <c r="D577" s="7">
        <f>IFERROR(IF(OR(PRECIOS!D577="",PRECIOS!D576=""),"",PRECIOS!D577/PRECIOS!D576-1),"")</f>
        <v>0.001152737752</v>
      </c>
      <c r="E577" s="7">
        <f>IFERROR(IF(OR(PRECIOS!E577="",PRECIOS!E576=""),"",PRECIOS!E577/PRECIOS!E576-1),"")</f>
        <v>0.005096388212</v>
      </c>
      <c r="F577" s="7">
        <f>IFERROR(IF(OR(PRECIOS!F577="",PRECIOS!F576=""),"",PRECIOS!F577/PRECIOS!F576-1),"")</f>
        <v>-0.003902439024</v>
      </c>
      <c r="G577" s="7">
        <f>IFERROR(IF(OR(PRECIOS!G577="",PRECIOS!G576=""),"",PRECIOS!G577/PRECIOS!G576-1),"")</f>
        <v>-0.01780667044</v>
      </c>
      <c r="H577" s="7">
        <f>IFERROR(IF(OR(PRECIOS!H577="",PRECIOS!H576=""),"",PRECIOS!H577/PRECIOS!H576-1),"")</f>
        <v>-0.01949976428</v>
      </c>
      <c r="I577" s="7">
        <f>IFERROR(IF(OR(PRECIOS!I577="",PRECIOS!I576=""),"",PRECIOS!I577/PRECIOS!I576-1),"")</f>
        <v>0.005343199123</v>
      </c>
    </row>
    <row r="578" ht="15.75" customHeight="1">
      <c r="A578" s="4">
        <f>IF(PRECIOS!A578="","",PRECIOS!A578)</f>
        <v>45247</v>
      </c>
      <c r="B578" s="7">
        <f>IFERROR(IF(OR(PRECIOS!B578="",PRECIOS!B577=""),"",PRECIOS!B578/PRECIOS!B577-1),"")</f>
        <v>0.02439976576</v>
      </c>
      <c r="C578" s="7">
        <f>IFERROR(IF(OR(PRECIOS!C578="",PRECIOS!C577=""),"",PRECIOS!C578/PRECIOS!C577-1),"")</f>
        <v>-0.007115411982</v>
      </c>
      <c r="D578" s="7">
        <f>IFERROR(IF(OR(PRECIOS!D578="",PRECIOS!D577=""),"",PRECIOS!D578/PRECIOS!D577-1),"")</f>
        <v>0.003454231434</v>
      </c>
      <c r="E578" s="7">
        <f>IFERROR(IF(OR(PRECIOS!E578="",PRECIOS!E577=""),"",PRECIOS!E578/PRECIOS!E577-1),"")</f>
        <v>0.004409171076</v>
      </c>
      <c r="F578" s="7">
        <f>IFERROR(IF(OR(PRECIOS!F578="",PRECIOS!F577=""),"",PRECIOS!F578/PRECIOS!F577-1),"")</f>
        <v>0.05093046033</v>
      </c>
      <c r="G578" s="7">
        <f>IFERROR(IF(OR(PRECIOS!G578="",PRECIOS!G577=""),"",PRECIOS!G578/PRECIOS!G577-1),"")</f>
        <v>0.01956834532</v>
      </c>
      <c r="H578" s="7">
        <f>IFERROR(IF(OR(PRECIOS!H578="",PRECIOS!H577=""),"",PRECIOS!H578/PRECIOS!H577-1),"")</f>
        <v>0.0209739502</v>
      </c>
      <c r="I578" s="7">
        <f>IFERROR(IF(OR(PRECIOS!I578="",PRECIOS!I577=""),"",PRECIOS!I578/PRECIOS!I577-1),"")</f>
        <v>0.002735001466</v>
      </c>
    </row>
    <row r="579" ht="15.75" customHeight="1">
      <c r="A579" s="4">
        <f>IF(PRECIOS!A579="","",PRECIOS!A579)</f>
        <v>45250</v>
      </c>
      <c r="B579" s="7">
        <f>IFERROR(IF(OR(PRECIOS!B579="",PRECIOS!B578=""),"",PRECIOS!B579/PRECIOS!B578-1),"")</f>
        <v>-0.004382621951</v>
      </c>
      <c r="C579" s="7">
        <f>IFERROR(IF(OR(PRECIOS!C579="",PRECIOS!C578=""),"",PRECIOS!C579/PRECIOS!C578-1),"")</f>
        <v>-0.004729826573</v>
      </c>
      <c r="D579" s="7">
        <f>IFERROR(IF(OR(PRECIOS!D579="",PRECIOS!D578=""),"",PRECIOS!D579/PRECIOS!D578-1),"")</f>
        <v>-0.004876649455</v>
      </c>
      <c r="E579" s="7">
        <f>IFERROR(IF(OR(PRECIOS!E579="",PRECIOS!E578=""),"",PRECIOS!E579/PRECIOS!E578-1),"")</f>
        <v>-0.003863037752</v>
      </c>
      <c r="F579" s="7">
        <f>IFERROR(IF(OR(PRECIOS!F579="",PRECIOS!F578=""),"",PRECIOS!F579/PRECIOS!F578-1),"")</f>
        <v>0.3988816403</v>
      </c>
      <c r="G579" s="7">
        <f>IFERROR(IF(OR(PRECIOS!G579="",PRECIOS!G578=""),"",PRECIOS!G579/PRECIOS!G578-1),"")</f>
        <v>0.005080440305</v>
      </c>
      <c r="H579" s="7">
        <f>IFERROR(IF(OR(PRECIOS!H579="",PRECIOS!H578=""),"",PRECIOS!H579/PRECIOS!H578-1),"")</f>
        <v>0.001415359708</v>
      </c>
      <c r="I579" s="7">
        <f>IFERROR(IF(OR(PRECIOS!I579="",PRECIOS!I578=""),"",PRECIOS!I579/PRECIOS!I578-1),"")</f>
        <v>-0.003047417262</v>
      </c>
    </row>
    <row r="580" ht="15.75" customHeight="1">
      <c r="A580" s="4">
        <f>IF(PRECIOS!A580="","",PRECIOS!A580)</f>
        <v>45251</v>
      </c>
      <c r="B580" s="7">
        <f>IFERROR(IF(OR(PRECIOS!B580="",PRECIOS!B579=""),"",PRECIOS!B580/PRECIOS!B579-1),"")</f>
        <v>-0.0003827751196</v>
      </c>
      <c r="C580" s="7">
        <f>IFERROR(IF(OR(PRECIOS!C580="",PRECIOS!C579=""),"",PRECIOS!C580/PRECIOS!C579-1),"")</f>
        <v>0.003024193548</v>
      </c>
      <c r="D580" s="7">
        <f>IFERROR(IF(OR(PRECIOS!D580="",PRECIOS!D579=""),"",PRECIOS!D580/PRECIOS!D579-1),"")</f>
        <v>-0.005765350245</v>
      </c>
      <c r="E580" s="7">
        <f>IFERROR(IF(OR(PRECIOS!E580="",PRECIOS!E579=""),"",PRECIOS!E580/PRECIOS!E579-1),"")</f>
        <v>0.0003966155473</v>
      </c>
      <c r="F580" s="7">
        <f>IFERROR(IF(OR(PRECIOS!F580="",PRECIOS!F579=""),"",PRECIOS!F580/PRECIOS!F579-1),"")</f>
        <v>-0.01199200533</v>
      </c>
      <c r="G580" s="7">
        <f>IFERROR(IF(OR(PRECIOS!G580="",PRECIOS!G579=""),"",PRECIOS!G580/PRECIOS!G579-1),"")</f>
        <v>0.009547879809</v>
      </c>
      <c r="H580" s="7">
        <f>IFERROR(IF(OR(PRECIOS!H580="",PRECIOS!H579=""),"",PRECIOS!H580/PRECIOS!H579-1),"")</f>
        <v>-0.00223951356</v>
      </c>
      <c r="I580" s="7">
        <f>IFERROR(IF(OR(PRECIOS!I580="",PRECIOS!I579=""),"",PRECIOS!I580/PRECIOS!I579-1),"")</f>
        <v>0.002094172198</v>
      </c>
    </row>
    <row r="581" ht="15.75" customHeight="1">
      <c r="A581" s="4">
        <f>IF(PRECIOS!A581="","",PRECIOS!A581)</f>
        <v>45252</v>
      </c>
      <c r="B581" s="7">
        <f>IFERROR(IF(OR(PRECIOS!B581="",PRECIOS!B580=""),"",PRECIOS!B581/PRECIOS!B580-1),"")</f>
        <v>-0.004307869041</v>
      </c>
      <c r="C581" s="7">
        <f>IFERROR(IF(OR(PRECIOS!C581="",PRECIOS!C580=""),"",PRECIOS!C581/PRECIOS!C580-1),"")</f>
        <v>-0.0008614501077</v>
      </c>
      <c r="D581" s="7">
        <f>IFERROR(IF(OR(PRECIOS!D581="",PRECIOS!D580=""),"",PRECIOS!D581/PRECIOS!D580-1),"")</f>
        <v>0.009278051609</v>
      </c>
      <c r="E581" s="7">
        <f>IFERROR(IF(OR(PRECIOS!E581="",PRECIOS!E580=""),"",PRECIOS!E581/PRECIOS!E580-1),"")</f>
        <v>0.008369675345</v>
      </c>
      <c r="F581" s="7">
        <f>IFERROR(IF(OR(PRECIOS!F581="",PRECIOS!F580=""),"",PRECIOS!F581/PRECIOS!F580-1),"")</f>
        <v>0.01146325017</v>
      </c>
      <c r="G581" s="7">
        <f>IFERROR(IF(OR(PRECIOS!G581="",PRECIOS!G580=""),"",PRECIOS!G581/PRECIOS!G580-1),"")</f>
        <v>0.007788595271</v>
      </c>
      <c r="H581" s="7">
        <f>IFERROR(IF(OR(PRECIOS!H581="",PRECIOS!H580=""),"",PRECIOS!H581/PRECIOS!H580-1),"")</f>
        <v>-0.0004687802542</v>
      </c>
      <c r="I581" s="7">
        <f>IFERROR(IF(OR(PRECIOS!I581="",PRECIOS!I580=""),"",PRECIOS!I581/PRECIOS!I580-1),"")</f>
        <v>0.004816514551</v>
      </c>
    </row>
    <row r="582" ht="15.75" customHeight="1">
      <c r="A582" s="4">
        <f>IF(PRECIOS!A582="","",PRECIOS!A582)</f>
        <v>45254</v>
      </c>
      <c r="B582" s="7">
        <f>IFERROR(IF(OR(PRECIOS!B582="",PRECIOS!B581=""),"",PRECIOS!B582/PRECIOS!B581-1),"")</f>
        <v>0.005384097683</v>
      </c>
      <c r="C582" s="7">
        <f>IFERROR(IF(OR(PRECIOS!C582="",PRECIOS!C581=""),"",PRECIOS!C582/PRECIOS!C581-1),"")</f>
        <v>0.0002873976146</v>
      </c>
      <c r="D582" s="7">
        <f>IFERROR(IF(OR(PRECIOS!D582="",PRECIOS!D581=""),"",PRECIOS!D582/PRECIOS!D581-1),"")</f>
        <v>0.00143636886</v>
      </c>
      <c r="E582" s="7">
        <f>IFERROR(IF(OR(PRECIOS!E582="",PRECIOS!E581=""),"",PRECIOS!E582/PRECIOS!E581-1),"")</f>
        <v>-0.0008300205321</v>
      </c>
      <c r="F582" s="7">
        <f>IFERROR(IF(OR(PRECIOS!F582="",PRECIOS!F581=""),"",PRECIOS!F582/PRECIOS!F581-1),"")</f>
        <v>0.1226666667</v>
      </c>
      <c r="G582" s="7">
        <f>IFERROR(IF(OR(PRECIOS!G582="",PRECIOS!G581=""),"",PRECIOS!G582/PRECIOS!G581-1),"")</f>
        <v>0.002484129175</v>
      </c>
      <c r="H582" s="7">
        <f>IFERROR(IF(OR(PRECIOS!H582="",PRECIOS!H581=""),"",PRECIOS!H582/PRECIOS!H581-1),"")</f>
        <v>0.004139435772</v>
      </c>
      <c r="I582" s="7">
        <f>IFERROR(IF(OR(PRECIOS!I582="",PRECIOS!I581=""),"",PRECIOS!I582/PRECIOS!I581-1),"")</f>
        <v>0.002562890173</v>
      </c>
    </row>
    <row r="583" ht="15.75" customHeight="1">
      <c r="A583" s="4">
        <f>IF(PRECIOS!A583="","",PRECIOS!A583)</f>
        <v>45257</v>
      </c>
      <c r="B583" s="7">
        <f>IFERROR(IF(OR(PRECIOS!B583="",PRECIOS!B582=""),"",PRECIOS!B583/PRECIOS!B582-1),"")</f>
        <v>-0.005833413025</v>
      </c>
      <c r="C583" s="7">
        <f>IFERROR(IF(OR(PRECIOS!C583="",PRECIOS!C582=""),"",PRECIOS!C583/PRECIOS!C582-1),"")</f>
        <v>0.009337738831</v>
      </c>
      <c r="D583" s="7">
        <f>IFERROR(IF(OR(PRECIOS!D583="",PRECIOS!D582=""),"",PRECIOS!D583/PRECIOS!D582-1),"")</f>
        <v>0.02237521515</v>
      </c>
      <c r="E583" s="7">
        <f>IFERROR(IF(OR(PRECIOS!E583="",PRECIOS!E582=""),"",PRECIOS!E583/PRECIOS!E582-1),"")</f>
        <v>0.0002623294858</v>
      </c>
      <c r="F583" s="7">
        <f>IFERROR(IF(OR(PRECIOS!F583="",PRECIOS!F582=""),"",PRECIOS!F583/PRECIOS!F582-1),"")</f>
        <v>0.02494061758</v>
      </c>
      <c r="G583" s="7">
        <f>IFERROR(IF(OR(PRECIOS!G583="",PRECIOS!G582=""),"",PRECIOS!G583/PRECIOS!G582-1),"")</f>
        <v>0.001927312775</v>
      </c>
      <c r="H583" s="7">
        <f>IFERROR(IF(OR(PRECIOS!H583="",PRECIOS!H582=""),"",PRECIOS!H583/PRECIOS!H582-1),"")</f>
        <v>-0.003535999675</v>
      </c>
      <c r="I583" s="7">
        <f>IFERROR(IF(OR(PRECIOS!I583="",PRECIOS!I582=""),"",PRECIOS!I583/PRECIOS!I582-1),"")</f>
        <v>0.001592585251</v>
      </c>
    </row>
    <row r="584" ht="15.75" customHeight="1">
      <c r="A584" s="4">
        <f>IF(PRECIOS!A584="","",PRECIOS!A584)</f>
        <v>45258</v>
      </c>
      <c r="B584" s="7">
        <f>IFERROR(IF(OR(PRECIOS!B584="",PRECIOS!B583=""),"",PRECIOS!B584/PRECIOS!B583-1),"")</f>
        <v>-0.0005771450558</v>
      </c>
      <c r="C584" s="7">
        <f>IFERROR(IF(OR(PRECIOS!C584="",PRECIOS!C583=""),"",PRECIOS!C584/PRECIOS!C583-1),"")</f>
        <v>0.003273555366</v>
      </c>
      <c r="D584" s="7">
        <f>IFERROR(IF(OR(PRECIOS!D584="",PRECIOS!D583=""),"",PRECIOS!D584/PRECIOS!D583-1),"")</f>
        <v>-0.01178451178</v>
      </c>
      <c r="E584" s="7">
        <f>IFERROR(IF(OR(PRECIOS!E584="",PRECIOS!E583=""),"",PRECIOS!E584/PRECIOS!E583-1),"")</f>
        <v>-0.01831453798</v>
      </c>
      <c r="F584" s="7">
        <f>IFERROR(IF(OR(PRECIOS!F584="",PRECIOS!F583=""),"",PRECIOS!F584/PRECIOS!F583-1),"")</f>
        <v>-0.02723059096</v>
      </c>
      <c r="G584" s="7">
        <f>IFERROR(IF(OR(PRECIOS!G584="",PRECIOS!G583=""),"",PRECIOS!G584/PRECIOS!G583-1),"")</f>
        <v>-0.001648804617</v>
      </c>
      <c r="H584" s="7">
        <f>IFERROR(IF(OR(PRECIOS!H584="",PRECIOS!H583=""),"",PRECIOS!H584/PRECIOS!H583-1),"")</f>
        <v>0.0002343620639</v>
      </c>
      <c r="I584" s="7">
        <f>IFERROR(IF(OR(PRECIOS!I584="",PRECIOS!I583=""),"",PRECIOS!I584/PRECIOS!I583-1),"")</f>
        <v>0.003186930174</v>
      </c>
    </row>
    <row r="585" ht="15.75" customHeight="1">
      <c r="A585" s="4">
        <f>IF(PRECIOS!A585="","",PRECIOS!A585)</f>
        <v>45259</v>
      </c>
      <c r="B585" s="7">
        <f>IFERROR(IF(OR(PRECIOS!B585="",PRECIOS!B584=""),"",PRECIOS!B585/PRECIOS!B584-1),"")</f>
        <v>-0.01501443696</v>
      </c>
      <c r="C585" s="7">
        <f>IFERROR(IF(OR(PRECIOS!C585="",PRECIOS!C584=""),"",PRECIOS!C585/PRECIOS!C584-1),"")</f>
        <v>-0.003688466449</v>
      </c>
      <c r="D585" s="7">
        <f>IFERROR(IF(OR(PRECIOS!D585="",PRECIOS!D584=""),"",PRECIOS!D585/PRECIOS!D584-1),"")</f>
        <v>-0.008517887564</v>
      </c>
      <c r="E585" s="7">
        <f>IFERROR(IF(OR(PRECIOS!E585="",PRECIOS!E584=""),"",PRECIOS!E585/PRECIOS!E584-1),"")</f>
        <v>0.005387595173</v>
      </c>
      <c r="F585" s="7">
        <f>IFERROR(IF(OR(PRECIOS!F585="",PRECIOS!F584=""),"",PRECIOS!F585/PRECIOS!F584-1),"")</f>
        <v>0.01131625968</v>
      </c>
      <c r="G585" s="7">
        <f>IFERROR(IF(OR(PRECIOS!G585="",PRECIOS!G584=""),"",PRECIOS!G585/PRECIOS!G584-1),"")</f>
        <v>0.003027800716</v>
      </c>
      <c r="H585" s="7">
        <f>IFERROR(IF(OR(PRECIOS!H585="",PRECIOS!H584=""),"",PRECIOS!H585/PRECIOS!H584-1),"")</f>
        <v>-0.007439252051</v>
      </c>
      <c r="I585" s="7">
        <f>IFERROR(IF(OR(PRECIOS!I585="",PRECIOS!I584=""),"",PRECIOS!I585/PRECIOS!I584-1),"")</f>
        <v>-0.007942014789</v>
      </c>
    </row>
    <row r="586" ht="15.75" customHeight="1">
      <c r="A586" s="4">
        <f>IF(PRECIOS!A586="","",PRECIOS!A586)</f>
        <v>45260</v>
      </c>
      <c r="B586" s="7">
        <f>IFERROR(IF(OR(PRECIOS!B586="",PRECIOS!B585=""),"",PRECIOS!B586/PRECIOS!B585-1),"")</f>
        <v>0.00390854016</v>
      </c>
      <c r="C586" s="7">
        <f>IFERROR(IF(OR(PRECIOS!C586="",PRECIOS!C585=""),"",PRECIOS!C586/PRECIOS!C585-1),"")</f>
        <v>0.01067919692</v>
      </c>
      <c r="D586" s="7">
        <f>IFERROR(IF(OR(PRECIOS!D586="",PRECIOS!D585=""),"",PRECIOS!D586/PRECIOS!D585-1),"")</f>
        <v>0.01403207331</v>
      </c>
      <c r="E586" s="7">
        <f>IFERROR(IF(OR(PRECIOS!E586="",PRECIOS!E585=""),"",PRECIOS!E586/PRECIOS!E585-1),"")</f>
        <v>0.00837023915</v>
      </c>
      <c r="F586" s="7">
        <f>IFERROR(IF(OR(PRECIOS!F586="",PRECIOS!F585=""),"",PRECIOS!F586/PRECIOS!F585-1),"")</f>
        <v>-0.02179034158</v>
      </c>
      <c r="G586" s="7">
        <f>IFERROR(IF(OR(PRECIOS!G586="",PRECIOS!G585=""),"",PRECIOS!G586/PRECIOS!G585-1),"")</f>
        <v>0.009604829857</v>
      </c>
      <c r="H586" s="7">
        <f>IFERROR(IF(OR(PRECIOS!H586="",PRECIOS!H585=""),"",PRECIOS!H586/PRECIOS!H585-1),"")</f>
        <v>0.00666622191</v>
      </c>
      <c r="I586" s="7">
        <f>IFERROR(IF(OR(PRECIOS!I586="",PRECIOS!I585=""),"",PRECIOS!I586/PRECIOS!I585-1),"")</f>
        <v>0.004323364339</v>
      </c>
    </row>
    <row r="587" ht="15.75" customHeight="1">
      <c r="A587" s="4">
        <f>IF(PRECIOS!A587="","",PRECIOS!A587)</f>
        <v>45261</v>
      </c>
      <c r="B587" s="7">
        <f>IFERROR(IF(OR(PRECIOS!B587="",PRECIOS!B586=""),"",PRECIOS!B587/PRECIOS!B586-1),"")</f>
        <v>0.002433326844</v>
      </c>
      <c r="C587" s="7">
        <f>IFERROR(IF(OR(PRECIOS!C587="",PRECIOS!C586=""),"",PRECIOS!C587/PRECIOS!C586-1),"")</f>
        <v>0.007607776839</v>
      </c>
      <c r="D587" s="7">
        <f>IFERROR(IF(OR(PRECIOS!D587="",PRECIOS!D586=""),"",PRECIOS!D587/PRECIOS!D586-1),"")</f>
        <v>0.0245693307</v>
      </c>
      <c r="E587" s="7">
        <f>IFERROR(IF(OR(PRECIOS!E587="",PRECIOS!E586=""),"",PRECIOS!E587/PRECIOS!E586-1),"")</f>
        <v>0.01216566384</v>
      </c>
      <c r="F587" s="7">
        <f>IFERROR(IF(OR(PRECIOS!F587="",PRECIOS!F586=""),"",PRECIOS!F587/PRECIOS!F586-1),"")</f>
        <v>-0.02769416014</v>
      </c>
      <c r="G587" s="7">
        <f>IFERROR(IF(OR(PRECIOS!G587="",PRECIOS!G586=""),"",PRECIOS!G587/PRECIOS!G586-1),"")</f>
        <v>0.01331883664</v>
      </c>
      <c r="H587" s="7">
        <f>IFERROR(IF(OR(PRECIOS!H587="",PRECIOS!H586=""),"",PRECIOS!H587/PRECIOS!H586-1),"")</f>
        <v>0.005199783852</v>
      </c>
      <c r="I587" s="7">
        <f>IFERROR(IF(OR(PRECIOS!I587="",PRECIOS!I586=""),"",PRECIOS!I587/PRECIOS!I586-1),"")</f>
        <v>0.01226905903</v>
      </c>
    </row>
    <row r="588" ht="15.75" customHeight="1">
      <c r="A588" s="4">
        <f>IF(PRECIOS!A588="","",PRECIOS!A588)</f>
        <v>45264</v>
      </c>
      <c r="B588" s="7">
        <f>IFERROR(IF(OR(PRECIOS!B588="",PRECIOS!B587=""),"",PRECIOS!B588/PRECIOS!B587-1),"")</f>
        <v>-0.005437421109</v>
      </c>
      <c r="C588" s="7">
        <f>IFERROR(IF(OR(PRECIOS!C588="",PRECIOS!C587=""),"",PRECIOS!C588/PRECIOS!C587-1),"")</f>
        <v>-0.003355704698</v>
      </c>
      <c r="D588" s="7">
        <f>IFERROR(IF(OR(PRECIOS!D588="",PRECIOS!D587=""),"",PRECIOS!D588/PRECIOS!D587-1),"")</f>
        <v>0.02315325248</v>
      </c>
      <c r="E588" s="7">
        <f>IFERROR(IF(OR(PRECIOS!E588="",PRECIOS!E587=""),"",PRECIOS!E588/PRECIOS!E587-1),"")</f>
        <v>-0.009806474009</v>
      </c>
      <c r="F588" s="7">
        <f>IFERROR(IF(OR(PRECIOS!F588="",PRECIOS!F587=""),"",PRECIOS!F588/PRECIOS!F587-1),"")</f>
        <v>-0.006811145511</v>
      </c>
      <c r="G588" s="7">
        <f>IFERROR(IF(OR(PRECIOS!G588="",PRECIOS!G587=""),"",PRECIOS!G588/PRECIOS!G587-1),"")</f>
        <v>-0.007778969957</v>
      </c>
      <c r="H588" s="7">
        <f>IFERROR(IF(OR(PRECIOS!H588="",PRECIOS!H587=""),"",PRECIOS!H588/PRECIOS!H587-1),"")</f>
        <v>-0.0045871327</v>
      </c>
      <c r="I588" s="7">
        <f>IFERROR(IF(OR(PRECIOS!I588="",PRECIOS!I587=""),"",PRECIOS!I588/PRECIOS!I587-1),"")</f>
        <v>-0.003932201561</v>
      </c>
    </row>
    <row r="589" ht="15.75" customHeight="1">
      <c r="A589" s="4">
        <f>IF(PRECIOS!A589="","",PRECIOS!A589)</f>
        <v>45265</v>
      </c>
      <c r="B589" s="7">
        <f>IFERROR(IF(OR(PRECIOS!B589="",PRECIOS!B588=""),"",PRECIOS!B589/PRECIOS!B588-1),"")</f>
        <v>-0.01942790198</v>
      </c>
      <c r="C589" s="7">
        <f>IFERROR(IF(OR(PRECIOS!C589="",PRECIOS!C588=""),"",PRECIOS!C589/PRECIOS!C588-1),"")</f>
        <v>-0.004910213244</v>
      </c>
      <c r="D589" s="7">
        <f>IFERROR(IF(OR(PRECIOS!D589="",PRECIOS!D588=""),"",PRECIOS!D589/PRECIOS!D588-1),"")</f>
        <v>0.006734913793</v>
      </c>
      <c r="E589" s="7">
        <f>IFERROR(IF(OR(PRECIOS!E589="",PRECIOS!E588=""),"",PRECIOS!E589/PRECIOS!E588-1),"")</f>
        <v>-0.01139351446</v>
      </c>
      <c r="F589" s="7">
        <f>IFERROR(IF(OR(PRECIOS!F589="",PRECIOS!F588=""),"",PRECIOS!F589/PRECIOS!F588-1),"")</f>
        <v>0.06546134663</v>
      </c>
      <c r="G589" s="7">
        <f>IFERROR(IF(OR(PRECIOS!G589="",PRECIOS!G588=""),"",PRECIOS!G589/PRECIOS!G588-1),"")</f>
        <v>-0.01973506353</v>
      </c>
      <c r="H589" s="7">
        <f>IFERROR(IF(OR(PRECIOS!H589="",PRECIOS!H588=""),"",PRECIOS!H589/PRECIOS!H588-1),"")</f>
        <v>-0.01748799531</v>
      </c>
      <c r="I589" s="7">
        <f>IFERROR(IF(OR(PRECIOS!I589="",PRECIOS!I588=""),"",PRECIOS!I589/PRECIOS!I588-1),"")</f>
        <v>-0.007113353196</v>
      </c>
    </row>
    <row r="590" ht="15.75" customHeight="1">
      <c r="A590" s="4">
        <f>IF(PRECIOS!A590="","",PRECIOS!A590)</f>
        <v>45266</v>
      </c>
      <c r="B590" s="7">
        <f>IFERROR(IF(OR(PRECIOS!B590="",PRECIOS!B589=""),"",PRECIOS!B590/PRECIOS!B589-1),"")</f>
        <v>-0.01324173636</v>
      </c>
      <c r="C590" s="7">
        <f>IFERROR(IF(OR(PRECIOS!C590="",PRECIOS!C589=""),"",PRECIOS!C590/PRECIOS!C589-1),"")</f>
        <v>0.01875088115</v>
      </c>
      <c r="D590" s="7">
        <f>IFERROR(IF(OR(PRECIOS!D590="",PRECIOS!D589=""),"",PRECIOS!D590/PRECIOS!D589-1),"")</f>
        <v>-0.02916778164</v>
      </c>
      <c r="E590" s="7">
        <f>IFERROR(IF(OR(PRECIOS!E590="",PRECIOS!E589=""),"",PRECIOS!E590/PRECIOS!E589-1),"")</f>
        <v>0.00585106383</v>
      </c>
      <c r="F590" s="7">
        <f>IFERROR(IF(OR(PRECIOS!F590="",PRECIOS!F589=""),"",PRECIOS!F590/PRECIOS!F589-1),"")</f>
        <v>-0.0397893505</v>
      </c>
      <c r="G590" s="7">
        <f>IFERROR(IF(OR(PRECIOS!G590="",PRECIOS!G589=""),"",PRECIOS!G590/PRECIOS!G589-1),"")</f>
        <v>-0.01158301158</v>
      </c>
      <c r="H590" s="7">
        <f>IFERROR(IF(OR(PRECIOS!H590="",PRECIOS!H589=""),"",PRECIOS!H590/PRECIOS!H589-1),"")</f>
        <v>-0.01491353159</v>
      </c>
      <c r="I590" s="7">
        <f>IFERROR(IF(OR(PRECIOS!I590="",PRECIOS!I589=""),"",PRECIOS!I590/PRECIOS!I589-1),"")</f>
        <v>0.01336702369</v>
      </c>
    </row>
    <row r="591" ht="15.75" customHeight="1">
      <c r="A591" s="4">
        <f>IF(PRECIOS!A591="","",PRECIOS!A591)</f>
        <v>45267</v>
      </c>
      <c r="B591" s="7">
        <f>IFERROR(IF(OR(PRECIOS!B591="",PRECIOS!B590=""),"",PRECIOS!B591/PRECIOS!B590-1),"")</f>
        <v>-0.006961961457</v>
      </c>
      <c r="C591" s="7">
        <f>IFERROR(IF(OR(PRECIOS!C591="",PRECIOS!C590=""),"",PRECIOS!C591/PRECIOS!C590-1),"")</f>
        <v>-0.008441738168</v>
      </c>
      <c r="D591" s="7">
        <f>IFERROR(IF(OR(PRECIOS!D591="",PRECIOS!D590=""),"",PRECIOS!D591/PRECIOS!D590-1),"")</f>
        <v>0.02453142227</v>
      </c>
      <c r="E591" s="7">
        <f>IFERROR(IF(OR(PRECIOS!E591="",PRECIOS!E590=""),"",PRECIOS!E591/PRECIOS!E590-1),"")</f>
        <v>0.004450907809</v>
      </c>
      <c r="F591" s="7">
        <f>IFERROR(IF(OR(PRECIOS!F591="",PRECIOS!F590=""),"",PRECIOS!F591/PRECIOS!F590-1),"")</f>
        <v>0.005484460695</v>
      </c>
      <c r="G591" s="7">
        <f>IFERROR(IF(OR(PRECIOS!G591="",PRECIOS!G590=""),"",PRECIOS!G591/PRECIOS!G590-1),"")</f>
        <v>-0.025390625</v>
      </c>
      <c r="H591" s="7">
        <f>IFERROR(IF(OR(PRECIOS!H591="",PRECIOS!H590=""),"",PRECIOS!H591/PRECIOS!H590-1),"")</f>
        <v>-0.006837957772</v>
      </c>
      <c r="I591" s="7">
        <f>IFERROR(IF(OR(PRECIOS!I591="",PRECIOS!I590=""),"",PRECIOS!I591/PRECIOS!I590-1),"")</f>
        <v>-0.002197328883</v>
      </c>
    </row>
    <row r="592" ht="15.75" customHeight="1">
      <c r="A592" s="4">
        <f>IF(PRECIOS!A592="","",PRECIOS!A592)</f>
        <v>45268</v>
      </c>
      <c r="B592" s="7">
        <f>IFERROR(IF(OR(PRECIOS!B592="",PRECIOS!B591=""),"",PRECIOS!B592/PRECIOS!B591-1),"")</f>
        <v>0.01148140622</v>
      </c>
      <c r="C592" s="7">
        <f>IFERROR(IF(OR(PRECIOS!C592="",PRECIOS!C591=""),"",PRECIOS!C592/PRECIOS!C591-1),"")</f>
        <v>-0.002093510119</v>
      </c>
      <c r="D592" s="7">
        <f>IFERROR(IF(OR(PRECIOS!D592="",PRECIOS!D591=""),"",PRECIOS!D592/PRECIOS!D591-1),"")</f>
        <v>-0.005649717514</v>
      </c>
      <c r="E592" s="7">
        <f>IFERROR(IF(OR(PRECIOS!E592="",PRECIOS!E591=""),"",PRECIOS!E592/PRECIOS!E591-1),"")</f>
        <v>0.0192164261</v>
      </c>
      <c r="F592" s="7">
        <f>IFERROR(IF(OR(PRECIOS!F592="",PRECIOS!F591=""),"",PRECIOS!F592/PRECIOS!F591-1),"")</f>
        <v>0.03878787879</v>
      </c>
      <c r="G592" s="7">
        <f>IFERROR(IF(OR(PRECIOS!G592="",PRECIOS!G591=""),"",PRECIOS!G592/PRECIOS!G591-1),"")</f>
        <v>0.01689092471</v>
      </c>
      <c r="H592" s="7">
        <f>IFERROR(IF(OR(PRECIOS!H592="",PRECIOS!H591=""),"",PRECIOS!H592/PRECIOS!H591-1),"")</f>
        <v>0.01081783007</v>
      </c>
      <c r="I592" s="7">
        <f>IFERROR(IF(OR(PRECIOS!I592="",PRECIOS!I591=""),"",PRECIOS!I592/PRECIOS!I591-1),"")</f>
        <v>-0.001888535913</v>
      </c>
    </row>
    <row r="593" ht="15.75" customHeight="1">
      <c r="A593" s="4">
        <f>IF(PRECIOS!A593="","",PRECIOS!A593)</f>
        <v>45271</v>
      </c>
      <c r="B593" s="7">
        <f>IFERROR(IF(OR(PRECIOS!B593="",PRECIOS!B592=""),"",PRECIOS!B593/PRECIOS!B592-1),"")</f>
        <v>0.0007031642391</v>
      </c>
      <c r="C593" s="7">
        <f>IFERROR(IF(OR(PRECIOS!C593="",PRECIOS!C592=""),"",PRECIOS!C593/PRECIOS!C592-1),"")</f>
        <v>-0.001958041958</v>
      </c>
      <c r="D593" s="7">
        <f>IFERROR(IF(OR(PRECIOS!D593="",PRECIOS!D592=""),"",PRECIOS!D593/PRECIOS!D592-1),"")</f>
        <v>-0.002164502165</v>
      </c>
      <c r="E593" s="7">
        <f>IFERROR(IF(OR(PRECIOS!E593="",PRECIOS!E592=""),"",PRECIOS!E593/PRECIOS!E592-1),"")</f>
        <v>0.01020188541</v>
      </c>
      <c r="F593" s="7">
        <f>IFERROR(IF(OR(PRECIOS!F593="",PRECIOS!F592=""),"",PRECIOS!F593/PRECIOS!F592-1),"")</f>
        <v>-0.003500583431</v>
      </c>
      <c r="G593" s="7">
        <f>IFERROR(IF(OR(PRECIOS!G593="",PRECIOS!G592=""),"",PRECIOS!G593/PRECIOS!G592-1),"")</f>
        <v>-0.01773648649</v>
      </c>
      <c r="H593" s="7">
        <f>IFERROR(IF(OR(PRECIOS!H593="",PRECIOS!H592=""),"",PRECIOS!H593/PRECIOS!H592-1),"")</f>
        <v>0.001216500359</v>
      </c>
      <c r="I593" s="7">
        <f>IFERROR(IF(OR(PRECIOS!I593="",PRECIOS!I592=""),"",PRECIOS!I593/PRECIOS!I592-1),"")</f>
        <v>0.006463580276</v>
      </c>
    </row>
    <row r="594" ht="15.75" customHeight="1">
      <c r="A594" s="4">
        <f>IF(PRECIOS!A594="","",PRECIOS!A594)</f>
        <v>45272</v>
      </c>
      <c r="B594" s="7">
        <f>IFERROR(IF(OR(PRECIOS!B594="",PRECIOS!B593=""),"",PRECIOS!B594/PRECIOS!B593-1),"")</f>
        <v>-0.01575988757</v>
      </c>
      <c r="C594" s="7">
        <f>IFERROR(IF(OR(PRECIOS!C594="",PRECIOS!C593=""),"",PRECIOS!C594/PRECIOS!C593-1),"")</f>
        <v>-0.01247197309</v>
      </c>
      <c r="D594" s="7">
        <f>IFERROR(IF(OR(PRECIOS!D594="",PRECIOS!D593=""),"",PRECIOS!D594/PRECIOS!D593-1),"")</f>
        <v>0.01220173536</v>
      </c>
      <c r="E594" s="7">
        <f>IFERROR(IF(OR(PRECIOS!E594="",PRECIOS!E593=""),"",PRECIOS!E594/PRECIOS!E593-1),"")</f>
        <v>0.01009885802</v>
      </c>
      <c r="F594" s="7">
        <f>IFERROR(IF(OR(PRECIOS!F594="",PRECIOS!F593=""),"",PRECIOS!F594/PRECIOS!F593-1),"")</f>
        <v>0.01053864169</v>
      </c>
      <c r="G594" s="7">
        <f>IFERROR(IF(OR(PRECIOS!G594="",PRECIOS!G593=""),"",PRECIOS!G594/PRECIOS!G593-1),"")</f>
        <v>-0.01375752365</v>
      </c>
      <c r="H594" s="7">
        <f>IFERROR(IF(OR(PRECIOS!H594="",PRECIOS!H593=""),"",PRECIOS!H594/PRECIOS!H593-1),"")</f>
        <v>-0.01372399093</v>
      </c>
      <c r="I594" s="7">
        <f>IFERROR(IF(OR(PRECIOS!I594="",PRECIOS!I593=""),"",PRECIOS!I594/PRECIOS!I593-1),"")</f>
        <v>-0.004072123245</v>
      </c>
    </row>
    <row r="595" ht="15.75" customHeight="1">
      <c r="A595" s="4">
        <f>IF(PRECIOS!A595="","",PRECIOS!A595)</f>
        <v>45273</v>
      </c>
      <c r="B595" s="7">
        <f>IFERROR(IF(OR(PRECIOS!B595="",PRECIOS!B594=""),"",PRECIOS!B595/PRECIOS!B594-1),"")</f>
        <v>0.008873023967</v>
      </c>
      <c r="C595" s="7">
        <f>IFERROR(IF(OR(PRECIOS!C595="",PRECIOS!C594=""),"",PRECIOS!C595/PRECIOS!C594-1),"")</f>
        <v>0.03703703704</v>
      </c>
      <c r="D595" s="7">
        <f>IFERROR(IF(OR(PRECIOS!D595="",PRECIOS!D594=""),"",PRECIOS!D595/PRECIOS!D594-1),"")</f>
        <v>0.0211626038</v>
      </c>
      <c r="E595" s="7">
        <f>IFERROR(IF(OR(PRECIOS!E595="",PRECIOS!E594=""),"",PRECIOS!E595/PRECIOS!E594-1),"")</f>
        <v>-0.001096815018</v>
      </c>
      <c r="F595" s="7">
        <f>IFERROR(IF(OR(PRECIOS!F595="",PRECIOS!F594=""),"",PRECIOS!F595/PRECIOS!F594-1),"")</f>
        <v>0.01969872538</v>
      </c>
      <c r="G595" s="7">
        <f>IFERROR(IF(OR(PRECIOS!G595="",PRECIOS!G594=""),"",PRECIOS!G595/PRECIOS!G594-1),"")</f>
        <v>0.007265329846</v>
      </c>
      <c r="H595" s="7">
        <f>IFERROR(IF(OR(PRECIOS!H595="",PRECIOS!H594=""),"",PRECIOS!H595/PRECIOS!H594-1),"")</f>
        <v>0.01391495971</v>
      </c>
      <c r="I595" s="7">
        <f>IFERROR(IF(OR(PRECIOS!I595="",PRECIOS!I594=""),"",PRECIOS!I595/PRECIOS!I594-1),"")</f>
        <v>0.03776300621</v>
      </c>
    </row>
    <row r="596" ht="15.75" customHeight="1">
      <c r="A596" s="4">
        <f>IF(PRECIOS!A596="","",PRECIOS!A596)</f>
        <v>45274</v>
      </c>
      <c r="B596" s="7">
        <f>IFERROR(IF(OR(PRECIOS!B596="",PRECIOS!B595=""),"",PRECIOS!B596/PRECIOS!B595-1),"")</f>
        <v>0.0268904165</v>
      </c>
      <c r="C596" s="7">
        <f>IFERROR(IF(OR(PRECIOS!C596="",PRECIOS!C595=""),"",PRECIOS!C596/PRECIOS!C595-1),"")</f>
        <v>-0.02162014231</v>
      </c>
      <c r="D596" s="7">
        <f>IFERROR(IF(OR(PRECIOS!D596="",PRECIOS!D595=""),"",PRECIOS!D596/PRECIOS!D595-1),"")</f>
        <v>-0.01652675761</v>
      </c>
      <c r="E596" s="7">
        <f>IFERROR(IF(OR(PRECIOS!E596="",PRECIOS!E595=""),"",PRECIOS!E596/PRECIOS!E595-1),"")</f>
        <v>0.003843067697</v>
      </c>
      <c r="F596" s="7">
        <f>IFERROR(IF(OR(PRECIOS!F596="",PRECIOS!F595=""),"",PRECIOS!F596/PRECIOS!F595-1),"")</f>
        <v>-0.009659090909</v>
      </c>
      <c r="G596" s="7">
        <f>IFERROR(IF(OR(PRECIOS!G596="",PRECIOS!G595=""),"",PRECIOS!G596/PRECIOS!G595-1),"")</f>
        <v>0</v>
      </c>
      <c r="H596" s="7">
        <f>IFERROR(IF(OR(PRECIOS!H596="",PRECIOS!H595=""),"",PRECIOS!H596/PRECIOS!H595-1),"")</f>
        <v>0.02939358866</v>
      </c>
      <c r="I596" s="7">
        <f>IFERROR(IF(OR(PRECIOS!I596="",PRECIOS!I595=""),"",PRECIOS!I596/PRECIOS!I595-1),"")</f>
        <v>-0.01304126106</v>
      </c>
    </row>
    <row r="597" ht="15.75" customHeight="1">
      <c r="A597" s="4">
        <f>IF(PRECIOS!A597="","",PRECIOS!A597)</f>
        <v>45275</v>
      </c>
      <c r="B597" s="7">
        <f>IFERROR(IF(OR(PRECIOS!B597="",PRECIOS!B596=""),"",PRECIOS!B597/PRECIOS!B596-1),"")</f>
        <v>-0.006694231148</v>
      </c>
      <c r="C597" s="7">
        <f>IFERROR(IF(OR(PRECIOS!C597="",PRECIOS!C596=""),"",PRECIOS!C597/PRECIOS!C596-1),"")</f>
        <v>-0.008951048951</v>
      </c>
      <c r="D597" s="7">
        <f>IFERROR(IF(OR(PRECIOS!D597="",PRECIOS!D596=""),"",PRECIOS!D597/PRECIOS!D596-1),"")</f>
        <v>0.005068018138</v>
      </c>
      <c r="E597" s="7">
        <f>IFERROR(IF(OR(PRECIOS!E597="",PRECIOS!E596=""),"",PRECIOS!E597/PRECIOS!E596-1),"")</f>
        <v>-0.001220025242</v>
      </c>
      <c r="F597" s="7">
        <f>IFERROR(IF(OR(PRECIOS!F597="",PRECIOS!F596=""),"",PRECIOS!F597/PRECIOS!F596-1),"")</f>
        <v>-0.02237521515</v>
      </c>
      <c r="G597" s="7">
        <f>IFERROR(IF(OR(PRECIOS!G597="",PRECIOS!G596=""),"",PRECIOS!G597/PRECIOS!G596-1),"")</f>
        <v>-0.00115406809</v>
      </c>
      <c r="H597" s="7">
        <f>IFERROR(IF(OR(PRECIOS!H597="",PRECIOS!H596=""),"",PRECIOS!H597/PRECIOS!H596-1),"")</f>
        <v>-0.00530638929</v>
      </c>
      <c r="I597" s="7">
        <f>IFERROR(IF(OR(PRECIOS!I597="",PRECIOS!I596=""),"",PRECIOS!I597/PRECIOS!I596-1),"")</f>
        <v>-0.01735702015</v>
      </c>
    </row>
    <row r="598" ht="15.75" customHeight="1">
      <c r="A598" s="4">
        <f>IF(PRECIOS!A598="","",PRECIOS!A598)</f>
        <v>45278</v>
      </c>
      <c r="B598" s="7">
        <f>IFERROR(IF(OR(PRECIOS!B598="",PRECIOS!B597=""),"",PRECIOS!B598/PRECIOS!B597-1),"")</f>
        <v>0.007433102081</v>
      </c>
      <c r="C598" s="7">
        <f>IFERROR(IF(OR(PRECIOS!C598="",PRECIOS!C597=""),"",PRECIOS!C598/PRECIOS!C597-1),"")</f>
        <v>0.007902907141</v>
      </c>
      <c r="D598" s="7">
        <f>IFERROR(IF(OR(PRECIOS!D598="",PRECIOS!D597=""),"",PRECIOS!D598/PRECIOS!D597-1),"")</f>
        <v>0.002123142251</v>
      </c>
      <c r="E598" s="7">
        <f>IFERROR(IF(OR(PRECIOS!E598="",PRECIOS!E597=""),"",PRECIOS!E598/PRECIOS!E597-1),"")</f>
        <v>-0.001179394297</v>
      </c>
      <c r="F598" s="7">
        <f>IFERROR(IF(OR(PRECIOS!F598="",PRECIOS!F597=""),"",PRECIOS!F598/PRECIOS!F597-1),"")</f>
        <v>0.02816901408</v>
      </c>
      <c r="G598" s="7">
        <f>IFERROR(IF(OR(PRECIOS!G598="",PRECIOS!G597=""),"",PRECIOS!G598/PRECIOS!G597-1),"")</f>
        <v>0.002310803004</v>
      </c>
      <c r="H598" s="7">
        <f>IFERROR(IF(OR(PRECIOS!H598="",PRECIOS!H597=""),"",PRECIOS!H598/PRECIOS!H597-1),"")</f>
        <v>0.008168275686</v>
      </c>
      <c r="I598" s="7">
        <f>IFERROR(IF(OR(PRECIOS!I598="",PRECIOS!I597=""),"",PRECIOS!I598/PRECIOS!I597-1),"")</f>
        <v>-0.002254002277</v>
      </c>
    </row>
    <row r="599" ht="15.75" customHeight="1">
      <c r="A599" s="4">
        <f>IF(PRECIOS!A599="","",PRECIOS!A599)</f>
        <v>45279</v>
      </c>
      <c r="B599" s="7">
        <f>IFERROR(IF(OR(PRECIOS!B599="",PRECIOS!B598=""),"",PRECIOS!B599/PRECIOS!B598-1),"")</f>
        <v>0.01318248893</v>
      </c>
      <c r="C599" s="7">
        <f>IFERROR(IF(OR(PRECIOS!C599="",PRECIOS!C598=""),"",PRECIOS!C599/PRECIOS!C598-1),"")</f>
        <v>-0.002240268832</v>
      </c>
      <c r="D599" s="7">
        <f>IFERROR(IF(OR(PRECIOS!D599="",PRECIOS!D598=""),"",PRECIOS!D599/PRECIOS!D598-1),"")</f>
        <v>-0.001059322034</v>
      </c>
      <c r="E599" s="7">
        <f>IFERROR(IF(OR(PRECIOS!E599="",PRECIOS!E598=""),"",PRECIOS!E599/PRECIOS!E598-1),"")</f>
        <v>0.00430143803</v>
      </c>
      <c r="F599" s="7">
        <f>IFERROR(IF(OR(PRECIOS!F599="",PRECIOS!F598=""),"",PRECIOS!F599/PRECIOS!F598-1),"")</f>
        <v>-0.01141552511</v>
      </c>
      <c r="G599" s="7">
        <f>IFERROR(IF(OR(PRECIOS!G599="",PRECIOS!G598=""),"",PRECIOS!G599/PRECIOS!G598-1),"")</f>
        <v>0.01066282421</v>
      </c>
      <c r="H599" s="7">
        <f>IFERROR(IF(OR(PRECIOS!H599="",PRECIOS!H598=""),"",PRECIOS!H599/PRECIOS!H598-1),"")</f>
        <v>0.01199840698</v>
      </c>
      <c r="I599" s="7">
        <f>IFERROR(IF(OR(PRECIOS!I599="",PRECIOS!I598=""),"",PRECIOS!I599/PRECIOS!I598-1),"")</f>
        <v>0.005696408611</v>
      </c>
    </row>
    <row r="600" ht="15.75" customHeight="1">
      <c r="A600" s="4">
        <f>IF(PRECIOS!A600="","",PRECIOS!A600)</f>
        <v>45280</v>
      </c>
      <c r="B600" s="7">
        <f>IFERROR(IF(OR(PRECIOS!B600="",PRECIOS!B599=""),"",PRECIOS!B600/PRECIOS!B599-1),"")</f>
        <v>-0.01670065055</v>
      </c>
      <c r="C600" s="7">
        <f>IFERROR(IF(OR(PRECIOS!C600="",PRECIOS!C599=""),"",PRECIOS!C600/PRECIOS!C599-1),"")</f>
        <v>-0.02203199551</v>
      </c>
      <c r="D600" s="7">
        <f>IFERROR(IF(OR(PRECIOS!D600="",PRECIOS!D599=""),"",PRECIOS!D600/PRECIOS!D599-1),"")</f>
        <v>-0.002916224814</v>
      </c>
      <c r="E600" s="7">
        <f>IFERROR(IF(OR(PRECIOS!E600="",PRECIOS!E599=""),"",PRECIOS!E600/PRECIOS!E599-1),"")</f>
        <v>-0.01763594373</v>
      </c>
      <c r="F600" s="7">
        <f>IFERROR(IF(OR(PRECIOS!F600="",PRECIOS!F599=""),"",PRECIOS!F600/PRECIOS!F599-1),"")</f>
        <v>0.02193995381</v>
      </c>
      <c r="G600" s="7">
        <f>IFERROR(IF(OR(PRECIOS!G600="",PRECIOS!G599=""),"",PRECIOS!G600/PRECIOS!G599-1),"")</f>
        <v>-0.01140575991</v>
      </c>
      <c r="H600" s="7">
        <f>IFERROR(IF(OR(PRECIOS!H600="",PRECIOS!H599=""),"",PRECIOS!H600/PRECIOS!H599-1),"")</f>
        <v>-0.009274368403</v>
      </c>
      <c r="I600" s="7">
        <f>IFERROR(IF(OR(PRECIOS!I600="",PRECIOS!I599=""),"",PRECIOS!I600/PRECIOS!I599-1),"")</f>
        <v>-0.02028677855</v>
      </c>
    </row>
    <row r="601" ht="15.75" customHeight="1">
      <c r="A601" s="4">
        <f>IF(PRECIOS!A601="","",PRECIOS!A601)</f>
        <v>45281</v>
      </c>
      <c r="B601" s="7">
        <f>IFERROR(IF(OR(PRECIOS!B601="",PRECIOS!B600=""),"",PRECIOS!B601/PRECIOS!B600-1),"")</f>
        <v>0.00454231263</v>
      </c>
      <c r="C601" s="7">
        <f>IFERROR(IF(OR(PRECIOS!C601="",PRECIOS!C600=""),"",PRECIOS!C601/PRECIOS!C600-1),"")</f>
        <v>-0.004591763524</v>
      </c>
      <c r="D601" s="7">
        <f>IFERROR(IF(OR(PRECIOS!D601="",PRECIOS!D600=""),"",PRECIOS!D601/PRECIOS!D600-1),"")</f>
        <v>0.004785961181</v>
      </c>
      <c r="E601" s="7">
        <f>IFERROR(IF(OR(PRECIOS!E601="",PRECIOS!E600=""),"",PRECIOS!E601/PRECIOS!E600-1),"")</f>
        <v>0.01427655482</v>
      </c>
      <c r="F601" s="7">
        <f>IFERROR(IF(OR(PRECIOS!F601="",PRECIOS!F600=""),"",PRECIOS!F601/PRECIOS!F600-1),"")</f>
        <v>-0.002824858757</v>
      </c>
      <c r="G601" s="7">
        <f>IFERROR(IF(OR(PRECIOS!G601="",PRECIOS!G600=""),"",PRECIOS!G601/PRECIOS!G600-1),"")</f>
        <v>0.008653014133</v>
      </c>
      <c r="H601" s="7">
        <f>IFERROR(IF(OR(PRECIOS!H601="",PRECIOS!H600=""),"",PRECIOS!H601/PRECIOS!H600-1),"")</f>
        <v>0.003908928296</v>
      </c>
      <c r="I601" s="7">
        <f>IFERROR(IF(OR(PRECIOS!I601="",PRECIOS!I600=""),"",PRECIOS!I601/PRECIOS!I600-1),"")</f>
        <v>0.001764749971</v>
      </c>
    </row>
    <row r="602" ht="15.75" customHeight="1">
      <c r="A602" s="4">
        <f>IF(PRECIOS!A602="","",PRECIOS!A602)</f>
        <v>45282</v>
      </c>
      <c r="B602" s="7">
        <f>IFERROR(IF(OR(PRECIOS!B602="",PRECIOS!B601=""),"",PRECIOS!B602/PRECIOS!B601-1),"")</f>
        <v>0.001769389561</v>
      </c>
      <c r="C602" s="7">
        <f>IFERROR(IF(OR(PRECIOS!C602="",PRECIOS!C601=""),"",PRECIOS!C602/PRECIOS!C601-1),"")</f>
        <v>0.001009081736</v>
      </c>
      <c r="D602" s="7">
        <f>IFERROR(IF(OR(PRECIOS!D602="",PRECIOS!D601=""),"",PRECIOS!D602/PRECIOS!D601-1),"")</f>
        <v>0.006086266208</v>
      </c>
      <c r="E602" s="7">
        <f>IFERROR(IF(OR(PRECIOS!E602="",PRECIOS!E601=""),"",PRECIOS!E602/PRECIOS!E601-1),"")</f>
        <v>0.005689241013</v>
      </c>
      <c r="F602" s="7">
        <f>IFERROR(IF(OR(PRECIOS!F602="",PRECIOS!F601=""),"",PRECIOS!F602/PRECIOS!F601-1),"")</f>
        <v>-0.008498583569</v>
      </c>
      <c r="G602" s="7">
        <f>IFERROR(IF(OR(PRECIOS!G602="",PRECIOS!G601=""),"",PRECIOS!G602/PRECIOS!G601-1),"")</f>
        <v>0.004861309694</v>
      </c>
      <c r="H602" s="7">
        <f>IFERROR(IF(OR(PRECIOS!H602="",PRECIOS!H601=""),"",PRECIOS!H602/PRECIOS!H601-1),"")</f>
        <v>0.002951153495</v>
      </c>
      <c r="I602" s="7">
        <f>IFERROR(IF(OR(PRECIOS!I602="",PRECIOS!I601=""),"",PRECIOS!I602/PRECIOS!I601-1),"")</f>
        <v>0.003363442206</v>
      </c>
    </row>
    <row r="603" ht="15.75" customHeight="1">
      <c r="A603" s="4">
        <f>IF(PRECIOS!A603="","",PRECIOS!A603)</f>
        <v>45286</v>
      </c>
      <c r="B603" s="7">
        <f>IFERROR(IF(OR(PRECIOS!B603="",PRECIOS!B602=""),"",PRECIOS!B603/PRECIOS!B602-1),"")</f>
        <v>0.002256893337</v>
      </c>
      <c r="C603" s="7">
        <f>IFERROR(IF(OR(PRECIOS!C603="",PRECIOS!C602=""),"",PRECIOS!C603/PRECIOS!C602-1),"")</f>
        <v>0.0001440092166</v>
      </c>
      <c r="D603" s="7">
        <f>IFERROR(IF(OR(PRECIOS!D603="",PRECIOS!D602=""),"",PRECIOS!D603/PRECIOS!D602-1),"")</f>
        <v>0.004734350342</v>
      </c>
      <c r="E603" s="7">
        <f>IFERROR(IF(OR(PRECIOS!E603="",PRECIOS!E602=""),"",PRECIOS!E603/PRECIOS!E602-1),"")</f>
        <v>0.006578947368</v>
      </c>
      <c r="F603" s="7">
        <f>IFERROR(IF(OR(PRECIOS!F603="",PRECIOS!F602=""),"",PRECIOS!F603/PRECIOS!F602-1),"")</f>
        <v>-0.001714285714</v>
      </c>
      <c r="G603" s="7">
        <f>IFERROR(IF(OR(PRECIOS!G603="",PRECIOS!G602=""),"",PRECIOS!G603/PRECIOS!G602-1),"")</f>
        <v>-0.0005691519636</v>
      </c>
      <c r="H603" s="7">
        <f>IFERROR(IF(OR(PRECIOS!H603="",PRECIOS!H602=""),"",PRECIOS!H603/PRECIOS!H602-1),"")</f>
        <v>0.00859120777</v>
      </c>
      <c r="I603" s="7">
        <f>IFERROR(IF(OR(PRECIOS!I603="",PRECIOS!I602=""),"",PRECIOS!I603/PRECIOS!I602-1),"")</f>
        <v>0.006067117916</v>
      </c>
    </row>
    <row r="604" ht="15.75" customHeight="1">
      <c r="A604" s="4">
        <f>IF(PRECIOS!A604="","",PRECIOS!A604)</f>
        <v>45287</v>
      </c>
      <c r="B604" s="7">
        <f>IFERROR(IF(OR(PRECIOS!B604="",PRECIOS!B603=""),"",PRECIOS!B604/PRECIOS!B603-1),"")</f>
        <v>-0.004699432152</v>
      </c>
      <c r="C604" s="7">
        <f>IFERROR(IF(OR(PRECIOS!C604="",PRECIOS!C603=""),"",PRECIOS!C604/PRECIOS!C603-1),"")</f>
        <v>-0.0005759539237</v>
      </c>
      <c r="D604" s="7">
        <f>IFERROR(IF(OR(PRECIOS!D604="",PRECIOS!D603=""),"",PRECIOS!D604/PRECIOS!D603-1),"")</f>
        <v>0.004712041885</v>
      </c>
      <c r="E604" s="7">
        <f>IFERROR(IF(OR(PRECIOS!E604="",PRECIOS!E603=""),"",PRECIOS!E604/PRECIOS!E603-1),"")</f>
        <v>0.002539444653</v>
      </c>
      <c r="F604" s="7">
        <f>IFERROR(IF(OR(PRECIOS!F604="",PRECIOS!F603=""),"",PRECIOS!F604/PRECIOS!F603-1),"")</f>
        <v>-0.01316542645</v>
      </c>
      <c r="G604" s="7">
        <f>IFERROR(IF(OR(PRECIOS!G604="",PRECIOS!G603=""),"",PRECIOS!G604/PRECIOS!G603-1),"")</f>
        <v>-0.002562642369</v>
      </c>
      <c r="H604" s="7">
        <f>IFERROR(IF(OR(PRECIOS!H604="",PRECIOS!H603=""),"",PRECIOS!H604/PRECIOS!H603-1),"")</f>
        <v>-0.00443714747</v>
      </c>
      <c r="I604" s="7">
        <f>IFERROR(IF(OR(PRECIOS!I604="",PRECIOS!I603=""),"",PRECIOS!I604/PRECIOS!I603-1),"")</f>
        <v>-0.0006333740984</v>
      </c>
    </row>
    <row r="605" ht="15.75" customHeight="1">
      <c r="A605" s="4">
        <f>IF(PRECIOS!A605="","",PRECIOS!A605)</f>
        <v>45288</v>
      </c>
      <c r="B605" s="7">
        <f>IFERROR(IF(OR(PRECIOS!B605="",PRECIOS!B604=""),"",PRECIOS!B605/PRECIOS!B604-1),"")</f>
        <v>-0.01445996459</v>
      </c>
      <c r="C605" s="7">
        <f>IFERROR(IF(OR(PRECIOS!C605="",PRECIOS!C604=""),"",PRECIOS!C605/PRECIOS!C604-1),"")</f>
        <v>0.01080535946</v>
      </c>
      <c r="D605" s="7">
        <f>IFERROR(IF(OR(PRECIOS!D605="",PRECIOS!D604=""),"",PRECIOS!D605/PRECIOS!D604-1),"")</f>
        <v>0.01146430433</v>
      </c>
      <c r="E605" s="7">
        <f>IFERROR(IF(OR(PRECIOS!E605="",PRECIOS!E604=""),"",PRECIOS!E605/PRECIOS!E604-1),"")</f>
        <v>-0.0002906735321</v>
      </c>
      <c r="F605" s="7">
        <f>IFERROR(IF(OR(PRECIOS!F605="",PRECIOS!F604=""),"",PRECIOS!F605/PRECIOS!F604-1),"")</f>
        <v>-0.01334106729</v>
      </c>
      <c r="G605" s="7">
        <f>IFERROR(IF(OR(PRECIOS!G605="",PRECIOS!G604=""),"",PRECIOS!G605/PRECIOS!G604-1),"")</f>
        <v>-0.002854695975</v>
      </c>
      <c r="H605" s="7">
        <f>IFERROR(IF(OR(PRECIOS!H605="",PRECIOS!H604=""),"",PRECIOS!H605/PRECIOS!H604-1),"")</f>
        <v>-0.01523261837</v>
      </c>
      <c r="I605" s="7">
        <f>IFERROR(IF(OR(PRECIOS!I605="",PRECIOS!I604=""),"",PRECIOS!I605/PRECIOS!I604-1),"")</f>
        <v>0.007143459133</v>
      </c>
    </row>
    <row r="606" ht="15.75" customHeight="1">
      <c r="A606" s="4">
        <f>IF(PRECIOS!A606="","",PRECIOS!A606)</f>
        <v>45289</v>
      </c>
      <c r="B606" s="7">
        <f>IFERROR(IF(OR(PRECIOS!B606="",PRECIOS!B605=""),"",PRECIOS!B606/PRECIOS!B605-1),"")</f>
        <v>-0.002096017567</v>
      </c>
      <c r="C606" s="7">
        <f>IFERROR(IF(OR(PRECIOS!C606="",PRECIOS!C605=""),"",PRECIOS!C606/PRECIOS!C605-1),"")</f>
        <v>-0.0005701254276</v>
      </c>
      <c r="D606" s="7">
        <f>IFERROR(IF(OR(PRECIOS!D606="",PRECIOS!D605=""),"",PRECIOS!D606/PRECIOS!D605-1),"")</f>
        <v>-0.00772797527</v>
      </c>
      <c r="E606" s="7">
        <f>IFERROR(IF(OR(PRECIOS!E606="",PRECIOS!E605=""),"",PRECIOS!E606/PRECIOS!E605-1),"")</f>
        <v>0.0002907580478</v>
      </c>
      <c r="F606" s="7">
        <f>IFERROR(IF(OR(PRECIOS!F606="",PRECIOS!F605=""),"",PRECIOS!F606/PRECIOS!F605-1),"")</f>
        <v>0.01058201058</v>
      </c>
      <c r="G606" s="7">
        <f>IFERROR(IF(OR(PRECIOS!G606="",PRECIOS!G605=""),"",PRECIOS!G606/PRECIOS!G605-1),"")</f>
        <v>-0.002862868594</v>
      </c>
      <c r="H606" s="7">
        <f>IFERROR(IF(OR(PRECIOS!H606="",PRECIOS!H605=""),"",PRECIOS!H606/PRECIOS!H605-1),"")</f>
        <v>-0.002261661533</v>
      </c>
      <c r="I606" s="7">
        <f>IFERROR(IF(OR(PRECIOS!I606="",PRECIOS!I605=""),"",PRECIOS!I606/PRECIOS!I605-1),"")</f>
        <v>-0.00126190779</v>
      </c>
    </row>
    <row r="607" ht="15.75" customHeight="1">
      <c r="A607" s="4">
        <f>IF(PRECIOS!A607="","",PRECIOS!A607)</f>
        <v>45293</v>
      </c>
      <c r="B607" s="7">
        <f>IFERROR(IF(OR(PRECIOS!B607="",PRECIOS!B606=""),"",PRECIOS!B607/PRECIOS!B606-1),"")</f>
        <v>0.02380476095</v>
      </c>
      <c r="C607" s="7">
        <f>IFERROR(IF(OR(PRECIOS!C607="",PRECIOS!C606=""),"",PRECIOS!C607/PRECIOS!C606-1),"")</f>
        <v>0.01041072447</v>
      </c>
      <c r="D607" s="7">
        <f>IFERROR(IF(OR(PRECIOS!D607="",PRECIOS!D606=""),"",PRECIOS!D607/PRECIOS!D606-1),"")</f>
        <v>-0.01168224299</v>
      </c>
      <c r="E607" s="7">
        <f>IFERROR(IF(OR(PRECIOS!E607="",PRECIOS!E606=""),"",PRECIOS!E607/PRECIOS!E606-1),"")</f>
        <v>-0.007972759738</v>
      </c>
      <c r="F607" s="7">
        <f>IFERROR(IF(OR(PRECIOS!F607="",PRECIOS!F606=""),"",PRECIOS!F607/PRECIOS!F606-1),"")</f>
        <v>-0.03897614892</v>
      </c>
      <c r="G607" s="7">
        <f>IFERROR(IF(OR(PRECIOS!G607="",PRECIOS!G606=""),"",PRECIOS!G607/PRECIOS!G606-1),"")</f>
        <v>0.01981050818</v>
      </c>
      <c r="H607" s="7">
        <f>IFERROR(IF(OR(PRECIOS!H607="",PRECIOS!H606=""),"",PRECIOS!H607/PRECIOS!H606-1),"")</f>
        <v>0.01073540723</v>
      </c>
      <c r="I607" s="7">
        <f>IFERROR(IF(OR(PRECIOS!I607="",PRECIOS!I606=""),"",PRECIOS!I607/PRECIOS!I606-1),"")</f>
        <v>0.01453195119</v>
      </c>
    </row>
    <row r="608" ht="15.75" customHeight="1">
      <c r="A608" s="4">
        <f>IF(PRECIOS!A608="","",PRECIOS!A608)</f>
        <v>45294</v>
      </c>
      <c r="B608" s="7">
        <f>IFERROR(IF(OR(PRECIOS!B608="",PRECIOS!B607=""),"",PRECIOS!B608/PRECIOS!B607-1),"")</f>
        <v>0.008401719422</v>
      </c>
      <c r="C608" s="7">
        <f>IFERROR(IF(OR(PRECIOS!C608="",PRECIOS!C607=""),"",PRECIOS!C608/PRECIOS!C607-1),"")</f>
        <v>0.0196189132</v>
      </c>
      <c r="D608" s="7">
        <f>IFERROR(IF(OR(PRECIOS!D608="",PRECIOS!D607=""),"",PRECIOS!D608/PRECIOS!D607-1),"")</f>
        <v>0.002889414237</v>
      </c>
      <c r="E608" s="7">
        <f>IFERROR(IF(OR(PRECIOS!E608="",PRECIOS!E607=""),"",PRECIOS!E608/PRECIOS!E607-1),"")</f>
        <v>-0.02427794056</v>
      </c>
      <c r="F608" s="7">
        <f>IFERROR(IF(OR(PRECIOS!F608="",PRECIOS!F607=""),"",PRECIOS!F608/PRECIOS!F607-1),"")</f>
        <v>0.01513317191</v>
      </c>
      <c r="G608" s="7">
        <f>IFERROR(IF(OR(PRECIOS!G608="",PRECIOS!G607=""),"",PRECIOS!G608/PRECIOS!G607-1),"")</f>
        <v>0.02224099099</v>
      </c>
      <c r="H608" s="7">
        <f>IFERROR(IF(OR(PRECIOS!H608="",PRECIOS!H607=""),"",PRECIOS!H608/PRECIOS!H607-1),"")</f>
        <v>0.01628611963</v>
      </c>
      <c r="I608" s="7">
        <f>IFERROR(IF(OR(PRECIOS!I608="",PRECIOS!I607=""),"",PRECIOS!I608/PRECIOS!I607-1),"")</f>
        <v>0.003732908729</v>
      </c>
    </row>
    <row r="609" ht="15.75" customHeight="1">
      <c r="A609" s="4">
        <f>IF(PRECIOS!A609="","",PRECIOS!A609)</f>
        <v>45295</v>
      </c>
      <c r="B609" s="7">
        <f>IFERROR(IF(OR(PRECIOS!B609="",PRECIOS!B608=""),"",PRECIOS!B609/PRECIOS!B608-1),"")</f>
        <v>-0.008719240457</v>
      </c>
      <c r="C609" s="7">
        <f>IFERROR(IF(OR(PRECIOS!C609="",PRECIOS!C608=""),"",PRECIOS!C609/PRECIOS!C608-1),"")</f>
        <v>-0.007336655592</v>
      </c>
      <c r="D609" s="7">
        <f>IFERROR(IF(OR(PRECIOS!D609="",PRECIOS!D608=""),"",PRECIOS!D609/PRECIOS!D608-1),"")</f>
        <v>0.005762179151</v>
      </c>
      <c r="E609" s="7">
        <f>IFERROR(IF(OR(PRECIOS!E609="",PRECIOS!E608=""),"",PRECIOS!E609/PRECIOS!E608-1),"")</f>
        <v>0.00592020592</v>
      </c>
      <c r="F609" s="7">
        <f>IFERROR(IF(OR(PRECIOS!F609="",PRECIOS!F608=""),"",PRECIOS!F609/PRECIOS!F608-1),"")</f>
        <v>-0.03220035778</v>
      </c>
      <c r="G609" s="7">
        <f>IFERROR(IF(OR(PRECIOS!G609="",PRECIOS!G608=""),"",PRECIOS!G609/PRECIOS!G608-1),"")</f>
        <v>-0.01349490498</v>
      </c>
      <c r="H609" s="7">
        <f>IFERROR(IF(OR(PRECIOS!H609="",PRECIOS!H608=""),"",PRECIOS!H609/PRECIOS!H608-1),"")</f>
        <v>-0.01753515958</v>
      </c>
      <c r="I609" s="7">
        <f>IFERROR(IF(OR(PRECIOS!I609="",PRECIOS!I608=""),"",PRECIOS!I609/PRECIOS!I608-1),"")</f>
        <v>-0.003100285345</v>
      </c>
    </row>
    <row r="610" ht="15.75" customHeight="1">
      <c r="A610" s="4">
        <f>IF(PRECIOS!A610="","",PRECIOS!A610)</f>
        <v>45296</v>
      </c>
      <c r="B610" s="7">
        <f>IFERROR(IF(OR(PRECIOS!B610="",PRECIOS!B609=""),"",PRECIOS!B610/PRECIOS!B609-1),"")</f>
        <v>0.003029710711</v>
      </c>
      <c r="C610" s="7">
        <f>IFERROR(IF(OR(PRECIOS!C610="",PRECIOS!C609=""),"",PRECIOS!C610/PRECIOS!C609-1),"")</f>
        <v>-0.001394505648</v>
      </c>
      <c r="D610" s="7">
        <f>IFERROR(IF(OR(PRECIOS!D610="",PRECIOS!D609=""),"",PRECIOS!D610/PRECIOS!D609-1),"")</f>
        <v>0.004947916667</v>
      </c>
      <c r="E610" s="7">
        <f>IFERROR(IF(OR(PRECIOS!E610="",PRECIOS!E609=""),"",PRECIOS!E610/PRECIOS!E609-1),"")</f>
        <v>0.001620607301</v>
      </c>
      <c r="F610" s="7">
        <f>IFERROR(IF(OR(PRECIOS!F610="",PRECIOS!F609=""),"",PRECIOS!F610/PRECIOS!F609-1),"")</f>
        <v>0.02895871842</v>
      </c>
      <c r="G610" s="7">
        <f>IFERROR(IF(OR(PRECIOS!G610="",PRECIOS!G609=""),"",PRECIOS!G610/PRECIOS!G609-1),"")</f>
        <v>-0.007537688442</v>
      </c>
      <c r="H610" s="7">
        <f>IFERROR(IF(OR(PRECIOS!H610="",PRECIOS!H609=""),"",PRECIOS!H610/PRECIOS!H609-1),"")</f>
        <v>0.0008252740819</v>
      </c>
      <c r="I610" s="7">
        <f>IFERROR(IF(OR(PRECIOS!I610="",PRECIOS!I609=""),"",PRECIOS!I610/PRECIOS!I609-1),"")</f>
        <v>0.003737194661</v>
      </c>
    </row>
    <row r="611" ht="15.75" customHeight="1">
      <c r="A611" s="4">
        <f>IF(PRECIOS!A611="","",PRECIOS!A611)</f>
        <v>45299</v>
      </c>
      <c r="B611" s="7">
        <f>IFERROR(IF(OR(PRECIOS!B611="",PRECIOS!B610=""),"",PRECIOS!B611/PRECIOS!B610-1),"")</f>
        <v>-0.0166617948</v>
      </c>
      <c r="C611" s="7">
        <f>IFERROR(IF(OR(PRECIOS!C611="",PRECIOS!C610=""),"",PRECIOS!C611/PRECIOS!C610-1),"")</f>
        <v>0.007680491551</v>
      </c>
      <c r="D611" s="7">
        <f>IFERROR(IF(OR(PRECIOS!D611="",PRECIOS!D610=""),"",PRECIOS!D611/PRECIOS!D610-1),"")</f>
        <v>0.01425239699</v>
      </c>
      <c r="E611" s="7">
        <f>IFERROR(IF(OR(PRECIOS!E611="",PRECIOS!E610=""),"",PRECIOS!E611/PRECIOS!E610-1),"")</f>
        <v>0.01754236566</v>
      </c>
      <c r="F611" s="7">
        <f>IFERROR(IF(OR(PRECIOS!F611="",PRECIOS!F610=""),"",PRECIOS!F611/PRECIOS!F610-1),"")</f>
        <v>0.0005988023952</v>
      </c>
      <c r="G611" s="7">
        <f>IFERROR(IF(OR(PRECIOS!G611="",PRECIOS!G610=""),"",PRECIOS!G611/PRECIOS!G610-1),"")</f>
        <v>0.002812939522</v>
      </c>
      <c r="H611" s="7">
        <f>IFERROR(IF(OR(PRECIOS!H611="",PRECIOS!H610=""),"",PRECIOS!H611/PRECIOS!H610-1),"")</f>
        <v>-0.01156700516</v>
      </c>
      <c r="I611" s="7">
        <f>IFERROR(IF(OR(PRECIOS!I611="",PRECIOS!I610=""),"",PRECIOS!I611/PRECIOS!I610-1),"")</f>
        <v>0.007282104245</v>
      </c>
    </row>
    <row r="612" ht="15.75" customHeight="1">
      <c r="A612" s="4">
        <f>IF(PRECIOS!A612="","",PRECIOS!A612)</f>
        <v>45300</v>
      </c>
      <c r="B612" s="7">
        <f>IFERROR(IF(OR(PRECIOS!B612="",PRECIOS!B611=""),"",PRECIOS!B612/PRECIOS!B611-1),"")</f>
        <v>-0.01238604836</v>
      </c>
      <c r="C612" s="7">
        <f>IFERROR(IF(OR(PRECIOS!C612="",PRECIOS!C611=""),"",PRECIOS!C612/PRECIOS!C611-1),"")</f>
        <v>-0.004018847007</v>
      </c>
      <c r="D612" s="7">
        <f>IFERROR(IF(OR(PRECIOS!D612="",PRECIOS!D611=""),"",PRECIOS!D612/PRECIOS!D611-1),"")</f>
        <v>0.01149718958</v>
      </c>
      <c r="E612" s="7">
        <f>IFERROR(IF(OR(PRECIOS!E612="",PRECIOS!E611=""),"",PRECIOS!E612/PRECIOS!E611-1),"")</f>
        <v>0.002092225291</v>
      </c>
      <c r="F612" s="7">
        <f>IFERROR(IF(OR(PRECIOS!F612="",PRECIOS!F611=""),"",PRECIOS!F612/PRECIOS!F611-1),"")</f>
        <v>-0.04009575105</v>
      </c>
      <c r="G612" s="7">
        <f>IFERROR(IF(OR(PRECIOS!G612="",PRECIOS!G611=""),"",PRECIOS!G612/PRECIOS!G611-1),"")</f>
        <v>-0.006451612903</v>
      </c>
      <c r="H612" s="7">
        <f>IFERROR(IF(OR(PRECIOS!H612="",PRECIOS!H611=""),"",PRECIOS!H612/PRECIOS!H611-1),"")</f>
        <v>-0.01601134775</v>
      </c>
      <c r="I612" s="7">
        <f>IFERROR(IF(OR(PRECIOS!I612="",PRECIOS!I611=""),"",PRECIOS!I612/PRECIOS!I611-1),"")</f>
        <v>-0.008156814597</v>
      </c>
    </row>
    <row r="613" ht="15.75" customHeight="1">
      <c r="A613" s="4">
        <f>IF(PRECIOS!A613="","",PRECIOS!A613)</f>
        <v>45301</v>
      </c>
      <c r="B613" s="7">
        <f>IFERROR(IF(OR(PRECIOS!B613="",PRECIOS!B612=""),"",PRECIOS!B613/PRECIOS!B612-1),"")</f>
        <v>-0.009832447075</v>
      </c>
      <c r="C613" s="7">
        <f>IFERROR(IF(OR(PRECIOS!C613="",PRECIOS!C612=""),"",PRECIOS!C613/PRECIOS!C612-1),"")</f>
        <v>-0.0005565604564</v>
      </c>
      <c r="D613" s="7">
        <f>IFERROR(IF(OR(PRECIOS!D613="",PRECIOS!D612=""),"",PRECIOS!D613/PRECIOS!D612-1),"")</f>
        <v>-0.02854256125</v>
      </c>
      <c r="E613" s="7">
        <f>IFERROR(IF(OR(PRECIOS!E613="",PRECIOS!E612=""),"",PRECIOS!E613/PRECIOS!E612-1),"")</f>
        <v>0.005887756806</v>
      </c>
      <c r="F613" s="7">
        <f>IFERROR(IF(OR(PRECIOS!F613="",PRECIOS!F612=""),"",PRECIOS!F613/PRECIOS!F612-1),"")</f>
        <v>-0.008728179551</v>
      </c>
      <c r="G613" s="7">
        <f>IFERROR(IF(OR(PRECIOS!G613="",PRECIOS!G612=""),"",PRECIOS!G613/PRECIOS!G612-1),"")</f>
        <v>-0.005364201016</v>
      </c>
      <c r="H613" s="7">
        <f>IFERROR(IF(OR(PRECIOS!H613="",PRECIOS!H612=""),"",PRECIOS!H613/PRECIOS!H612-1),"")</f>
        <v>-0.009836762632</v>
      </c>
      <c r="I613" s="7">
        <f>IFERROR(IF(OR(PRECIOS!I613="",PRECIOS!I612=""),"",PRECIOS!I613/PRECIOS!I612-1),"")</f>
        <v>-0.0001547330197</v>
      </c>
    </row>
    <row r="614" ht="15.75" customHeight="1">
      <c r="A614" s="4">
        <f>IF(PRECIOS!A614="","",PRECIOS!A614)</f>
        <v>45302</v>
      </c>
      <c r="B614" s="7">
        <f>IFERROR(IF(OR(PRECIOS!B614="",PRECIOS!B613=""),"",PRECIOS!B614/PRECIOS!B613-1),"")</f>
        <v>-0.0002026547776</v>
      </c>
      <c r="C614" s="7">
        <f>IFERROR(IF(OR(PRECIOS!C614="",PRECIOS!C613=""),"",PRECIOS!C614/PRECIOS!C613-1),"")</f>
        <v>-0.01740219964</v>
      </c>
      <c r="D614" s="7">
        <f>IFERROR(IF(OR(PRECIOS!D614="",PRECIOS!D613=""),"",PRECIOS!D614/PRECIOS!D613-1),"")</f>
        <v>0.01066042642</v>
      </c>
      <c r="E614" s="7">
        <f>IFERROR(IF(OR(PRECIOS!E614="",PRECIOS!E613=""),"",PRECIOS!E614/PRECIOS!E613-1),"")</f>
        <v>0.01050271908</v>
      </c>
      <c r="F614" s="7">
        <f>IFERROR(IF(OR(PRECIOS!F614="",PRECIOS!F613=""),"",PRECIOS!F614/PRECIOS!F613-1),"")</f>
        <v>0.005660377358</v>
      </c>
      <c r="G614" s="7">
        <f>IFERROR(IF(OR(PRECIOS!G614="",PRECIOS!G613=""),"",PRECIOS!G614/PRECIOS!G613-1),"")</f>
        <v>-0.01277320466</v>
      </c>
      <c r="H614" s="7">
        <f>IFERROR(IF(OR(PRECIOS!H614="",PRECIOS!H613=""),"",PRECIOS!H614/PRECIOS!H613-1),"")</f>
        <v>0.002576577237</v>
      </c>
      <c r="I614" s="7">
        <f>IFERROR(IF(OR(PRECIOS!I614="",PRECIOS!I613=""),"",PRECIOS!I614/PRECIOS!I613-1),"")</f>
        <v>-0.02326952078</v>
      </c>
    </row>
    <row r="615" ht="15.75" customHeight="1">
      <c r="A615" s="4">
        <f>IF(PRECIOS!A615="","",PRECIOS!A615)</f>
        <v>45303</v>
      </c>
      <c r="B615" s="7">
        <f>IFERROR(IF(OR(PRECIOS!B615="",PRECIOS!B614=""),"",PRECIOS!B615/PRECIOS!B614-1),"")</f>
        <v>0.01297253471</v>
      </c>
      <c r="C615" s="7">
        <f>IFERROR(IF(OR(PRECIOS!C615="",PRECIOS!C614=""),"",PRECIOS!C615/PRECIOS!C614-1),"")</f>
        <v>0.0119013885</v>
      </c>
      <c r="D615" s="7">
        <f>IFERROR(IF(OR(PRECIOS!D615="",PRECIOS!D614=""),"",PRECIOS!D615/PRECIOS!D614-1),"")</f>
        <v>0.009004373553</v>
      </c>
      <c r="E615" s="7">
        <f>IFERROR(IF(OR(PRECIOS!E615="",PRECIOS!E614=""),"",PRECIOS!E615/PRECIOS!E614-1),"")</f>
        <v>-0.005381644894</v>
      </c>
      <c r="F615" s="7">
        <f>IFERROR(IF(OR(PRECIOS!F615="",PRECIOS!F614=""),"",PRECIOS!F615/PRECIOS!F614-1),"")</f>
        <v>-0.006253908693</v>
      </c>
      <c r="G615" s="7">
        <f>IFERROR(IF(OR(PRECIOS!G615="",PRECIOS!G614=""),"",PRECIOS!G615/PRECIOS!G614-1),"")</f>
        <v>0.004025301898</v>
      </c>
      <c r="H615" s="7">
        <f>IFERROR(IF(OR(PRECIOS!H615="",PRECIOS!H614=""),"",PRECIOS!H615/PRECIOS!H614-1),"")</f>
        <v>0.01125139075</v>
      </c>
      <c r="I615" s="7">
        <f>IFERROR(IF(OR(PRECIOS!I615="",PRECIOS!I614=""),"",PRECIOS!I615/PRECIOS!I614-1),"")</f>
        <v>0.005717464224</v>
      </c>
    </row>
    <row r="616" ht="15.75" customHeight="1">
      <c r="A616" s="4">
        <f>IF(PRECIOS!A616="","",PRECIOS!A616)</f>
        <v>45307</v>
      </c>
      <c r="B616" s="7">
        <f>IFERROR(IF(OR(PRECIOS!B616="",PRECIOS!B615=""),"",PRECIOS!B616/PRECIOS!B615-1),"")</f>
        <v>-0.02261130565</v>
      </c>
      <c r="C616" s="7">
        <f>IFERROR(IF(OR(PRECIOS!C616="",PRECIOS!C615=""),"",PRECIOS!C616/PRECIOS!C615-1),"")</f>
        <v>-0.01540184822</v>
      </c>
      <c r="D616" s="7">
        <f>IFERROR(IF(OR(PRECIOS!D616="",PRECIOS!D615=""),"",PRECIOS!D616/PRECIOS!D615-1),"")</f>
        <v>0.002549719531</v>
      </c>
      <c r="E616" s="7">
        <f>IFERROR(IF(OR(PRECIOS!E616="",PRECIOS!E615=""),"",PRECIOS!E616/PRECIOS!E615-1),"")</f>
        <v>-0.001528230969</v>
      </c>
      <c r="F616" s="7">
        <f>IFERROR(IF(OR(PRECIOS!F616="",PRECIOS!F615=""),"",PRECIOS!F616/PRECIOS!F615-1),"")</f>
        <v>-0.06167400881</v>
      </c>
      <c r="G616" s="7">
        <f>IFERROR(IF(OR(PRECIOS!G616="",PRECIOS!G615=""),"",PRECIOS!G616/PRECIOS!G615-1),"")</f>
        <v>-0.01002290951</v>
      </c>
      <c r="H616" s="7">
        <f>IFERROR(IF(OR(PRECIOS!H616="",PRECIOS!H615=""),"",PRECIOS!H616/PRECIOS!H615-1),"")</f>
        <v>-0.02382784857</v>
      </c>
      <c r="I616" s="7">
        <f>IFERROR(IF(OR(PRECIOS!I616="",PRECIOS!I615=""),"",PRECIOS!I616/PRECIOS!I615-1),"")</f>
        <v>-0.01089729193</v>
      </c>
    </row>
    <row r="617" ht="15.75" customHeight="1">
      <c r="A617" s="4">
        <f>IF(PRECIOS!A617="","",PRECIOS!A617)</f>
        <v>45308</v>
      </c>
      <c r="B617" s="7">
        <f>IFERROR(IF(OR(PRECIOS!B617="",PRECIOS!B616=""),"",PRECIOS!B617/PRECIOS!B616-1),"")</f>
        <v>-0.007267888218</v>
      </c>
      <c r="C617" s="7">
        <f>IFERROR(IF(OR(PRECIOS!C617="",PRECIOS!C616=""),"",PRECIOS!C617/PRECIOS!C616-1),"")</f>
        <v>-0.009812286689</v>
      </c>
      <c r="D617" s="7">
        <f>IFERROR(IF(OR(PRECIOS!D617="",PRECIOS!D616=""),"",PRECIOS!D617/PRECIOS!D616-1),"")</f>
        <v>0.01017293998</v>
      </c>
      <c r="E617" s="7">
        <f>IFERROR(IF(OR(PRECIOS!E617="",PRECIOS!E616=""),"",PRECIOS!E617/PRECIOS!E616-1),"")</f>
        <v>-0.01853230744</v>
      </c>
      <c r="F617" s="7">
        <f>IFERROR(IF(OR(PRECIOS!F617="",PRECIOS!F616=""),"",PRECIOS!F617/PRECIOS!F616-1),"")</f>
        <v>0.006036217304</v>
      </c>
      <c r="G617" s="7">
        <f>IFERROR(IF(OR(PRECIOS!G617="",PRECIOS!G616=""),"",PRECIOS!G617/PRECIOS!G616-1),"")</f>
        <v>-0.01677755279</v>
      </c>
      <c r="H617" s="7">
        <f>IFERROR(IF(OR(PRECIOS!H617="",PRECIOS!H616=""),"",PRECIOS!H617/PRECIOS!H616-1),"")</f>
        <v>-0.008299644414</v>
      </c>
      <c r="I617" s="7">
        <f>IFERROR(IF(OR(PRECIOS!I617="",PRECIOS!I616=""),"",PRECIOS!I617/PRECIOS!I616-1),"")</f>
        <v>-0.01453165243</v>
      </c>
    </row>
    <row r="618" ht="15.75" customHeight="1">
      <c r="A618" s="4">
        <f>IF(PRECIOS!A618="","",PRECIOS!A618)</f>
        <v>45309</v>
      </c>
      <c r="B618" s="7">
        <f>IFERROR(IF(OR(PRECIOS!B618="",PRECIOS!B617=""),"",PRECIOS!B618/PRECIOS!B617-1),"")</f>
        <v>-0.001856052794</v>
      </c>
      <c r="C618" s="7">
        <f>IFERROR(IF(OR(PRECIOS!C618="",PRECIOS!C617=""),"",PRECIOS!C618/PRECIOS!C617-1),"")</f>
        <v>-0.01235099813</v>
      </c>
      <c r="D618" s="7">
        <f>IFERROR(IF(OR(PRECIOS!D618="",PRECIOS!D617=""),"",PRECIOS!D618/PRECIOS!D617-1),"")</f>
        <v>-0.007804632427</v>
      </c>
      <c r="E618" s="7">
        <f>IFERROR(IF(OR(PRECIOS!E618="",PRECIOS!E617=""),"",PRECIOS!E618/PRECIOS!E617-1),"")</f>
        <v>0.01205428644</v>
      </c>
      <c r="F618" s="7">
        <f>IFERROR(IF(OR(PRECIOS!F618="",PRECIOS!F617=""),"",PRECIOS!F618/PRECIOS!F617-1),"")</f>
        <v>0.01333333333</v>
      </c>
      <c r="G618" s="7">
        <f>IFERROR(IF(OR(PRECIOS!G618="",PRECIOS!G617=""),"",PRECIOS!G618/PRECIOS!G617-1),"")</f>
        <v>-0.004118858488</v>
      </c>
      <c r="H618" s="7">
        <f>IFERROR(IF(OR(PRECIOS!H618="",PRECIOS!H617=""),"",PRECIOS!H618/PRECIOS!H617-1),"")</f>
        <v>-0.001624732213</v>
      </c>
      <c r="I618" s="7">
        <f>IFERROR(IF(OR(PRECIOS!I618="",PRECIOS!I617=""),"",PRECIOS!I618/PRECIOS!I617-1),"")</f>
        <v>-0.01069149083</v>
      </c>
    </row>
    <row r="619" ht="15.75" customHeight="1">
      <c r="A619" s="4">
        <f>IF(PRECIOS!A619="","",PRECIOS!A619)</f>
        <v>45310</v>
      </c>
      <c r="B619" s="7">
        <f>IFERROR(IF(OR(PRECIOS!B619="",PRECIOS!B618=""),"",PRECIOS!B619/PRECIOS!B618-1),"")</f>
        <v>0.001549586777</v>
      </c>
      <c r="C619" s="7">
        <f>IFERROR(IF(OR(PRECIOS!C619="",PRECIOS!C618=""),"",PRECIOS!C619/PRECIOS!C618-1),"")</f>
        <v>0.002617420387</v>
      </c>
      <c r="D619" s="7">
        <f>IFERROR(IF(OR(PRECIOS!D619="",PRECIOS!D618=""),"",PRECIOS!D619/PRECIOS!D618-1),"")</f>
        <v>0.01928444557</v>
      </c>
      <c r="E619" s="7">
        <f>IFERROR(IF(OR(PRECIOS!E619="",PRECIOS!E618=""),"",PRECIOS!E619/PRECIOS!E618-1),"")</f>
        <v>0.018657338</v>
      </c>
      <c r="F619" s="7">
        <f>IFERROR(IF(OR(PRECIOS!F619="",PRECIOS!F618=""),"",PRECIOS!F619/PRECIOS!F618-1),"")</f>
        <v>0.02828947368</v>
      </c>
      <c r="G619" s="7">
        <f>IFERROR(IF(OR(PRECIOS!G619="",PRECIOS!G618=""),"",PRECIOS!G619/PRECIOS!G618-1),"")</f>
        <v>0.0002954209749</v>
      </c>
      <c r="H619" s="7">
        <f>IFERROR(IF(OR(PRECIOS!H619="",PRECIOS!H618=""),"",PRECIOS!H619/PRECIOS!H618-1),"")</f>
        <v>0.003252080316</v>
      </c>
      <c r="I619" s="7">
        <f>IFERROR(IF(OR(PRECIOS!I619="",PRECIOS!I618=""),"",PRECIOS!I619/PRECIOS!I618-1),"")</f>
        <v>-0.001310470205</v>
      </c>
    </row>
    <row r="620" ht="15.75" customHeight="1">
      <c r="A620" s="4">
        <f>IF(PRECIOS!A620="","",PRECIOS!A620)</f>
        <v>45313</v>
      </c>
      <c r="B620" s="7">
        <f>IFERROR(IF(OR(PRECIOS!B620="",PRECIOS!B619=""),"",PRECIOS!B620/PRECIOS!B619-1),"")</f>
        <v>-0.00134089737</v>
      </c>
      <c r="C620" s="7">
        <f>IFERROR(IF(OR(PRECIOS!C620="",PRECIOS!C619=""),"",PRECIOS!C620/PRECIOS!C619-1),"")</f>
        <v>-0.00188542422</v>
      </c>
      <c r="D620" s="7">
        <f>IFERROR(IF(OR(PRECIOS!D620="",PRECIOS!D619=""),"",PRECIOS!D620/PRECIOS!D619-1),"")</f>
        <v>-0.00497883993</v>
      </c>
      <c r="E620" s="7">
        <f>IFERROR(IF(OR(PRECIOS!E620="",PRECIOS!E619=""),"",PRECIOS!E620/PRECIOS!E619-1),"")</f>
        <v>-0.002861815209</v>
      </c>
      <c r="F620" s="7">
        <f>IFERROR(IF(OR(PRECIOS!F620="",PRECIOS!F619=""),"",PRECIOS!F620/PRECIOS!F619-1),"")</f>
        <v>0.0006397952655</v>
      </c>
      <c r="G620" s="7">
        <f>IFERROR(IF(OR(PRECIOS!G620="",PRECIOS!G619=""),"",PRECIOS!G620/PRECIOS!G619-1),"")</f>
        <v>0.003248670998</v>
      </c>
      <c r="H620" s="7">
        <f>IFERROR(IF(OR(PRECIOS!H620="",PRECIOS!H619=""),"",PRECIOS!H620/PRECIOS!H619-1),"")</f>
        <v>0.003744949246</v>
      </c>
      <c r="I620" s="7">
        <f>IFERROR(IF(OR(PRECIOS!I620="",PRECIOS!I619=""),"",PRECIOS!I620/PRECIOS!I619-1),"")</f>
        <v>-0.005085170515</v>
      </c>
    </row>
    <row r="621" ht="15.75" customHeight="1">
      <c r="A621" s="4">
        <f>IF(PRECIOS!A621="","",PRECIOS!A621)</f>
        <v>45314</v>
      </c>
      <c r="B621" s="7">
        <f>IFERROR(IF(OR(PRECIOS!B621="",PRECIOS!B620=""),"",PRECIOS!B621/PRECIOS!B620-1),"")</f>
        <v>0.01125800454</v>
      </c>
      <c r="C621" s="7">
        <f>IFERROR(IF(OR(PRECIOS!C621="",PRECIOS!C620=""),"",PRECIOS!C621/PRECIOS!C620-1),"")</f>
        <v>0.0001453065969</v>
      </c>
      <c r="D621" s="7">
        <f>IFERROR(IF(OR(PRECIOS!D621="",PRECIOS!D620=""),"",PRECIOS!D621/PRECIOS!D620-1),"")</f>
        <v>-0.003002251689</v>
      </c>
      <c r="E621" s="7">
        <f>IFERROR(IF(OR(PRECIOS!E621="",PRECIOS!E620=""),"",PRECIOS!E621/PRECIOS!E620-1),"")</f>
        <v>-0.00266502665</v>
      </c>
      <c r="F621" s="7">
        <f>IFERROR(IF(OR(PRECIOS!F621="",PRECIOS!F620=""),"",PRECIOS!F621/PRECIOS!F620-1),"")</f>
        <v>0.009590792839</v>
      </c>
      <c r="G621" s="7">
        <f>IFERROR(IF(OR(PRECIOS!G621="",PRECIOS!G620=""),"",PRECIOS!G621/PRECIOS!G620-1),"")</f>
        <v>-0.0005887547836</v>
      </c>
      <c r="H621" s="7">
        <f>IFERROR(IF(OR(PRECIOS!H621="",PRECIOS!H620=""),"",PRECIOS!H621/PRECIOS!H620-1),"")</f>
        <v>0.002112274277</v>
      </c>
      <c r="I621" s="7">
        <f>IFERROR(IF(OR(PRECIOS!I621="",PRECIOS!I620=""),"",PRECIOS!I621/PRECIOS!I620-1),"")</f>
        <v>0.001815669331</v>
      </c>
    </row>
    <row r="622" ht="15.75" customHeight="1">
      <c r="A622" s="4">
        <f>IF(PRECIOS!A622="","",PRECIOS!A622)</f>
        <v>45315</v>
      </c>
      <c r="B622" s="7">
        <f>IFERROR(IF(OR(PRECIOS!B622="",PRECIOS!B621=""),"",PRECIOS!B622/PRECIOS!B621-1),"")</f>
        <v>0.01726074967</v>
      </c>
      <c r="C622" s="7">
        <f>IFERROR(IF(OR(PRECIOS!C622="",PRECIOS!C621=""),"",PRECIOS!C622/PRECIOS!C621-1),"")</f>
        <v>-0.009152985617</v>
      </c>
      <c r="D622" s="7">
        <f>IFERROR(IF(OR(PRECIOS!D622="",PRECIOS!D621=""),"",PRECIOS!D622/PRECIOS!D621-1),"")</f>
        <v>-0.01555834379</v>
      </c>
      <c r="E622" s="7">
        <f>IFERROR(IF(OR(PRECIOS!E622="",PRECIOS!E621=""),"",PRECIOS!E622/PRECIOS!E621-1),"")</f>
        <v>-0.00690647482</v>
      </c>
      <c r="F622" s="7">
        <f>IFERROR(IF(OR(PRECIOS!F622="",PRECIOS!F621=""),"",PRECIOS!F622/PRECIOS!F621-1),"")</f>
        <v>0.04116529449</v>
      </c>
      <c r="G622" s="7">
        <f>IFERROR(IF(OR(PRECIOS!G622="",PRECIOS!G621=""),"",PRECIOS!G622/PRECIOS!G621-1),"")</f>
        <v>0.00235640648</v>
      </c>
      <c r="H622" s="7">
        <f>IFERROR(IF(OR(PRECIOS!H622="",PRECIOS!H621=""),"",PRECIOS!H622/PRECIOS!H621-1),"")</f>
        <v>0.01426222259</v>
      </c>
      <c r="I622" s="7">
        <f>IFERROR(IF(OR(PRECIOS!I622="",PRECIOS!I621=""),"",PRECIOS!I622/PRECIOS!I621-1),"")</f>
        <v>-0.01365395092</v>
      </c>
    </row>
    <row r="623" ht="15.75" customHeight="1">
      <c r="A623" s="4">
        <f>IF(PRECIOS!A623="","",PRECIOS!A623)</f>
        <v>45316</v>
      </c>
      <c r="B623" s="7">
        <f>IFERROR(IF(OR(PRECIOS!B623="",PRECIOS!B622=""),"",PRECIOS!B623/PRECIOS!B622-1),"")</f>
        <v>0.02540160643</v>
      </c>
      <c r="C623" s="7">
        <f>IFERROR(IF(OR(PRECIOS!C623="",PRECIOS!C622=""),"",PRECIOS!C623/PRECIOS!C622-1),"")</f>
        <v>0.01524926686</v>
      </c>
      <c r="D623" s="7">
        <f>IFERROR(IF(OR(PRECIOS!D623="",PRECIOS!D622=""),"",PRECIOS!D623/PRECIOS!D622-1),"")</f>
        <v>0.03058883508</v>
      </c>
      <c r="E623" s="7">
        <f>IFERROR(IF(OR(PRECIOS!E623="",PRECIOS!E622=""),"",PRECIOS!E623/PRECIOS!E622-1),"")</f>
        <v>0.01759324419</v>
      </c>
      <c r="F623" s="7">
        <f>IFERROR(IF(OR(PRECIOS!F623="",PRECIOS!F622=""),"",PRECIOS!F623/PRECIOS!F622-1),"")</f>
        <v>0.05656934307</v>
      </c>
      <c r="G623" s="7">
        <f>IFERROR(IF(OR(PRECIOS!G623="",PRECIOS!G622=""),"",PRECIOS!G623/PRECIOS!G622-1),"")</f>
        <v>0.01204819277</v>
      </c>
      <c r="H623" s="7">
        <f>IFERROR(IF(OR(PRECIOS!H623="",PRECIOS!H622=""),"",PRECIOS!H623/PRECIOS!H622-1),"")</f>
        <v>0.02249449778</v>
      </c>
      <c r="I623" s="7">
        <f>IFERROR(IF(OR(PRECIOS!I623="",PRECIOS!I622=""),"",PRECIOS!I623/PRECIOS!I622-1),"")</f>
        <v>0.01801355265</v>
      </c>
    </row>
    <row r="624" ht="15.75" customHeight="1">
      <c r="A624" s="4">
        <f>IF(PRECIOS!A624="","",PRECIOS!A624)</f>
        <v>45317</v>
      </c>
      <c r="B624" s="7">
        <f>IFERROR(IF(OR(PRECIOS!B624="",PRECIOS!B623=""),"",PRECIOS!B624/PRECIOS!B623-1),"")</f>
        <v>0.008518554783</v>
      </c>
      <c r="C624" s="7">
        <f>IFERROR(IF(OR(PRECIOS!C624="",PRECIOS!C623=""),"",PRECIOS!C624/PRECIOS!C623-1),"")</f>
        <v>-0.001877527441</v>
      </c>
      <c r="D624" s="7">
        <f>IFERROR(IF(OR(PRECIOS!D624="",PRECIOS!D623=""),"",PRECIOS!D624/PRECIOS!D623-1),"")</f>
        <v>0.008656937917</v>
      </c>
      <c r="E624" s="7">
        <f>IFERROR(IF(OR(PRECIOS!E624="",PRECIOS!E623=""),"",PRECIOS!E624/PRECIOS!E623-1),"")</f>
        <v>0.0002847612074</v>
      </c>
      <c r="F624" s="7">
        <f>IFERROR(IF(OR(PRECIOS!F624="",PRECIOS!F623=""),"",PRECIOS!F624/PRECIOS!F623-1),"")</f>
        <v>0.01842256765</v>
      </c>
      <c r="G624" s="7">
        <f>IFERROR(IF(OR(PRECIOS!G624="",PRECIOS!G623=""),"",PRECIOS!G624/PRECIOS!G623-1),"")</f>
        <v>0.012485482</v>
      </c>
      <c r="H624" s="7">
        <f>IFERROR(IF(OR(PRECIOS!H624="",PRECIOS!H623=""),"",PRECIOS!H624/PRECIOS!H623-1),"")</f>
        <v>0.007414916135</v>
      </c>
      <c r="I624" s="7">
        <f>IFERROR(IF(OR(PRECIOS!I624="",PRECIOS!I623=""),"",PRECIOS!I624/PRECIOS!I623-1),"")</f>
        <v>0.002949134387</v>
      </c>
    </row>
    <row r="625" ht="15.75" customHeight="1">
      <c r="A625" s="4">
        <f>IF(PRECIOS!A625="","",PRECIOS!A625)</f>
        <v>45320</v>
      </c>
      <c r="B625" s="7">
        <f>IFERROR(IF(OR(PRECIOS!B625="",PRECIOS!B624=""),"",PRECIOS!B625/PRECIOS!B624-1),"")</f>
        <v>0.001262135922</v>
      </c>
      <c r="C625" s="7">
        <f>IFERROR(IF(OR(PRECIOS!C625="",PRECIOS!C624=""),"",PRECIOS!C625/PRECIOS!C624-1),"")</f>
        <v>0.001157574881</v>
      </c>
      <c r="D625" s="7">
        <f>IFERROR(IF(OR(PRECIOS!D625="",PRECIOS!D624=""),"",PRECIOS!D625/PRECIOS!D624-1),"")</f>
        <v>-0.005394801373</v>
      </c>
      <c r="E625" s="7">
        <f>IFERROR(IF(OR(PRECIOS!E625="",PRECIOS!E624=""),"",PRECIOS!E625/PRECIOS!E624-1),"")</f>
        <v>0.01150921144</v>
      </c>
      <c r="F625" s="7">
        <f>IFERROR(IF(OR(PRECIOS!F625="",PRECIOS!F624=""),"",PRECIOS!F625/PRECIOS!F624-1),"")</f>
        <v>-0.008479366874</v>
      </c>
      <c r="G625" s="7">
        <f>IFERROR(IF(OR(PRECIOS!G625="",PRECIOS!G624=""),"",PRECIOS!G625/PRECIOS!G624-1),"")</f>
        <v>-0.0017206768</v>
      </c>
      <c r="H625" s="7">
        <f>IFERROR(IF(OR(PRECIOS!H625="",PRECIOS!H624=""),"",PRECIOS!H625/PRECIOS!H624-1),"")</f>
        <v>-0.001426952936</v>
      </c>
      <c r="I625" s="7">
        <f>IFERROR(IF(OR(PRECIOS!I625="",PRECIOS!I624=""),"",PRECIOS!I625/PRECIOS!I624-1),"")</f>
        <v>0.006373313915</v>
      </c>
    </row>
    <row r="626" ht="15.75" customHeight="1">
      <c r="A626" s="4">
        <f>IF(PRECIOS!A626="","",PRECIOS!A626)</f>
        <v>45321</v>
      </c>
      <c r="B626" s="7">
        <f>IFERROR(IF(OR(PRECIOS!B626="",PRECIOS!B625=""),"",PRECIOS!B626/PRECIOS!B625-1),"")</f>
        <v>0.01667797925</v>
      </c>
      <c r="C626" s="7">
        <f>IFERROR(IF(OR(PRECIOS!C626="",PRECIOS!C625=""),"",PRECIOS!C626/PRECIOS!C625-1),"")</f>
        <v>0.0008671773378</v>
      </c>
      <c r="D626" s="7">
        <f>IFERROR(IF(OR(PRECIOS!D626="",PRECIOS!D625=""),"",PRECIOS!D626/PRECIOS!D625-1),"")</f>
        <v>0.01651873767</v>
      </c>
      <c r="E626" s="7">
        <f>IFERROR(IF(OR(PRECIOS!E626="",PRECIOS!E625=""),"",PRECIOS!E626/PRECIOS!E625-1),"")</f>
        <v>0.006231907366</v>
      </c>
      <c r="F626" s="7">
        <f>IFERROR(IF(OR(PRECIOS!F626="",PRECIOS!F625=""),"",PRECIOS!F626/PRECIOS!F625-1),"")</f>
        <v>-0.01425313569</v>
      </c>
      <c r="G626" s="7">
        <f>IFERROR(IF(OR(PRECIOS!G626="",PRECIOS!G625=""),"",PRECIOS!G626/PRECIOS!G625-1),"")</f>
        <v>0.0112036771</v>
      </c>
      <c r="H626" s="7">
        <f>IFERROR(IF(OR(PRECIOS!H626="",PRECIOS!H625=""),"",PRECIOS!H626/PRECIOS!H625-1),"")</f>
        <v>0.01034305962</v>
      </c>
      <c r="I626" s="7">
        <f>IFERROR(IF(OR(PRECIOS!I626="",PRECIOS!I625=""),"",PRECIOS!I626/PRECIOS!I625-1),"")</f>
        <v>-0.0003273288587</v>
      </c>
    </row>
    <row r="627" ht="15.75" customHeight="1">
      <c r="A627" s="4">
        <f>IF(PRECIOS!A627="","",PRECIOS!A627)</f>
        <v>45322</v>
      </c>
      <c r="B627" s="7">
        <f>IFERROR(IF(OR(PRECIOS!B627="",PRECIOS!B626=""),"",PRECIOS!B627/PRECIOS!B626-1),"")</f>
        <v>-0.01945636624</v>
      </c>
      <c r="C627" s="7">
        <f>IFERROR(IF(OR(PRECIOS!C627="",PRECIOS!C626=""),"",PRECIOS!C627/PRECIOS!C626-1),"")</f>
        <v>0.003898916968</v>
      </c>
      <c r="D627" s="7">
        <f>IFERROR(IF(OR(PRECIOS!D627="",PRECIOS!D626=""),"",PRECIOS!D627/PRECIOS!D626-1),"")</f>
        <v>-0.004850836769</v>
      </c>
      <c r="E627" s="7">
        <f>IFERROR(IF(OR(PRECIOS!E627="",PRECIOS!E626=""),"",PRECIOS!E627/PRECIOS!E626-1),"")</f>
        <v>-0.01674191873</v>
      </c>
      <c r="F627" s="7">
        <f>IFERROR(IF(OR(PRECIOS!F627="",PRECIOS!F626=""),"",PRECIOS!F627/PRECIOS!F626-1),"")</f>
        <v>-0.0005783689994</v>
      </c>
      <c r="G627" s="7">
        <f>IFERROR(IF(OR(PRECIOS!G627="",PRECIOS!G626=""),"",PRECIOS!G627/PRECIOS!G626-1),"")</f>
        <v>-0.01534090909</v>
      </c>
      <c r="H627" s="7">
        <f>IFERROR(IF(OR(PRECIOS!H627="",PRECIOS!H626=""),"",PRECIOS!H627/PRECIOS!H626-1),"")</f>
        <v>-0.01870828194</v>
      </c>
      <c r="I627" s="7">
        <f>IFERROR(IF(OR(PRECIOS!I627="",PRECIOS!I626=""),"",PRECIOS!I627/PRECIOS!I626-1),"")</f>
        <v>-0.002109377423</v>
      </c>
    </row>
    <row r="628" ht="15.75" customHeight="1">
      <c r="A628" s="4">
        <f>IF(PRECIOS!A628="","",PRECIOS!A628)</f>
        <v>45323</v>
      </c>
      <c r="B628" s="7">
        <f>IFERROR(IF(OR(PRECIOS!B628="",PRECIOS!B627=""),"",PRECIOS!B628/PRECIOS!B627-1),"")</f>
        <v>-0.004085205719</v>
      </c>
      <c r="C628" s="7">
        <f>IFERROR(IF(OR(PRECIOS!C628="",PRECIOS!C627=""),"",PRECIOS!C628/PRECIOS!C627-1),"")</f>
        <v>0.01409666283</v>
      </c>
      <c r="D628" s="7">
        <f>IFERROR(IF(OR(PRECIOS!D628="",PRECIOS!D627=""),"",PRECIOS!D628/PRECIOS!D627-1),"")</f>
        <v>0.05435047526</v>
      </c>
      <c r="E628" s="7">
        <f>IFERROR(IF(OR(PRECIOS!E628="",PRECIOS!E627=""),"",PRECIOS!E628/PRECIOS!E627-1),"")</f>
        <v>0.07513816645</v>
      </c>
      <c r="F628" s="7">
        <f>IFERROR(IF(OR(PRECIOS!F628="",PRECIOS!F627=""),"",PRECIOS!F628/PRECIOS!F627-1),"")</f>
        <v>0.01215277778</v>
      </c>
      <c r="G628" s="7">
        <f>IFERROR(IF(OR(PRECIOS!G628="",PRECIOS!G627=""),"",PRECIOS!G628/PRECIOS!G627-1),"")</f>
        <v>0.006058857473</v>
      </c>
      <c r="H628" s="7">
        <f>IFERROR(IF(OR(PRECIOS!H628="",PRECIOS!H627=""),"",PRECIOS!H628/PRECIOS!H627-1),"")</f>
        <v>-0.0001177639192</v>
      </c>
      <c r="I628" s="7">
        <f>IFERROR(IF(OR(PRECIOS!I628="",PRECIOS!I627=""),"",PRECIOS!I628/PRECIOS!I627-1),"")</f>
        <v>0.01903834264</v>
      </c>
    </row>
    <row r="629" ht="15.75" customHeight="1">
      <c r="A629" s="4">
        <f>IF(PRECIOS!A629="","",PRECIOS!A629)</f>
        <v>45324</v>
      </c>
      <c r="B629" s="7">
        <f>IFERROR(IF(OR(PRECIOS!B629="",PRECIOS!B628=""),"",PRECIOS!B629/PRECIOS!B628-1),"")</f>
        <v>-0.004101963082</v>
      </c>
      <c r="C629" s="7">
        <f>IFERROR(IF(OR(PRECIOS!C629="",PRECIOS!C628=""),"",PRECIOS!C629/PRECIOS!C628-1),"")</f>
        <v>-0.02624113475</v>
      </c>
      <c r="D629" s="7">
        <f>IFERROR(IF(OR(PRECIOS!D629="",PRECIOS!D628=""),"",PRECIOS!D629/PRECIOS!D628-1),"")</f>
        <v>0.02981969487</v>
      </c>
      <c r="E629" s="7">
        <f>IFERROR(IF(OR(PRECIOS!E629="",PRECIOS!E628=""),"",PRECIOS!E629/PRECIOS!E628-1),"")</f>
        <v>0.02090184072</v>
      </c>
      <c r="F629" s="7">
        <f>IFERROR(IF(OR(PRECIOS!F629="",PRECIOS!F628=""),"",PRECIOS!F629/PRECIOS!F628-1),"")</f>
        <v>-0.01772441395</v>
      </c>
      <c r="G629" s="7">
        <f>IFERROR(IF(OR(PRECIOS!G629="",PRECIOS!G628=""),"",PRECIOS!G629/PRECIOS!G628-1),"")</f>
        <v>-0.002007456266</v>
      </c>
      <c r="H629" s="7">
        <f>IFERROR(IF(OR(PRECIOS!H629="",PRECIOS!H628=""),"",PRECIOS!H629/PRECIOS!H628-1),"")</f>
        <v>0.001438937337</v>
      </c>
      <c r="I629" s="7">
        <f>IFERROR(IF(OR(PRECIOS!I629="",PRECIOS!I628=""),"",PRECIOS!I629/PRECIOS!I628-1),"")</f>
        <v>-0.01804204953</v>
      </c>
    </row>
    <row r="630" ht="15.75" customHeight="1">
      <c r="A630" s="4">
        <f>IF(PRECIOS!A630="","",PRECIOS!A630)</f>
        <v>45327</v>
      </c>
      <c r="B630" s="7">
        <f>IFERROR(IF(OR(PRECIOS!B630="",PRECIOS!B629=""),"",PRECIOS!B630/PRECIOS!B629-1),"")</f>
        <v>-0.004118858488</v>
      </c>
      <c r="C630" s="7">
        <f>IFERROR(IF(OR(PRECIOS!C630="",PRECIOS!C629=""),"",PRECIOS!C630/PRECIOS!C629-1),"")</f>
        <v>-0.02141296431</v>
      </c>
      <c r="D630" s="7">
        <f>IFERROR(IF(OR(PRECIOS!D630="",PRECIOS!D629=""),"",PRECIOS!D630/PRECIOS!D629-1),"")</f>
        <v>-0.02693602694</v>
      </c>
      <c r="E630" s="7">
        <f>IFERROR(IF(OR(PRECIOS!E630="",PRECIOS!E629=""),"",PRECIOS!E630/PRECIOS!E629-1),"")</f>
        <v>-0.002517586079</v>
      </c>
      <c r="F630" s="7">
        <f>IFERROR(IF(OR(PRECIOS!F630="",PRECIOS!F629=""),"",PRECIOS!F630/PRECIOS!F629-1),"")</f>
        <v>-0.04481955763</v>
      </c>
      <c r="G630" s="7">
        <f>IFERROR(IF(OR(PRECIOS!G630="",PRECIOS!G629=""),"",PRECIOS!G630/PRECIOS!G629-1),"")</f>
        <v>-0.01063218391</v>
      </c>
      <c r="H630" s="7">
        <f>IFERROR(IF(OR(PRECIOS!H630="",PRECIOS!H629=""),"",PRECIOS!H630/PRECIOS!H629-1),"")</f>
        <v>-0.002515800454</v>
      </c>
      <c r="I630" s="7">
        <f>IFERROR(IF(OR(PRECIOS!I630="",PRECIOS!I629=""),"",PRECIOS!I630/PRECIOS!I629-1),"")</f>
        <v>-0.02082082082</v>
      </c>
    </row>
    <row r="631" ht="15.75" customHeight="1">
      <c r="A631" s="4">
        <f>IF(PRECIOS!A631="","",PRECIOS!A631)</f>
        <v>45328</v>
      </c>
      <c r="B631" s="7">
        <f>IFERROR(IF(OR(PRECIOS!B631="",PRECIOS!B630=""),"",PRECIOS!B631/PRECIOS!B630-1),"")</f>
        <v>0.006893156081</v>
      </c>
      <c r="C631" s="7">
        <f>IFERROR(IF(OR(PRECIOS!C631="",PRECIOS!C630=""),"",PRECIOS!C631/PRECIOS!C630-1),"")</f>
        <v>0.003274784162</v>
      </c>
      <c r="D631" s="7">
        <f>IFERROR(IF(OR(PRECIOS!D631="",PRECIOS!D630=""),"",PRECIOS!D631/PRECIOS!D630-1),"")</f>
        <v>-0.002076124567</v>
      </c>
      <c r="E631" s="7">
        <f>IFERROR(IF(OR(PRECIOS!E631="",PRECIOS!E630=""),"",PRECIOS!E631/PRECIOS!E630-1),"")</f>
        <v>0.006309850791</v>
      </c>
      <c r="F631" s="7">
        <f>IFERROR(IF(OR(PRECIOS!F631="",PRECIOS!F630=""),"",PRECIOS!F631/PRECIOS!F630-1),"")</f>
        <v>0.00731261426</v>
      </c>
      <c r="G631" s="7">
        <f>IFERROR(IF(OR(PRECIOS!G631="",PRECIOS!G630=""),"",PRECIOS!G631/PRECIOS!G630-1),"")</f>
        <v>-0.003775776939</v>
      </c>
      <c r="H631" s="7">
        <f>IFERROR(IF(OR(PRECIOS!H631="",PRECIOS!H630=""),"",PRECIOS!H631/PRECIOS!H630-1),"")</f>
        <v>0.003242392552</v>
      </c>
      <c r="I631" s="7">
        <f>IFERROR(IF(OR(PRECIOS!I631="",PRECIOS!I630=""),"",PRECIOS!I631/PRECIOS!I630-1),"")</f>
        <v>0.003659078251</v>
      </c>
    </row>
    <row r="632" ht="15.75" customHeight="1">
      <c r="A632" s="4">
        <f>IF(PRECIOS!A632="","",PRECIOS!A632)</f>
        <v>45329</v>
      </c>
      <c r="B632" s="7">
        <f>IFERROR(IF(OR(PRECIOS!B632="",PRECIOS!B631=""),"",PRECIOS!B632/PRECIOS!B631-1),"")</f>
        <v>-0.000293398533</v>
      </c>
      <c r="C632" s="7">
        <f>IFERROR(IF(OR(PRECIOS!C632="",PRECIOS!C631=""),"",PRECIOS!C632/PRECIOS!C631-1),"")</f>
        <v>-0.006676557864</v>
      </c>
      <c r="D632" s="7">
        <f>IFERROR(IF(OR(PRECIOS!D632="",PRECIOS!D631=""),"",PRECIOS!D632/PRECIOS!D631-1),"")</f>
        <v>0.01155802127</v>
      </c>
      <c r="E632" s="7">
        <f>IFERROR(IF(OR(PRECIOS!E632="",PRECIOS!E631=""),"",PRECIOS!E632/PRECIOS!E631-1),"")</f>
        <v>0.00638093833</v>
      </c>
      <c r="F632" s="7">
        <f>IFERROR(IF(OR(PRECIOS!F632="",PRECIOS!F631=""),"",PRECIOS!F632/PRECIOS!F631-1),"")</f>
        <v>-0.0296430732</v>
      </c>
      <c r="G632" s="7">
        <f>IFERROR(IF(OR(PRECIOS!G632="",PRECIOS!G631=""),"",PRECIOS!G632/PRECIOS!G631-1),"")</f>
        <v>-0.0002915451895</v>
      </c>
      <c r="H632" s="7">
        <f>IFERROR(IF(OR(PRECIOS!H632="",PRECIOS!H631=""),"",PRECIOS!H632/PRECIOS!H631-1),"")</f>
        <v>0.002033678326</v>
      </c>
      <c r="I632" s="7">
        <f>IFERROR(IF(OR(PRECIOS!I632="",PRECIOS!I631=""),"",PRECIOS!I632/PRECIOS!I631-1),"")</f>
        <v>0.0006532825693</v>
      </c>
    </row>
    <row r="633" ht="15.75" customHeight="1">
      <c r="A633" s="4">
        <f>IF(PRECIOS!A633="","",PRECIOS!A633)</f>
        <v>45330</v>
      </c>
      <c r="B633" s="7">
        <f>IFERROR(IF(OR(PRECIOS!B633="",PRECIOS!B632=""),"",PRECIOS!B633/PRECIOS!B632-1),"")</f>
        <v>0.01711993739</v>
      </c>
      <c r="C633" s="7">
        <f>IFERROR(IF(OR(PRECIOS!C633="",PRECIOS!C632=""),"",PRECIOS!C633/PRECIOS!C632-1),"")</f>
        <v>-0.0001493651979</v>
      </c>
      <c r="D633" s="7">
        <f>IFERROR(IF(OR(PRECIOS!D633="",PRECIOS!D632=""),"",PRECIOS!D633/PRECIOS!D632-1),"")</f>
        <v>-0.01965265082</v>
      </c>
      <c r="E633" s="7">
        <f>IFERROR(IF(OR(PRECIOS!E633="",PRECIOS!E632=""),"",PRECIOS!E633/PRECIOS!E632-1),"")</f>
        <v>0.001319406267</v>
      </c>
      <c r="F633" s="7">
        <f>IFERROR(IF(OR(PRECIOS!F633="",PRECIOS!F632=""),"",PRECIOS!F633/PRECIOS!F632-1),"")</f>
        <v>-0.01433915212</v>
      </c>
      <c r="G633" s="7">
        <f>IFERROR(IF(OR(PRECIOS!G633="",PRECIOS!G632=""),"",PRECIOS!G633/PRECIOS!G632-1),"")</f>
        <v>-0.007290755322</v>
      </c>
      <c r="H633" s="7">
        <f>IFERROR(IF(OR(PRECIOS!H633="",PRECIOS!H632=""),"",PRECIOS!H633/PRECIOS!H632-1),"")</f>
        <v>0.01026758965</v>
      </c>
      <c r="I633" s="7">
        <f>IFERROR(IF(OR(PRECIOS!I633="",PRECIOS!I632=""),"",PRECIOS!I633/PRECIOS!I632-1),"")</f>
        <v>-0.007107707212</v>
      </c>
    </row>
    <row r="634" ht="15.75" customHeight="1">
      <c r="A634" s="4">
        <f>IF(PRECIOS!A634="","",PRECIOS!A634)</f>
        <v>45331</v>
      </c>
      <c r="B634" s="7">
        <f>IFERROR(IF(OR(PRECIOS!B634="",PRECIOS!B633=""),"",PRECIOS!B634/PRECIOS!B633-1),"")</f>
        <v>-0.02115994999</v>
      </c>
      <c r="C634" s="7">
        <f>IFERROR(IF(OR(PRECIOS!C634="",PRECIOS!C633=""),"",PRECIOS!C634/PRECIOS!C633-1),"")</f>
        <v>-0.0004481625336</v>
      </c>
      <c r="D634" s="7">
        <f>IFERROR(IF(OR(PRECIOS!D634="",PRECIOS!D633=""),"",PRECIOS!D634/PRECIOS!D633-1),"")</f>
        <v>0.007692307692</v>
      </c>
      <c r="E634" s="7">
        <f>IFERROR(IF(OR(PRECIOS!E634="",PRECIOS!E633=""),"",PRECIOS!E634/PRECIOS!E633-1),"")</f>
        <v>0.01738589363</v>
      </c>
      <c r="F634" s="7">
        <f>IFERROR(IF(OR(PRECIOS!F634="",PRECIOS!F633=""),"",PRECIOS!F634/PRECIOS!F633-1),"")</f>
        <v>0.05249841872</v>
      </c>
      <c r="G634" s="7">
        <f>IFERROR(IF(OR(PRECIOS!G634="",PRECIOS!G633=""),"",PRECIOS!G634/PRECIOS!G633-1),"")</f>
        <v>-0.0002937720329</v>
      </c>
      <c r="H634" s="7">
        <f>IFERROR(IF(OR(PRECIOS!H634="",PRECIOS!H633=""),"",PRECIOS!H634/PRECIOS!H633-1),"")</f>
        <v>-0.01536473581</v>
      </c>
      <c r="I634" s="7">
        <f>IFERROR(IF(OR(PRECIOS!I634="",PRECIOS!I633=""),"",PRECIOS!I634/PRECIOS!I633-1),"")</f>
        <v>0.003832054214</v>
      </c>
    </row>
    <row r="635" ht="15.75" customHeight="1">
      <c r="A635" s="4">
        <f>IF(PRECIOS!A635="","",PRECIOS!A635)</f>
        <v>45334</v>
      </c>
      <c r="B635" s="7">
        <f>IFERROR(IF(OR(PRECIOS!B635="",PRECIOS!B634=""),"",PRECIOS!B635/PRECIOS!B634-1),"")</f>
        <v>0.01375650978</v>
      </c>
      <c r="C635" s="7">
        <f>IFERROR(IF(OR(PRECIOS!C635="",PRECIOS!C634=""),"",PRECIOS!C635/PRECIOS!C634-1),"")</f>
        <v>0.02092362876</v>
      </c>
      <c r="D635" s="7">
        <f>IFERROR(IF(OR(PRECIOS!D635="",PRECIOS!D634=""),"",PRECIOS!D635/PRECIOS!D634-1),"")</f>
        <v>-0.009715475364</v>
      </c>
      <c r="E635" s="7">
        <f>IFERROR(IF(OR(PRECIOS!E635="",PRECIOS!E634=""),"",PRECIOS!E635/PRECIOS!E634-1),"")</f>
        <v>-0.0140667722</v>
      </c>
      <c r="F635" s="7">
        <f>IFERROR(IF(OR(PRECIOS!F635="",PRECIOS!F634=""),"",PRECIOS!F635/PRECIOS!F634-1),"")</f>
        <v>0.006009615385</v>
      </c>
      <c r="G635" s="7">
        <f>IFERROR(IF(OR(PRECIOS!G635="",PRECIOS!G634=""),"",PRECIOS!G635/PRECIOS!G634-1),"")</f>
        <v>0.01528063473</v>
      </c>
      <c r="H635" s="7">
        <f>IFERROR(IF(OR(PRECIOS!H635="",PRECIOS!H634=""),"",PRECIOS!H635/PRECIOS!H634-1),"")</f>
        <v>0.01104463993</v>
      </c>
      <c r="I635" s="7">
        <f>IFERROR(IF(OR(PRECIOS!I635="",PRECIOS!I634=""),"",PRECIOS!I635/PRECIOS!I634-1),"")</f>
        <v>0.01161074936</v>
      </c>
    </row>
    <row r="636" ht="15.75" customHeight="1">
      <c r="A636" s="4">
        <f>IF(PRECIOS!A636="","",PRECIOS!A636)</f>
        <v>45335</v>
      </c>
      <c r="B636" s="7">
        <f>IFERROR(IF(OR(PRECIOS!B636="",PRECIOS!B635=""),"",PRECIOS!B636/PRECIOS!B635-1),"")</f>
        <v>-0.01773771445</v>
      </c>
      <c r="C636" s="7">
        <f>IFERROR(IF(OR(PRECIOS!C636="",PRECIOS!C635=""),"",PRECIOS!C636/PRECIOS!C635-1),"")</f>
        <v>-0.01171131606</v>
      </c>
      <c r="D636" s="7">
        <f>IFERROR(IF(OR(PRECIOS!D636="",PRECIOS!D635=""),"",PRECIOS!D636/PRECIOS!D635-1),"")</f>
        <v>0.03246904929</v>
      </c>
      <c r="E636" s="7">
        <f>IFERROR(IF(OR(PRECIOS!E636="",PRECIOS!E635=""),"",PRECIOS!E636/PRECIOS!E635-1),"")</f>
        <v>-0.006093778508</v>
      </c>
      <c r="F636" s="7">
        <f>IFERROR(IF(OR(PRECIOS!F636="",PRECIOS!F635=""),"",PRECIOS!F636/PRECIOS!F635-1),"")</f>
        <v>-0.004778972521</v>
      </c>
      <c r="G636" s="7">
        <f>IFERROR(IF(OR(PRECIOS!G636="",PRECIOS!G635=""),"",PRECIOS!G636/PRECIOS!G635-1),"")</f>
        <v>-0.01476121563</v>
      </c>
      <c r="H636" s="7">
        <f>IFERROR(IF(OR(PRECIOS!H636="",PRECIOS!H635=""),"",PRECIOS!H636/PRECIOS!H635-1),"")</f>
        <v>-0.01009245715</v>
      </c>
      <c r="I636" s="7">
        <f>IFERROR(IF(OR(PRECIOS!I636="",PRECIOS!I635=""),"",PRECIOS!I636/PRECIOS!I635-1),"")</f>
        <v>-0.01656350737</v>
      </c>
    </row>
    <row r="637" ht="15.75" customHeight="1">
      <c r="A637" s="4">
        <f>IF(PRECIOS!A637="","",PRECIOS!A637)</f>
        <v>45336</v>
      </c>
      <c r="B637" s="7">
        <f>IFERROR(IF(OR(PRECIOS!B637="",PRECIOS!B636=""),"",PRECIOS!B637/PRECIOS!B636-1),"")</f>
        <v>-0.004933885929</v>
      </c>
      <c r="C637" s="7">
        <f>IFERROR(IF(OR(PRECIOS!C637="",PRECIOS!C636=""),"",PRECIOS!C637/PRECIOS!C636-1),"")</f>
        <v>0.004443786106</v>
      </c>
      <c r="D637" s="7">
        <f>IFERROR(IF(OR(PRECIOS!D637="",PRECIOS!D636=""),"",PRECIOS!D637/PRECIOS!D636-1),"")</f>
        <v>0.001583710407</v>
      </c>
      <c r="E637" s="7">
        <f>IFERROR(IF(OR(PRECIOS!E637="",PRECIOS!E636=""),"",PRECIOS!E637/PRECIOS!E636-1),"")</f>
        <v>0.01189514649</v>
      </c>
      <c r="F637" s="7">
        <f>IFERROR(IF(OR(PRECIOS!F637="",PRECIOS!F636=""),"",PRECIOS!F637/PRECIOS!F636-1),"")</f>
        <v>0.02160864346</v>
      </c>
      <c r="G637" s="7">
        <f>IFERROR(IF(OR(PRECIOS!G637="",PRECIOS!G636=""),"",PRECIOS!G637/PRECIOS!G636-1),"")</f>
        <v>-0.02908343126</v>
      </c>
      <c r="H637" s="7">
        <f>IFERROR(IF(OR(PRECIOS!H637="",PRECIOS!H636=""),"",PRECIOS!H637/PRECIOS!H636-1),"")</f>
        <v>-0.000957815157</v>
      </c>
      <c r="I637" s="7">
        <f>IFERROR(IF(OR(PRECIOS!I637="",PRECIOS!I636=""),"",PRECIOS!I637/PRECIOS!I636-1),"")</f>
        <v>0.005504424779</v>
      </c>
    </row>
    <row r="638" ht="15.75" customHeight="1">
      <c r="A638" s="4">
        <f>IF(PRECIOS!A638="","",PRECIOS!A638)</f>
        <v>45337</v>
      </c>
      <c r="B638" s="7">
        <f>IFERROR(IF(OR(PRECIOS!B638="",PRECIOS!B637=""),"",PRECIOS!B638/PRECIOS!B637-1),"")</f>
        <v>0.0286592622</v>
      </c>
      <c r="C638" s="7">
        <f>IFERROR(IF(OR(PRECIOS!C638="",PRECIOS!C637=""),"",PRECIOS!C638/PRECIOS!C637-1),"")</f>
        <v>-0.0144521457</v>
      </c>
      <c r="D638" s="7">
        <f>IFERROR(IF(OR(PRECIOS!D638="",PRECIOS!D637=""),"",PRECIOS!D638/PRECIOS!D637-1),"")</f>
        <v>0.02529929975</v>
      </c>
      <c r="E638" s="7">
        <f>IFERROR(IF(OR(PRECIOS!E638="",PRECIOS!E637=""),"",PRECIOS!E638/PRECIOS!E637-1),"")</f>
        <v>0.0006167912343</v>
      </c>
      <c r="F638" s="7">
        <f>IFERROR(IF(OR(PRECIOS!F638="",PRECIOS!F637=""),"",PRECIOS!F638/PRECIOS!F637-1),"")</f>
        <v>-0.001175088132</v>
      </c>
      <c r="G638" s="7">
        <f>IFERROR(IF(OR(PRECIOS!G638="",PRECIOS!G637=""),"",PRECIOS!G638/PRECIOS!G637-1),"")</f>
        <v>0.03449319213</v>
      </c>
      <c r="H638" s="7">
        <f>IFERROR(IF(OR(PRECIOS!H638="",PRECIOS!H637=""),"",PRECIOS!H638/PRECIOS!H637-1),"")</f>
        <v>0.0278494122</v>
      </c>
      <c r="I638" s="7">
        <f>IFERROR(IF(OR(PRECIOS!I638="",PRECIOS!I637=""),"",PRECIOS!I638/PRECIOS!I637-1),"")</f>
        <v>0.01675731813</v>
      </c>
    </row>
    <row r="639" ht="15.75" customHeight="1">
      <c r="A639" s="4">
        <f>IF(PRECIOS!A639="","",PRECIOS!A639)</f>
        <v>45338</v>
      </c>
      <c r="B639" s="7">
        <f>IFERROR(IF(OR(PRECIOS!B639="",PRECIOS!B638=""),"",PRECIOS!B639/PRECIOS!B638-1),"")</f>
        <v>0</v>
      </c>
      <c r="C639" s="7">
        <f>IFERROR(IF(OR(PRECIOS!C639="",PRECIOS!C638=""),"",PRECIOS!C639/PRECIOS!C638-1),"")</f>
        <v>-0.005237168936</v>
      </c>
      <c r="D639" s="7">
        <f>IFERROR(IF(OR(PRECIOS!D639="",PRECIOS!D638=""),"",PRECIOS!D639/PRECIOS!D638-1),"")</f>
        <v>0.004185944041</v>
      </c>
      <c r="E639" s="7">
        <f>IFERROR(IF(OR(PRECIOS!E639="",PRECIOS!E638=""),"",PRECIOS!E639/PRECIOS!E638-1),"")</f>
        <v>0.006272888792</v>
      </c>
      <c r="F639" s="7">
        <f>IFERROR(IF(OR(PRECIOS!F639="",PRECIOS!F638=""),"",PRECIOS!F639/PRECIOS!F638-1),"")</f>
        <v>-0.008823529412</v>
      </c>
      <c r="G639" s="7">
        <f>IFERROR(IF(OR(PRECIOS!G639="",PRECIOS!G638=""),"",PRECIOS!G639/PRECIOS!G638-1),"")</f>
        <v>0.003509798187</v>
      </c>
      <c r="H639" s="7">
        <f>IFERROR(IF(OR(PRECIOS!H639="",PRECIOS!H638=""),"",PRECIOS!H639/PRECIOS!H638-1),"")</f>
        <v>-0.0005835964505</v>
      </c>
      <c r="I639" s="7">
        <f>IFERROR(IF(OR(PRECIOS!I639="",PRECIOS!I638=""),"",PRECIOS!I639/PRECIOS!I638-1),"")</f>
        <v>-0.001149524782</v>
      </c>
    </row>
    <row r="640" ht="15.75" customHeight="1">
      <c r="A640" s="4">
        <f>IF(PRECIOS!A640="","",PRECIOS!A640)</f>
        <v>45342</v>
      </c>
      <c r="B640" s="7">
        <f>IFERROR(IF(OR(PRECIOS!B640="",PRECIOS!B639=""),"",PRECIOS!B640/PRECIOS!B639-1),"")</f>
        <v>-0.009447604357</v>
      </c>
      <c r="C640" s="7">
        <f>IFERROR(IF(OR(PRECIOS!C640="",PRECIOS!C639=""),"",PRECIOS!C640/PRECIOS!C639-1),"")</f>
        <v>0.008423586041</v>
      </c>
      <c r="D640" s="7">
        <f>IFERROR(IF(OR(PRECIOS!D640="",PRECIOS!D639=""),"",PRECIOS!D640/PRECIOS!D639-1),"")</f>
        <v>0.01250548486</v>
      </c>
      <c r="E640" s="7">
        <f>IFERROR(IF(OR(PRECIOS!E640="",PRECIOS!E639=""),"",PRECIOS!E640/PRECIOS!E639-1),"")</f>
        <v>-0.005152781781</v>
      </c>
      <c r="F640" s="7">
        <f>IFERROR(IF(OR(PRECIOS!F640="",PRECIOS!F639=""),"",PRECIOS!F640/PRECIOS!F639-1),"")</f>
        <v>-0.008308605341</v>
      </c>
      <c r="G640" s="7">
        <f>IFERROR(IF(OR(PRECIOS!G640="",PRECIOS!G639=""),"",PRECIOS!G640/PRECIOS!G639-1),"")</f>
        <v>-0.005829204314</v>
      </c>
      <c r="H640" s="7">
        <f>IFERROR(IF(OR(PRECIOS!H640="",PRECIOS!H639=""),"",PRECIOS!H640/PRECIOS!H639-1),"")</f>
        <v>-0.009115909046</v>
      </c>
      <c r="I640" s="7">
        <f>IFERROR(IF(OR(PRECIOS!I640="",PRECIOS!I639=""),"",PRECIOS!I640/PRECIOS!I639-1),"")</f>
        <v>-0.0006482184392</v>
      </c>
    </row>
    <row r="641" ht="15.75" customHeight="1">
      <c r="A641" s="4">
        <f>IF(PRECIOS!A641="","",PRECIOS!A641)</f>
        <v>45343</v>
      </c>
      <c r="B641" s="7">
        <f>IFERROR(IF(OR(PRECIOS!B641="",PRECIOS!B640=""),"",PRECIOS!B641/PRECIOS!B640-1),"")</f>
        <v>0.0204379562</v>
      </c>
      <c r="C641" s="7">
        <f>IFERROR(IF(OR(PRECIOS!C641="",PRECIOS!C640=""),"",PRECIOS!C641/PRECIOS!C640-1),"")</f>
        <v>0.01029236277</v>
      </c>
      <c r="D641" s="7">
        <f>IFERROR(IF(OR(PRECIOS!D641="",PRECIOS!D640=""),"",PRECIOS!D641/PRECIOS!D640-1),"")</f>
        <v>0.0006500541712</v>
      </c>
      <c r="E641" s="7">
        <f>IFERROR(IF(OR(PRECIOS!E641="",PRECIOS!E640=""),"",PRECIOS!E641/PRECIOS!E640-1),"")</f>
        <v>0.003875547829</v>
      </c>
      <c r="F641" s="7">
        <f>IFERROR(IF(OR(PRECIOS!F641="",PRECIOS!F640=""),"",PRECIOS!F641/PRECIOS!F640-1),"")</f>
        <v>0.01496110114</v>
      </c>
      <c r="G641" s="7">
        <f>IFERROR(IF(OR(PRECIOS!G641="",PRECIOS!G640=""),"",PRECIOS!G641/PRECIOS!G640-1),"")</f>
        <v>0.01671064204</v>
      </c>
      <c r="H641" s="7">
        <f>IFERROR(IF(OR(PRECIOS!H641="",PRECIOS!H640=""),"",PRECIOS!H641/PRECIOS!H640-1),"")</f>
        <v>0.01875464333</v>
      </c>
      <c r="I641" s="7">
        <f>IFERROR(IF(OR(PRECIOS!I641="",PRECIOS!I640=""),"",PRECIOS!I641/PRECIOS!I640-1),"")</f>
        <v>0.01323639593</v>
      </c>
    </row>
    <row r="642" ht="15.75" customHeight="1">
      <c r="A642" s="4">
        <f>IF(PRECIOS!A642="","",PRECIOS!A642)</f>
        <v>45344</v>
      </c>
      <c r="B642" s="7">
        <f>IFERROR(IF(OR(PRECIOS!B642="",PRECIOS!B641=""),"",PRECIOS!B642/PRECIOS!B641-1),"")</f>
        <v>-0.0008583690987</v>
      </c>
      <c r="C642" s="7">
        <f>IFERROR(IF(OR(PRECIOS!C642="",PRECIOS!C641=""),"",PRECIOS!C642/PRECIOS!C641-1),"")</f>
        <v>-0.006644027757</v>
      </c>
      <c r="D642" s="7">
        <f>IFERROR(IF(OR(PRECIOS!D642="",PRECIOS!D641=""),"",PRECIOS!D642/PRECIOS!D641-1),"")</f>
        <v>0.03118233001</v>
      </c>
      <c r="E642" s="7">
        <f>IFERROR(IF(OR(PRECIOS!E642="",PRECIOS!E641=""),"",PRECIOS!E642/PRECIOS!E641-1),"")</f>
        <v>0.0267715399</v>
      </c>
      <c r="F642" s="7">
        <f>IFERROR(IF(OR(PRECIOS!F642="",PRECIOS!F641=""),"",PRECIOS!F642/PRECIOS!F641-1),"")</f>
        <v>0.06426886792</v>
      </c>
      <c r="G642" s="7">
        <f>IFERROR(IF(OR(PRECIOS!G642="",PRECIOS!G641=""),"",PRECIOS!G642/PRECIOS!G641-1),"")</f>
        <v>0.006343713956</v>
      </c>
      <c r="H642" s="7">
        <f>IFERROR(IF(OR(PRECIOS!H642="",PRECIOS!H641=""),"",PRECIOS!H642/PRECIOS!H641-1),"")</f>
        <v>0.001735381512</v>
      </c>
      <c r="I642" s="7">
        <f>IFERROR(IF(OR(PRECIOS!I642="",PRECIOS!I641=""),"",PRECIOS!I642/PRECIOS!I641-1),"")</f>
        <v>-0.007740181848</v>
      </c>
    </row>
    <row r="643" ht="15.75" customHeight="1">
      <c r="A643" s="4">
        <f>IF(PRECIOS!A643="","",PRECIOS!A643)</f>
        <v>45345</v>
      </c>
      <c r="B643" s="7">
        <f>IFERROR(IF(OR(PRECIOS!B643="",PRECIOS!B642=""),"",PRECIOS!B643/PRECIOS!B642-1),"")</f>
        <v>-0.008781977854</v>
      </c>
      <c r="C643" s="7">
        <f>IFERROR(IF(OR(PRECIOS!C643="",PRECIOS!C642=""),"",PRECIOS!C643/PRECIOS!C642-1),"")</f>
        <v>0.006093935791</v>
      </c>
      <c r="D643" s="7">
        <f>IFERROR(IF(OR(PRECIOS!D643="",PRECIOS!D642=""),"",PRECIOS!D643/PRECIOS!D642-1),"")</f>
        <v>0.02099958001</v>
      </c>
      <c r="E643" s="7">
        <f>IFERROR(IF(OR(PRECIOS!E643="",PRECIOS!E642=""),"",PRECIOS!E643/PRECIOS!E642-1),"")</f>
        <v>0.001229882634</v>
      </c>
      <c r="F643" s="7">
        <f>IFERROR(IF(OR(PRECIOS!F643="",PRECIOS!F642=""),"",PRECIOS!F643/PRECIOS!F642-1),"")</f>
        <v>-0.0005540166205</v>
      </c>
      <c r="G643" s="7">
        <f>IFERROR(IF(OR(PRECIOS!G643="",PRECIOS!G642=""),"",PRECIOS!G643/PRECIOS!G642-1),"")</f>
        <v>0.001146131805</v>
      </c>
      <c r="H643" s="7">
        <f>IFERROR(IF(OR(PRECIOS!H643="",PRECIOS!H642=""),"",PRECIOS!H643/PRECIOS!H642-1),"")</f>
        <v>-0.006588948335</v>
      </c>
      <c r="I643" s="7">
        <f>IFERROR(IF(OR(PRECIOS!I643="",PRECIOS!I642=""),"",PRECIOS!I643/PRECIOS!I642-1),"")</f>
        <v>0.007151950485</v>
      </c>
    </row>
    <row r="644" ht="15.75" customHeight="1">
      <c r="A644" s="4">
        <f>IF(PRECIOS!A644="","",PRECIOS!A644)</f>
        <v>45348</v>
      </c>
      <c r="B644" s="7">
        <f>IFERROR(IF(OR(PRECIOS!B644="",PRECIOS!B643=""),"",PRECIOS!B644/PRECIOS!B643-1),"")</f>
        <v>0.003948382126</v>
      </c>
      <c r="C644" s="7">
        <f>IFERROR(IF(OR(PRECIOS!C644="",PRECIOS!C643=""),"",PRECIOS!C644/PRECIOS!C643-1),"")</f>
        <v>-0.0212734525</v>
      </c>
      <c r="D644" s="7">
        <f>IFERROR(IF(OR(PRECIOS!D644="",PRECIOS!D643=""),"",PRECIOS!D644/PRECIOS!D643-1),"")</f>
        <v>0.002673796791</v>
      </c>
      <c r="E644" s="7">
        <f>IFERROR(IF(OR(PRECIOS!E644="",PRECIOS!E643=""),"",PRECIOS!E644/PRECIOS!E643-1),"")</f>
        <v>-0.002211069385</v>
      </c>
      <c r="F644" s="7">
        <f>IFERROR(IF(OR(PRECIOS!F644="",PRECIOS!F643=""),"",PRECIOS!F644/PRECIOS!F643-1),"")</f>
        <v>-0.007206208426</v>
      </c>
      <c r="G644" s="7">
        <f>IFERROR(IF(OR(PRECIOS!G644="",PRECIOS!G643=""),"",PRECIOS!G644/PRECIOS!G643-1),"")</f>
        <v>-0.0062965083</v>
      </c>
      <c r="H644" s="7">
        <f>IFERROR(IF(OR(PRECIOS!H644="",PRECIOS!H643=""),"",PRECIOS!H644/PRECIOS!H643-1),"")</f>
        <v>0.003490214977</v>
      </c>
      <c r="I644" s="7">
        <f>IFERROR(IF(OR(PRECIOS!I644="",PRECIOS!I643=""),"",PRECIOS!I644/PRECIOS!I643-1),"")</f>
        <v>-0.01969005632</v>
      </c>
    </row>
    <row r="645" ht="15.75" customHeight="1">
      <c r="A645" s="4">
        <f>IF(PRECIOS!A645="","",PRECIOS!A645)</f>
        <v>45349</v>
      </c>
      <c r="B645" s="7">
        <f>IFERROR(IF(OR(PRECIOS!B645="",PRECIOS!B644=""),"",PRECIOS!B645/PRECIOS!B644-1),"")</f>
        <v>-0.002110311751</v>
      </c>
      <c r="C645" s="7">
        <f>IFERROR(IF(OR(PRECIOS!C645="",PRECIOS!C644=""),"",PRECIOS!C645/PRECIOS!C644-1),"")</f>
        <v>0.003169811321</v>
      </c>
      <c r="D645" s="7">
        <f>IFERROR(IF(OR(PRECIOS!D645="",PRECIOS!D644=""),"",PRECIOS!D645/PRECIOS!D644-1),"")</f>
        <v>0.04574358974</v>
      </c>
      <c r="E645" s="7">
        <f>IFERROR(IF(OR(PRECIOS!E645="",PRECIOS!E644=""),"",PRECIOS!E645/PRECIOS!E644-1),"")</f>
        <v>-0.002567710165</v>
      </c>
      <c r="F645" s="7">
        <f>IFERROR(IF(OR(PRECIOS!F645="",PRECIOS!F644=""),"",PRECIOS!F645/PRECIOS!F644-1),"")</f>
        <v>-0.0279173646</v>
      </c>
      <c r="G645" s="7">
        <f>IFERROR(IF(OR(PRECIOS!G645="",PRECIOS!G644=""),"",PRECIOS!G645/PRECIOS!G644-1),"")</f>
        <v>0.009216589862</v>
      </c>
      <c r="H645" s="7">
        <f>IFERROR(IF(OR(PRECIOS!H645="",PRECIOS!H644=""),"",PRECIOS!H645/PRECIOS!H644-1),"")</f>
        <v>-0.004290039336</v>
      </c>
      <c r="I645" s="7">
        <f>IFERROR(IF(OR(PRECIOS!I645="",PRECIOS!I644=""),"",PRECIOS!I645/PRECIOS!I644-1),"")</f>
        <v>0.01893240523</v>
      </c>
    </row>
    <row r="646" ht="15.75" customHeight="1">
      <c r="A646" s="4">
        <f>IF(PRECIOS!A646="","",PRECIOS!A646)</f>
        <v>45350</v>
      </c>
      <c r="B646" s="7">
        <f>IFERROR(IF(OR(PRECIOS!B646="",PRECIOS!B645=""),"",PRECIOS!B646/PRECIOS!B645-1),"")</f>
        <v>0.002787657407</v>
      </c>
      <c r="C646" s="7">
        <f>IFERROR(IF(OR(PRECIOS!C646="",PRECIOS!C645=""),"",PRECIOS!C646/PRECIOS!C645-1),"")</f>
        <v>0.005266325609</v>
      </c>
      <c r="D646" s="7">
        <f>IFERROR(IF(OR(PRECIOS!D646="",PRECIOS!D645=""),"",PRECIOS!D646/PRECIOS!D645-1),"")</f>
        <v>0.04001569243</v>
      </c>
      <c r="E646" s="7">
        <f>IFERROR(IF(OR(PRECIOS!E646="",PRECIOS!E645=""),"",PRECIOS!E646/PRECIOS!E645-1),"")</f>
        <v>0.01195472017</v>
      </c>
      <c r="F646" s="7">
        <f>IFERROR(IF(OR(PRECIOS!F646="",PRECIOS!F645=""),"",PRECIOS!F646/PRECIOS!F645-1),"")</f>
        <v>-0.01952900632</v>
      </c>
      <c r="G646" s="7">
        <f>IFERROR(IF(OR(PRECIOS!G646="",PRECIOS!G645=""),"",PRECIOS!G646/PRECIOS!G645-1),"")</f>
        <v>0.006278538813</v>
      </c>
      <c r="H646" s="7">
        <f>IFERROR(IF(OR(PRECIOS!H646="",PRECIOS!H645=""),"",PRECIOS!H646/PRECIOS!H645-1),"")</f>
        <v>-0.001976500773</v>
      </c>
      <c r="I646" s="7">
        <f>IFERROR(IF(OR(PRECIOS!I646="",PRECIOS!I645=""),"",PRECIOS!I646/PRECIOS!I645-1),"")</f>
        <v>0.003065906706</v>
      </c>
    </row>
    <row r="647" ht="15.75" customHeight="1">
      <c r="A647" s="4">
        <f>IF(PRECIOS!A647="","",PRECIOS!A647)</f>
        <v>45351</v>
      </c>
      <c r="B647" s="7">
        <f>IFERROR(IF(OR(PRECIOS!B647="",PRECIOS!B646=""),"",PRECIOS!B647/PRECIOS!B646-1),"")</f>
        <v>0.001917177914</v>
      </c>
      <c r="C647" s="7">
        <f>IFERROR(IF(OR(PRECIOS!C647="",PRECIOS!C646=""),"",PRECIOS!C647/PRECIOS!C646-1),"")</f>
        <v>0.006585840443</v>
      </c>
      <c r="D647" s="7">
        <f>IFERROR(IF(OR(PRECIOS!D647="",PRECIOS!D646=""),"",PRECIOS!D647/PRECIOS!D646-1),"")</f>
        <v>0.02866842701</v>
      </c>
      <c r="E647" s="7">
        <f>IFERROR(IF(OR(PRECIOS!E647="",PRECIOS!E646=""),"",PRECIOS!E647/PRECIOS!E646-1),"")</f>
        <v>0.007109004739</v>
      </c>
      <c r="F647" s="7">
        <f>IFERROR(IF(OR(PRECIOS!F647="",PRECIOS!F646=""),"",PRECIOS!F647/PRECIOS!F646-1),"")</f>
        <v>0.01347393087</v>
      </c>
      <c r="G647" s="7">
        <f>IFERROR(IF(OR(PRECIOS!G647="",PRECIOS!G646=""),"",PRECIOS!G647/PRECIOS!G646-1),"")</f>
        <v>0.01928530913</v>
      </c>
      <c r="H647" s="7">
        <f>IFERROR(IF(OR(PRECIOS!H647="",PRECIOS!H646=""),"",PRECIOS!H647/PRECIOS!H646-1),"")</f>
        <v>0.004897479268</v>
      </c>
      <c r="I647" s="7">
        <f>IFERROR(IF(OR(PRECIOS!I647="",PRECIOS!I646=""),"",PRECIOS!I647/PRECIOS!I646-1),"")</f>
        <v>0.0003282185936</v>
      </c>
    </row>
    <row r="648" ht="15.75" customHeight="1">
      <c r="A648" s="4">
        <f>IF(PRECIOS!A648="","",PRECIOS!A648)</f>
        <v>45352</v>
      </c>
      <c r="B648" s="7">
        <f>IFERROR(IF(OR(PRECIOS!B648="",PRECIOS!B647=""),"",PRECIOS!B648/PRECIOS!B647-1),"")</f>
        <v>0.01262916188</v>
      </c>
      <c r="C648" s="7">
        <f>IFERROR(IF(OR(PRECIOS!C648="",PRECIOS!C647=""),"",PRECIOS!C648/PRECIOS!C647-1),"")</f>
        <v>-0.005799256506</v>
      </c>
      <c r="D648" s="7">
        <f>IFERROR(IF(OR(PRECIOS!D648="",PRECIOS!D647=""),"",PRECIOS!D648/PRECIOS!D647-1),"")</f>
        <v>-0.000733406674</v>
      </c>
      <c r="E648" s="7">
        <f>IFERROR(IF(OR(PRECIOS!E648="",PRECIOS!E647=""),"",PRECIOS!E648/PRECIOS!E647-1),"")</f>
        <v>0.01626297578</v>
      </c>
      <c r="F648" s="7">
        <f>IFERROR(IF(OR(PRECIOS!F648="",PRECIOS!F647=""),"",PRECIOS!F648/PRECIOS!F647-1),"")</f>
        <v>0.03063583815</v>
      </c>
      <c r="G648" s="7">
        <f>IFERROR(IF(OR(PRECIOS!G648="",PRECIOS!G647=""),"",PRECIOS!G648/PRECIOS!G647-1),"")</f>
        <v>0.01279910963</v>
      </c>
      <c r="H648" s="7">
        <f>IFERROR(IF(OR(PRECIOS!H648="",PRECIOS!H647=""),"",PRECIOS!H648/PRECIOS!H647-1),"")</f>
        <v>0.01160643237</v>
      </c>
      <c r="I648" s="7">
        <f>IFERROR(IF(OR(PRECIOS!I648="",PRECIOS!I647=""),"",PRECIOS!I648/PRECIOS!I647-1),"")</f>
        <v>-0.006124736828</v>
      </c>
    </row>
    <row r="649" ht="15.75" customHeight="1">
      <c r="A649" s="4">
        <f>IF(PRECIOS!A649="","",PRECIOS!A649)</f>
        <v>45355</v>
      </c>
      <c r="B649" s="7">
        <f>IFERROR(IF(OR(PRECIOS!B649="",PRECIOS!B648=""),"",PRECIOS!B649/PRECIOS!B648-1),"")</f>
        <v>-0.01398337113</v>
      </c>
      <c r="C649" s="7">
        <f>IFERROR(IF(OR(PRECIOS!C649="",PRECIOS!C648=""),"",PRECIOS!C649/PRECIOS!C648-1),"")</f>
        <v>0.02004187855</v>
      </c>
      <c r="D649" s="7">
        <f>IFERROR(IF(OR(PRECIOS!D649="",PRECIOS!D648=""),"",PRECIOS!D649/PRECIOS!D648-1),"")</f>
        <v>0.04568807339</v>
      </c>
      <c r="E649" s="7">
        <f>IFERROR(IF(OR(PRECIOS!E649="",PRECIOS!E648=""),"",PRECIOS!E649/PRECIOS!E648-1),"")</f>
        <v>0.009805924413</v>
      </c>
      <c r="F649" s="7">
        <f>IFERROR(IF(OR(PRECIOS!F649="",PRECIOS!F648=""),"",PRECIOS!F649/PRECIOS!F648-1),"")</f>
        <v>0.04935501963</v>
      </c>
      <c r="G649" s="7">
        <f>IFERROR(IF(OR(PRECIOS!G649="",PRECIOS!G648=""),"",PRECIOS!G649/PRECIOS!G648-1),"")</f>
        <v>-0.0008241758242</v>
      </c>
      <c r="H649" s="7">
        <f>IFERROR(IF(OR(PRECIOS!H649="",PRECIOS!H648=""),"",PRECIOS!H649/PRECIOS!H648-1),"")</f>
        <v>-0.01067195322</v>
      </c>
      <c r="I649" s="7">
        <f>IFERROR(IF(OR(PRECIOS!I649="",PRECIOS!I648=""),"",PRECIOS!I649/PRECIOS!I648-1),"")</f>
        <v>0.01685397122</v>
      </c>
    </row>
    <row r="650" ht="15.75" customHeight="1">
      <c r="A650" s="4">
        <f>IF(PRECIOS!A650="","",PRECIOS!A650)</f>
        <v>45356</v>
      </c>
      <c r="B650" s="7">
        <f>IFERROR(IF(OR(PRECIOS!B650="",PRECIOS!B649=""),"",PRECIOS!B650/PRECIOS!B649-1),"")</f>
        <v>0.01226523572</v>
      </c>
      <c r="C650" s="7">
        <f>IFERROR(IF(OR(PRECIOS!C650="",PRECIOS!C649=""),"",PRECIOS!C650/PRECIOS!C649-1),"")</f>
        <v>-0.003225806452</v>
      </c>
      <c r="D650" s="7">
        <f>IFERROR(IF(OR(PRECIOS!D650="",PRECIOS!D649=""),"",PRECIOS!D650/PRECIOS!D649-1),"")</f>
        <v>0.03333918231</v>
      </c>
      <c r="E650" s="7">
        <f>IFERROR(IF(OR(PRECIOS!E650="",PRECIOS!E649=""),"",PRECIOS!E650/PRECIOS!E649-1),"")</f>
        <v>-0.01567873761</v>
      </c>
      <c r="F650" s="7">
        <f>IFERROR(IF(OR(PRECIOS!F650="",PRECIOS!F649=""),"",PRECIOS!F650/PRECIOS!F649-1),"")</f>
        <v>-0.02725815072</v>
      </c>
      <c r="G650" s="7">
        <f>IFERROR(IF(OR(PRECIOS!G650="",PRECIOS!G649=""),"",PRECIOS!G650/PRECIOS!G649-1),"")</f>
        <v>0.008798460269</v>
      </c>
      <c r="H650" s="7">
        <f>IFERROR(IF(OR(PRECIOS!H650="",PRECIOS!H649=""),"",PRECIOS!H650/PRECIOS!H649-1),"")</f>
        <v>0.007425865195</v>
      </c>
      <c r="I650" s="7">
        <f>IFERROR(IF(OR(PRECIOS!I650="",PRECIOS!I649=""),"",PRECIOS!I650/PRECIOS!I649-1),"")</f>
        <v>-0.002871221165</v>
      </c>
    </row>
    <row r="651" ht="15.75" customHeight="1">
      <c r="A651" s="4">
        <f>IF(PRECIOS!A651="","",PRECIOS!A651)</f>
        <v>45357</v>
      </c>
      <c r="B651" s="7">
        <f>IFERROR(IF(OR(PRECIOS!B651="",PRECIOS!B650=""),"",PRECIOS!B651/PRECIOS!B650-1),"")</f>
        <v>0.01069670579</v>
      </c>
      <c r="C651" s="7">
        <f>IFERROR(IF(OR(PRECIOS!C651="",PRECIOS!C650=""),"",PRECIOS!C651/PRECIOS!C650-1),"")</f>
        <v>0.008826125331</v>
      </c>
      <c r="D651" s="7">
        <f>IFERROR(IF(OR(PRECIOS!D651="",PRECIOS!D650=""),"",PRECIOS!D651/PRECIOS!D650-1),"")</f>
        <v>0.03413143148</v>
      </c>
      <c r="E651" s="7">
        <f>IFERROR(IF(OR(PRECIOS!E651="",PRECIOS!E650=""),"",PRECIOS!E651/PRECIOS!E650-1),"")</f>
        <v>0.0164765526</v>
      </c>
      <c r="F651" s="7">
        <f>IFERROR(IF(OR(PRECIOS!F651="",PRECIOS!F650=""),"",PRECIOS!F651/PRECIOS!F650-1),"")</f>
        <v>0.02582417582</v>
      </c>
      <c r="G651" s="7">
        <f>IFERROR(IF(OR(PRECIOS!G651="",PRECIOS!G650=""),"",PRECIOS!G651/PRECIOS!G650-1),"")</f>
        <v>-0.00436086127</v>
      </c>
      <c r="H651" s="7">
        <f>IFERROR(IF(OR(PRECIOS!H651="",PRECIOS!H650=""),"",PRECIOS!H651/PRECIOS!H650-1),"")</f>
        <v>0.003110232542</v>
      </c>
      <c r="I651" s="7">
        <f>IFERROR(IF(OR(PRECIOS!I651="",PRECIOS!I650=""),"",PRECIOS!I651/PRECIOS!I650-1),"")</f>
        <v>0.009584729552</v>
      </c>
    </row>
    <row r="652" ht="15.75" customHeight="1">
      <c r="A652" s="4">
        <f>IF(PRECIOS!A652="","",PRECIOS!A652)</f>
        <v>45358</v>
      </c>
      <c r="B652" s="7">
        <f>IFERROR(IF(OR(PRECIOS!B652="",PRECIOS!B651=""),"",PRECIOS!B652/PRECIOS!B651-1),"")</f>
        <v>0.005619556055</v>
      </c>
      <c r="C652" s="7">
        <f>IFERROR(IF(OR(PRECIOS!C652="",PRECIOS!C651=""),"",PRECIOS!C652/PRECIOS!C651-1),"")</f>
        <v>0.009769612132</v>
      </c>
      <c r="D652" s="7">
        <f>IFERROR(IF(OR(PRECIOS!D652="",PRECIOS!D651=""),"",PRECIOS!D652/PRECIOS!D651-1),"")</f>
        <v>0.01280788177</v>
      </c>
      <c r="E652" s="7">
        <f>IFERROR(IF(OR(PRECIOS!E652="",PRECIOS!E651=""),"",PRECIOS!E652/PRECIOS!E651-1),"")</f>
        <v>0.01479409584</v>
      </c>
      <c r="F652" s="7">
        <f>IFERROR(IF(OR(PRECIOS!F652="",PRECIOS!F651=""),"",PRECIOS!F652/PRECIOS!F651-1),"")</f>
        <v>-0.01874665238</v>
      </c>
      <c r="G652" s="7">
        <f>IFERROR(IF(OR(PRECIOS!G652="",PRECIOS!G651=""),"",PRECIOS!G652/PRECIOS!G651-1),"")</f>
        <v>-0.01669860389</v>
      </c>
      <c r="H652" s="7">
        <f>IFERROR(IF(OR(PRECIOS!H652="",PRECIOS!H651=""),"",PRECIOS!H652/PRECIOS!H651-1),"")</f>
        <v>0.008492917666</v>
      </c>
      <c r="I652" s="7">
        <f>IFERROR(IF(OR(PRECIOS!I652="",PRECIOS!I651=""),"",PRECIOS!I652/PRECIOS!I651-1),"")</f>
        <v>0.006497127692</v>
      </c>
    </row>
    <row r="653" ht="15.75" customHeight="1">
      <c r="A653" s="4">
        <f>IF(PRECIOS!A653="","",PRECIOS!A653)</f>
        <v>45359</v>
      </c>
      <c r="B653" s="7">
        <f>IFERROR(IF(OR(PRECIOS!B653="",PRECIOS!B652=""),"",PRECIOS!B653/PRECIOS!B652-1),"")</f>
        <v>0.009406724411</v>
      </c>
      <c r="C653" s="7">
        <f>IFERROR(IF(OR(PRECIOS!C653="",PRECIOS!C652=""),"",PRECIOS!C653/PRECIOS!C652-1),"")</f>
        <v>-0.003465703971</v>
      </c>
      <c r="D653" s="7">
        <f>IFERROR(IF(OR(PRECIOS!D653="",PRECIOS!D652=""),"",PRECIOS!D653/PRECIOS!D652-1),"")</f>
        <v>-0.01929312581</v>
      </c>
      <c r="E653" s="7">
        <f>IFERROR(IF(OR(PRECIOS!E653="",PRECIOS!E652=""),"",PRECIOS!E653/PRECIOS!E652-1),"")</f>
        <v>-0.01208780261</v>
      </c>
      <c r="F653" s="7">
        <f>IFERROR(IF(OR(PRECIOS!F653="",PRECIOS!F652=""),"",PRECIOS!F653/PRECIOS!F652-1),"")</f>
        <v>-0.0365720524</v>
      </c>
      <c r="G653" s="7">
        <f>IFERROR(IF(OR(PRECIOS!G653="",PRECIOS!G652=""),"",PRECIOS!G653/PRECIOS!G652-1),"")</f>
        <v>0.003619153675</v>
      </c>
      <c r="H653" s="7">
        <f>IFERROR(IF(OR(PRECIOS!H653="",PRECIOS!H652=""),"",PRECIOS!H653/PRECIOS!H652-1),"")</f>
        <v>0.003528965712</v>
      </c>
      <c r="I653" s="7">
        <f>IFERROR(IF(OR(PRECIOS!I653="",PRECIOS!I652=""),"",PRECIOS!I653/PRECIOS!I652-1),"")</f>
        <v>0.00250997984</v>
      </c>
    </row>
    <row r="654" ht="15.75" customHeight="1">
      <c r="A654" s="4">
        <f>IF(PRECIOS!A654="","",PRECIOS!A654)</f>
        <v>45362</v>
      </c>
      <c r="B654" s="7">
        <f>IFERROR(IF(OR(PRECIOS!B654="",PRECIOS!B653=""),"",PRECIOS!B654/PRECIOS!B653-1),"")</f>
        <v>0.005905148551</v>
      </c>
      <c r="C654" s="7">
        <f>IFERROR(IF(OR(PRECIOS!C654="",PRECIOS!C653=""),"",PRECIOS!C654/PRECIOS!C653-1),"")</f>
        <v>0.01115780322</v>
      </c>
      <c r="D654" s="7">
        <f>IFERROR(IF(OR(PRECIOS!D654="",PRECIOS!D653=""),"",PRECIOS!D654/PRECIOS!D653-1),"")</f>
        <v>-0.04033724583</v>
      </c>
      <c r="E654" s="7">
        <f>IFERROR(IF(OR(PRECIOS!E654="",PRECIOS!E653=""),"",PRECIOS!E654/PRECIOS!E653-1),"")</f>
        <v>-0.01610138156</v>
      </c>
      <c r="F654" s="7">
        <f>IFERROR(IF(OR(PRECIOS!F654="",PRECIOS!F653=""),"",PRECIOS!F654/PRECIOS!F653-1),"")</f>
        <v>-0.01756373938</v>
      </c>
      <c r="G654" s="7">
        <f>IFERROR(IF(OR(PRECIOS!G654="",PRECIOS!G653=""),"",PRECIOS!G654/PRECIOS!G653-1),"")</f>
        <v>0.01636615811</v>
      </c>
      <c r="H654" s="7">
        <f>IFERROR(IF(OR(PRECIOS!H654="",PRECIOS!H653=""),"",PRECIOS!H654/PRECIOS!H653-1),"")</f>
        <v>0.0103220119</v>
      </c>
      <c r="I654" s="7">
        <f>IFERROR(IF(OR(PRECIOS!I654="",PRECIOS!I653=""),"",PRECIOS!I654/PRECIOS!I653-1),"")</f>
        <v>0.005020708759</v>
      </c>
    </row>
    <row r="655" ht="15.75" customHeight="1">
      <c r="A655" s="4">
        <f>IF(PRECIOS!A655="","",PRECIOS!A655)</f>
        <v>45363</v>
      </c>
      <c r="B655" s="7">
        <f>IFERROR(IF(OR(PRECIOS!B655="",PRECIOS!B654=""),"",PRECIOS!B655/PRECIOS!B654-1),"")</f>
        <v>-0.006420840213</v>
      </c>
      <c r="C655" s="7">
        <f>IFERROR(IF(OR(PRECIOS!C655="",PRECIOS!C654=""),"",PRECIOS!C655/PRECIOS!C654-1),"")</f>
        <v>-0.006162224133</v>
      </c>
      <c r="D655" s="7">
        <f>IFERROR(IF(OR(PRECIOS!D655="",PRECIOS!D654=""),"",PRECIOS!D655/PRECIOS!D654-1),"")</f>
        <v>0.03703703704</v>
      </c>
      <c r="E655" s="7">
        <f>IFERROR(IF(OR(PRECIOS!E655="",PRECIOS!E654=""),"",PRECIOS!E655/PRECIOS!E654-1),"")</f>
        <v>0.01721899556</v>
      </c>
      <c r="F655" s="7">
        <f>IFERROR(IF(OR(PRECIOS!F655="",PRECIOS!F654=""),"",PRECIOS!F655/PRECIOS!F654-1),"")</f>
        <v>0.01730103806</v>
      </c>
      <c r="G655" s="7">
        <f>IFERROR(IF(OR(PRECIOS!G655="",PRECIOS!G654=""),"",PRECIOS!G655/PRECIOS!G654-1),"")</f>
        <v>0.002456331878</v>
      </c>
      <c r="H655" s="7">
        <f>IFERROR(IF(OR(PRECIOS!H655="",PRECIOS!H654=""),"",PRECIOS!H655/PRECIOS!H654-1),"")</f>
        <v>-0.001574912625</v>
      </c>
      <c r="I655" s="7">
        <f>IFERROR(IF(OR(PRECIOS!I655="",PRECIOS!I654=""),"",PRECIOS!I655/PRECIOS!I654-1),"")</f>
        <v>-0.009676543079</v>
      </c>
    </row>
    <row r="656" ht="15.75" customHeight="1">
      <c r="A656" s="4">
        <f>IF(PRECIOS!A656="","",PRECIOS!A656)</f>
        <v>45364</v>
      </c>
      <c r="B656" s="7">
        <f>IFERROR(IF(OR(PRECIOS!B656="",PRECIOS!B655=""),"",PRECIOS!B656/PRECIOS!B655-1),"")</f>
        <v>0.01117060561</v>
      </c>
      <c r="C656" s="7">
        <f>IFERROR(IF(OR(PRECIOS!C656="",PRECIOS!C655=""),"",PRECIOS!C656/PRECIOS!C655-1),"")</f>
        <v>0.008507570296</v>
      </c>
      <c r="D656" s="7">
        <f>IFERROR(IF(OR(PRECIOS!D656="",PRECIOS!D655=""),"",PRECIOS!D656/PRECIOS!D655-1),"")</f>
        <v>0.01594684385</v>
      </c>
      <c r="E656" s="7">
        <f>IFERROR(IF(OR(PRECIOS!E656="",PRECIOS!E655=""),"",PRECIOS!E656/PRECIOS!E655-1),"")</f>
        <v>0.008396587627</v>
      </c>
      <c r="F656" s="7">
        <f>IFERROR(IF(OR(PRECIOS!F656="",PRECIOS!F655=""),"",PRECIOS!F656/PRECIOS!F655-1),"")</f>
        <v>0.02664399093</v>
      </c>
      <c r="G656" s="7">
        <f>IFERROR(IF(OR(PRECIOS!G656="",PRECIOS!G655=""),"",PRECIOS!G656/PRECIOS!G655-1),"")</f>
        <v>0.005717397223</v>
      </c>
      <c r="H656" s="7">
        <f>IFERROR(IF(OR(PRECIOS!H656="",PRECIOS!H655=""),"",PRECIOS!H656/PRECIOS!H655-1),"")</f>
        <v>0.01597084337</v>
      </c>
      <c r="I656" s="7">
        <f>IFERROR(IF(OR(PRECIOS!I656="",PRECIOS!I655=""),"",PRECIOS!I656/PRECIOS!I655-1),"")</f>
        <v>0.006780556829</v>
      </c>
    </row>
    <row r="657" ht="15.75" customHeight="1">
      <c r="A657" s="4">
        <f>IF(PRECIOS!A657="","",PRECIOS!A657)</f>
        <v>45365</v>
      </c>
      <c r="B657" s="7">
        <f>IFERROR(IF(OR(PRECIOS!B657="",PRECIOS!B656=""),"",PRECIOS!B657/PRECIOS!B656-1),"")</f>
        <v>0.01771204236</v>
      </c>
      <c r="C657" s="7">
        <f>IFERROR(IF(OR(PRECIOS!C657="",PRECIOS!C656=""),"",PRECIOS!C657/PRECIOS!C656-1),"")</f>
        <v>-0.008006863025</v>
      </c>
      <c r="D657" s="7">
        <f>IFERROR(IF(OR(PRECIOS!D657="",PRECIOS!D656=""),"",PRECIOS!D657/PRECIOS!D656-1),"")</f>
        <v>0.03188358404</v>
      </c>
      <c r="E657" s="7">
        <f>IFERROR(IF(OR(PRECIOS!E657="",PRECIOS!E656=""),"",PRECIOS!E657/PRECIOS!E656-1),"")</f>
        <v>0.0001665334399</v>
      </c>
      <c r="F657" s="7">
        <f>IFERROR(IF(OR(PRECIOS!F657="",PRECIOS!F656=""),"",PRECIOS!F657/PRECIOS!F656-1),"")</f>
        <v>-0.006073992269</v>
      </c>
      <c r="G657" s="7">
        <f>IFERROR(IF(OR(PRECIOS!G657="",PRECIOS!G656=""),"",PRECIOS!G657/PRECIOS!G656-1),"")</f>
        <v>-0.00162425555</v>
      </c>
      <c r="H657" s="7">
        <f>IFERROR(IF(OR(PRECIOS!H657="",PRECIOS!H656=""),"",PRECIOS!H657/PRECIOS!H656-1),"")</f>
        <v>0.01029159114</v>
      </c>
      <c r="I657" s="7">
        <f>IFERROR(IF(OR(PRECIOS!I657="",PRECIOS!I656=""),"",PRECIOS!I657/PRECIOS!I656-1),"")</f>
        <v>-0.00798086188</v>
      </c>
    </row>
    <row r="658" ht="15.75" customHeight="1">
      <c r="A658" s="4">
        <f>IF(PRECIOS!A658="","",PRECIOS!A658)</f>
        <v>45366</v>
      </c>
      <c r="B658" s="7">
        <f>IFERROR(IF(OR(PRECIOS!B658="",PRECIOS!B657=""),"",PRECIOS!B658/PRECIOS!B657-1),"")</f>
        <v>-0.001794204719</v>
      </c>
      <c r="C658" s="7">
        <f>IFERROR(IF(OR(PRECIOS!C658="",PRECIOS!C657=""),"",PRECIOS!C658/PRECIOS!C657-1),"")</f>
        <v>-0.004179878928</v>
      </c>
      <c r="D658" s="7">
        <f>IFERROR(IF(OR(PRECIOS!D658="",PRECIOS!D657=""),"",PRECIOS!D658/PRECIOS!D657-1),"")</f>
        <v>-0.02456029155</v>
      </c>
      <c r="E658" s="7">
        <f>IFERROR(IF(OR(PRECIOS!E658="",PRECIOS!E657=""),"",PRECIOS!E658/PRECIOS!E657-1),"")</f>
        <v>-0.007958972993</v>
      </c>
      <c r="F658" s="7">
        <f>IFERROR(IF(OR(PRECIOS!F658="",PRECIOS!F657=""),"",PRECIOS!F658/PRECIOS!F657-1),"")</f>
        <v>0.003333333333</v>
      </c>
      <c r="G658" s="7">
        <f>IFERROR(IF(OR(PRECIOS!G658="",PRECIOS!G657=""),"",PRECIOS!G658/PRECIOS!G657-1),"")</f>
        <v>0.003253796095</v>
      </c>
      <c r="H658" s="7">
        <f>IFERROR(IF(OR(PRECIOS!H658="",PRECIOS!H657=""),"",PRECIOS!H658/PRECIOS!H657-1),"")</f>
        <v>0.002956614489</v>
      </c>
      <c r="I658" s="7">
        <f>IFERROR(IF(OR(PRECIOS!I658="",PRECIOS!I657=""),"",PRECIOS!I658/PRECIOS!I657-1),"")</f>
        <v>0.001416762681</v>
      </c>
    </row>
    <row r="659" ht="15.75" customHeight="1">
      <c r="A659" s="4">
        <f>IF(PRECIOS!A659="","",PRECIOS!A659)</f>
        <v>45369</v>
      </c>
      <c r="B659" s="7">
        <f>IFERROR(IF(OR(PRECIOS!B659="",PRECIOS!B658=""),"",PRECIOS!B659/PRECIOS!B658-1),"")</f>
        <v>0.009256762829</v>
      </c>
      <c r="C659" s="7">
        <f>IFERROR(IF(OR(PRECIOS!C659="",PRECIOS!C658=""),"",PRECIOS!C659/PRECIOS!C658-1),"")</f>
        <v>0.004776378637</v>
      </c>
      <c r="D659" s="7">
        <f>IFERROR(IF(OR(PRECIOS!D659="",PRECIOS!D658=""),"",PRECIOS!D659/PRECIOS!D658-1),"")</f>
        <v>0.01494476933</v>
      </c>
      <c r="E659" s="7">
        <f>IFERROR(IF(OR(PRECIOS!E659="",PRECIOS!E658=""),"",PRECIOS!E659/PRECIOS!E658-1),"")</f>
        <v>0.002853306479</v>
      </c>
      <c r="F659" s="7">
        <f>IFERROR(IF(OR(PRECIOS!F659="",PRECIOS!F658=""),"",PRECIOS!F659/PRECIOS!F658-1),"")</f>
        <v>0.06644518272</v>
      </c>
      <c r="G659" s="7">
        <f>IFERROR(IF(OR(PRECIOS!G659="",PRECIOS!G658=""),"",PRECIOS!G659/PRECIOS!G658-1),"")</f>
        <v>0.005945945946</v>
      </c>
      <c r="H659" s="7">
        <f>IFERROR(IF(OR(PRECIOS!H659="",PRECIOS!H658=""),"",PRECIOS!H659/PRECIOS!H658-1),"")</f>
        <v>0.003456317925</v>
      </c>
      <c r="I659" s="7">
        <f>IFERROR(IF(OR(PRECIOS!I659="",PRECIOS!I658=""),"",PRECIOS!I659/PRECIOS!I658-1),"")</f>
        <v>0.004598800633</v>
      </c>
    </row>
    <row r="660" ht="15.75" customHeight="1">
      <c r="A660" s="4">
        <f>IF(PRECIOS!A660="","",PRECIOS!A660)</f>
        <v>45370</v>
      </c>
      <c r="B660" s="7">
        <f>IFERROR(IF(OR(PRECIOS!B660="",PRECIOS!B659=""),"",PRECIOS!B660/PRECIOS!B659-1),"")</f>
        <v>0.007034728406</v>
      </c>
      <c r="C660" s="7">
        <f>IFERROR(IF(OR(PRECIOS!C660="",PRECIOS!C659=""),"",PRECIOS!C660/PRECIOS!C659-1),"")</f>
        <v>0.01138000576</v>
      </c>
      <c r="D660" s="7">
        <f>IFERROR(IF(OR(PRECIOS!D660="",PRECIOS!D659=""),"",PRECIOS!D660/PRECIOS!D659-1),"")</f>
        <v>0.01920614597</v>
      </c>
      <c r="E660" s="7">
        <f>IFERROR(IF(OR(PRECIOS!E660="",PRECIOS!E659=""),"",PRECIOS!E660/PRECIOS!E659-1),"")</f>
        <v>0.01409205021</v>
      </c>
      <c r="F660" s="7">
        <f>IFERROR(IF(OR(PRECIOS!F660="",PRECIOS!F659=""),"",PRECIOS!F660/PRECIOS!F659-1),"")</f>
        <v>-0.01505711319</v>
      </c>
      <c r="G660" s="7">
        <f>IFERROR(IF(OR(PRECIOS!G660="",PRECIOS!G659=""),"",PRECIOS!G660/PRECIOS!G659-1),"")</f>
        <v>0.0142396561</v>
      </c>
      <c r="H660" s="7">
        <f>IFERROR(IF(OR(PRECIOS!H660="",PRECIOS!H659=""),"",PRECIOS!H660/PRECIOS!H659-1),"")</f>
        <v>0.01140932734</v>
      </c>
      <c r="I660" s="7">
        <f>IFERROR(IF(OR(PRECIOS!I660="",PRECIOS!I659=""),"",PRECIOS!I660/PRECIOS!I659-1),"")</f>
        <v>0.008855862514</v>
      </c>
    </row>
    <row r="661" ht="15.75" customHeight="1">
      <c r="A661" s="4">
        <f>IF(PRECIOS!A661="","",PRECIOS!A661)</f>
        <v>45371</v>
      </c>
      <c r="B661" s="7">
        <f>IFERROR(IF(OR(PRECIOS!B661="",PRECIOS!B660=""),"",PRECIOS!B661/PRECIOS!B660-1),"")</f>
        <v>-0.0008842514811</v>
      </c>
      <c r="C661" s="7">
        <f>IFERROR(IF(OR(PRECIOS!C661="",PRECIOS!C660=""),"",PRECIOS!C661/PRECIOS!C660-1),"")</f>
        <v>0.0002848597066</v>
      </c>
      <c r="D661" s="7">
        <f>IFERROR(IF(OR(PRECIOS!D661="",PRECIOS!D660=""),"",PRECIOS!D661/PRECIOS!D660-1),"")</f>
        <v>0.04820979899</v>
      </c>
      <c r="E661" s="7">
        <f>IFERROR(IF(OR(PRECIOS!E661="",PRECIOS!E660=""),"",PRECIOS!E661/PRECIOS!E660-1),"")</f>
        <v>0.02261024558</v>
      </c>
      <c r="F661" s="7">
        <f>IFERROR(IF(OR(PRECIOS!F661="",PRECIOS!F660=""),"",PRECIOS!F661/PRECIOS!F660-1),"")</f>
        <v>0.02055877702</v>
      </c>
      <c r="G661" s="7">
        <f>IFERROR(IF(OR(PRECIOS!G661="",PRECIOS!G660=""),"",PRECIOS!G661/PRECIOS!G660-1),"")</f>
        <v>0.003178807947</v>
      </c>
      <c r="H661" s="7">
        <f>IFERROR(IF(OR(PRECIOS!H661="",PRECIOS!H660=""),"",PRECIOS!H661/PRECIOS!H660-1),"")</f>
        <v>-0.001410939608</v>
      </c>
      <c r="I661" s="7">
        <f>IFERROR(IF(OR(PRECIOS!I661="",PRECIOS!I660=""),"",PRECIOS!I661/PRECIOS!I660-1),"")</f>
        <v>0.001257317854</v>
      </c>
    </row>
    <row r="662" ht="15.75" customHeight="1">
      <c r="A662" s="4">
        <f>IF(PRECIOS!A662="","",PRECIOS!A662)</f>
        <v>45372</v>
      </c>
      <c r="B662" s="7">
        <f>IFERROR(IF(OR(PRECIOS!B662="",PRECIOS!B661=""),"",PRECIOS!B662/PRECIOS!B661-1),"")</f>
        <v>0.004425170369</v>
      </c>
      <c r="C662" s="7">
        <f>IFERROR(IF(OR(PRECIOS!C662="",PRECIOS!C661=""),"",PRECIOS!C662/PRECIOS!C661-1),"")</f>
        <v>-0.004698846647</v>
      </c>
      <c r="D662" s="7">
        <f>IFERROR(IF(OR(PRECIOS!D662="",PRECIOS!D661=""),"",PRECIOS!D662/PRECIOS!D661-1),"")</f>
        <v>0.02426966292</v>
      </c>
      <c r="E662" s="7">
        <f>IFERROR(IF(OR(PRECIOS!E662="",PRECIOS!E661=""),"",PRECIOS!E662/PRECIOS!E661-1),"")</f>
        <v>0.01843065104</v>
      </c>
      <c r="F662" s="7">
        <f>IFERROR(IF(OR(PRECIOS!F662="",PRECIOS!F661=""),"",PRECIOS!F662/PRECIOS!F661-1),"")</f>
        <v>0.04287190083</v>
      </c>
      <c r="G662" s="7">
        <f>IFERROR(IF(OR(PRECIOS!G662="",PRECIOS!G661=""),"",PRECIOS!G662/PRECIOS!G661-1),"")</f>
        <v>0.01478743068</v>
      </c>
      <c r="H662" s="7">
        <f>IFERROR(IF(OR(PRECIOS!H662="",PRECIOS!H661=""),"",PRECIOS!H662/PRECIOS!H661-1),"")</f>
        <v>0.005973899857</v>
      </c>
      <c r="I662" s="7">
        <f>IFERROR(IF(OR(PRECIOS!I662="",PRECIOS!I661=""),"",PRECIOS!I662/PRECIOS!I661-1),"")</f>
        <v>-0.001568849763</v>
      </c>
    </row>
    <row r="663" ht="15.75" customHeight="1">
      <c r="A663" s="4">
        <f>IF(PRECIOS!A663="","",PRECIOS!A663)</f>
        <v>45373</v>
      </c>
      <c r="B663" s="7">
        <f>IFERROR(IF(OR(PRECIOS!B663="",PRECIOS!B662=""),"",PRECIOS!B663/PRECIOS!B662-1),"")</f>
        <v>0</v>
      </c>
      <c r="C663" s="7">
        <f>IFERROR(IF(OR(PRECIOS!C663="",PRECIOS!C662=""),"",PRECIOS!C663/PRECIOS!C662-1),"")</f>
        <v>-0.001430615165</v>
      </c>
      <c r="D663" s="7">
        <f>IFERROR(IF(OR(PRECIOS!D663="",PRECIOS!D662=""),"",PRECIOS!D663/PRECIOS!D662-1),"")</f>
        <v>0.01053093462</v>
      </c>
      <c r="E663" s="7">
        <f>IFERROR(IF(OR(PRECIOS!E663="",PRECIOS!E662=""),"",PRECIOS!E663/PRECIOS!E662-1),"")</f>
        <v>0.003359533469</v>
      </c>
      <c r="F663" s="7">
        <f>IFERROR(IF(OR(PRECIOS!F663="",PRECIOS!F662=""),"",PRECIOS!F663/PRECIOS!F662-1),"")</f>
        <v>0.003467062902</v>
      </c>
      <c r="G663" s="7">
        <f>IFERROR(IF(OR(PRECIOS!G663="",PRECIOS!G662=""),"",PRECIOS!G663/PRECIOS!G662-1),"")</f>
        <v>-0.004683840749</v>
      </c>
      <c r="H663" s="7">
        <f>IFERROR(IF(OR(PRECIOS!H663="",PRECIOS!H662=""),"",PRECIOS!H663/PRECIOS!H662-1),"")</f>
        <v>-0.002157139491</v>
      </c>
      <c r="I663" s="7">
        <f>IFERROR(IF(OR(PRECIOS!I663="",PRECIOS!I662=""),"",PRECIOS!I663/PRECIOS!I662-1),"")</f>
        <v>0.001416164077</v>
      </c>
    </row>
    <row r="664" ht="15.75" customHeight="1">
      <c r="A664" s="4">
        <f>IF(PRECIOS!A664="","",PRECIOS!A664)</f>
        <v>45376</v>
      </c>
      <c r="B664" s="7">
        <f>IFERROR(IF(OR(PRECIOS!B664="",PRECIOS!B663=""),"",PRECIOS!B664/PRECIOS!B663-1),"")</f>
        <v>0.01022116486</v>
      </c>
      <c r="C664" s="7">
        <f>IFERROR(IF(OR(PRECIOS!C664="",PRECIOS!C663=""),"",PRECIOS!C664/PRECIOS!C663-1),"")</f>
        <v>-0.0005730659026</v>
      </c>
      <c r="D664" s="7">
        <f>IFERROR(IF(OR(PRECIOS!D664="",PRECIOS!D663=""),"",PRECIOS!D664/PRECIOS!D663-1),"")</f>
        <v>0.03053987552</v>
      </c>
      <c r="E664" s="7">
        <f>IFERROR(IF(OR(PRECIOS!E664="",PRECIOS!E663=""),"",PRECIOS!E664/PRECIOS!E663-1),"")</f>
        <v>-0.01484616843</v>
      </c>
      <c r="F664" s="7">
        <f>IFERROR(IF(OR(PRECIOS!F664="",PRECIOS!F663=""),"",PRECIOS!F664/PRECIOS!F663-1),"")</f>
        <v>0.005429417572</v>
      </c>
      <c r="G664" s="7">
        <f>IFERROR(IF(OR(PRECIOS!G664="",PRECIOS!G663=""),"",PRECIOS!G664/PRECIOS!G663-1),"")</f>
        <v>-0.001045751634</v>
      </c>
      <c r="H664" s="7">
        <f>IFERROR(IF(OR(PRECIOS!H664="",PRECIOS!H663=""),"",PRECIOS!H664/PRECIOS!H663-1),"")</f>
        <v>0.009307443662</v>
      </c>
      <c r="I664" s="7">
        <f>IFERROR(IF(OR(PRECIOS!I664="",PRECIOS!I663=""),"",PRECIOS!I664/PRECIOS!I663-1),"")</f>
        <v>0.004694092827</v>
      </c>
    </row>
    <row r="665" ht="15.75" customHeight="1">
      <c r="A665" s="4">
        <f>IF(PRECIOS!A665="","",PRECIOS!A665)</f>
        <v>45377</v>
      </c>
      <c r="B665" s="7">
        <f>IFERROR(IF(OR(PRECIOS!B665="",PRECIOS!B664=""),"",PRECIOS!B665/PRECIOS!B664-1),"")</f>
        <v>-0.007501090275</v>
      </c>
      <c r="C665" s="7">
        <f>IFERROR(IF(OR(PRECIOS!C665="",PRECIOS!C664=""),"",PRECIOS!C665/PRECIOS!C664-1),"")</f>
        <v>-0.007024082569</v>
      </c>
      <c r="D665" s="7">
        <f>IFERROR(IF(OR(PRECIOS!D665="",PRECIOS!D664=""),"",PRECIOS!D665/PRECIOS!D664-1),"")</f>
        <v>-0.04648876404</v>
      </c>
      <c r="E665" s="7">
        <f>IFERROR(IF(OR(PRECIOS!E665="",PRECIOS!E664=""),"",PRECIOS!E665/PRECIOS!E664-1),"")</f>
        <v>0.0006412722842</v>
      </c>
      <c r="F665" s="7">
        <f>IFERROR(IF(OR(PRECIOS!F665="",PRECIOS!F664=""),"",PRECIOS!F665/PRECIOS!F664-1),"")</f>
        <v>-0.02798232695</v>
      </c>
      <c r="G665" s="7">
        <f>IFERROR(IF(OR(PRECIOS!G665="",PRECIOS!G664=""),"",PRECIOS!G665/PRECIOS!G664-1),"")</f>
        <v>-0.003140539126</v>
      </c>
      <c r="H665" s="7">
        <f>IFERROR(IF(OR(PRECIOS!H665="",PRECIOS!H664=""),"",PRECIOS!H665/PRECIOS!H664-1),"")</f>
        <v>-0.007720262566</v>
      </c>
      <c r="I665" s="7">
        <f>IFERROR(IF(OR(PRECIOS!I665="",PRECIOS!I664=""),"",PRECIOS!I665/PRECIOS!I664-1),"")</f>
        <v>-0.01137855006</v>
      </c>
    </row>
    <row r="666" ht="15.75" customHeight="1">
      <c r="A666" s="4">
        <f>IF(PRECIOS!A666="","",PRECIOS!A666)</f>
        <v>45378</v>
      </c>
      <c r="B666" s="7">
        <f>IFERROR(IF(OR(PRECIOS!B666="",PRECIOS!B665=""),"",PRECIOS!B666/PRECIOS!B665-1),"")</f>
        <v>0.01036997979</v>
      </c>
      <c r="C666" s="7">
        <f>IFERROR(IF(OR(PRECIOS!C666="",PRECIOS!C665=""),"",PRECIOS!C666/PRECIOS!C665-1),"")</f>
        <v>0.02569654973</v>
      </c>
      <c r="D666" s="7">
        <f>IFERROR(IF(OR(PRECIOS!D666="",PRECIOS!D665=""),"",PRECIOS!D666/PRECIOS!D665-1),"")</f>
        <v>0.006039181028</v>
      </c>
      <c r="E666" s="7">
        <f>IFERROR(IF(OR(PRECIOS!E666="",PRECIOS!E665=""),"",PRECIOS!E666/PRECIOS!E665-1),"")</f>
        <v>0.007433991284</v>
      </c>
      <c r="F666" s="7">
        <f>IFERROR(IF(OR(PRECIOS!F666="",PRECIOS!F665=""),"",PRECIOS!F666/PRECIOS!F665-1),"")</f>
        <v>0.01616161616</v>
      </c>
      <c r="G666" s="7">
        <f>IFERROR(IF(OR(PRECIOS!G666="",PRECIOS!G665=""),"",PRECIOS!G666/PRECIOS!G665-1),"")</f>
        <v>0.01181412444</v>
      </c>
      <c r="H666" s="7">
        <f>IFERROR(IF(OR(PRECIOS!H666="",PRECIOS!H665=""),"",PRECIOS!H666/PRECIOS!H665-1),"")</f>
        <v>0.009293361198</v>
      </c>
      <c r="I666" s="7">
        <f>IFERROR(IF(OR(PRECIOS!I666="",PRECIOS!I665=""),"",PRECIOS!I666/PRECIOS!I665-1),"")</f>
        <v>0.02790425998</v>
      </c>
    </row>
    <row r="667" ht="15.75" customHeight="1">
      <c r="A667" s="4">
        <f>IF(PRECIOS!A667="","",PRECIOS!A667)</f>
        <v>45379</v>
      </c>
      <c r="B667" s="7">
        <f>IFERROR(IF(OR(PRECIOS!B667="",PRECIOS!B666=""),"",PRECIOS!B667/PRECIOS!B666-1),"")</f>
        <v>0.01104635992</v>
      </c>
      <c r="C667" s="7">
        <f>IFERROR(IF(OR(PRECIOS!C667="",PRECIOS!C666=""),"",PRECIOS!C667/PRECIOS!C666-1),"")</f>
        <v>0.009711470795</v>
      </c>
      <c r="D667" s="7">
        <f>IFERROR(IF(OR(PRECIOS!D667="",PRECIOS!D666=""),"",PRECIOS!D667/PRECIOS!D666-1),"")</f>
        <v>0.01976573939</v>
      </c>
      <c r="E667" s="7">
        <f>IFERROR(IF(OR(PRECIOS!E667="",PRECIOS!E666=""),"",PRECIOS!E667/PRECIOS!E666-1),"")</f>
        <v>-0.005470737913</v>
      </c>
      <c r="F667" s="7">
        <f>IFERROR(IF(OR(PRECIOS!F667="",PRECIOS!F666=""),"",PRECIOS!F667/PRECIOS!F666-1),"")</f>
        <v>-0.01590457256</v>
      </c>
      <c r="G667" s="7">
        <f>IFERROR(IF(OR(PRECIOS!G667="",PRECIOS!G666=""),"",PRECIOS!G667/PRECIOS!G666-1),"")</f>
        <v>0.01115723923</v>
      </c>
      <c r="H667" s="7">
        <f>IFERROR(IF(OR(PRECIOS!H667="",PRECIOS!H666=""),"",PRECIOS!H667/PRECIOS!H666-1),"")</f>
        <v>0.01081348329</v>
      </c>
      <c r="I667" s="7">
        <f>IFERROR(IF(OR(PRECIOS!I667="",PRECIOS!I666=""),"",PRECIOS!I667/PRECIOS!I666-1),"")</f>
        <v>0.006902920019</v>
      </c>
    </row>
    <row r="668" ht="15.75" customHeight="1">
      <c r="A668" s="4">
        <f>IF(PRECIOS!A668="","",PRECIOS!A668)</f>
        <v>45383</v>
      </c>
      <c r="B668" s="7">
        <f>IFERROR(IF(OR(PRECIOS!B668="",PRECIOS!B667=""),"",PRECIOS!B668/PRECIOS!B667-1),"")</f>
        <v>0.006452167928</v>
      </c>
      <c r="C668" s="7">
        <f>IFERROR(IF(OR(PRECIOS!C668="",PRECIOS!C667=""),"",PRECIOS!C668/PRECIOS!C667-1),"")</f>
        <v>-0.008921103987</v>
      </c>
      <c r="D668" s="7">
        <f>IFERROR(IF(OR(PRECIOS!D668="",PRECIOS!D667=""),"",PRECIOS!D668/PRECIOS!D667-1),"")</f>
        <v>0.02699210337</v>
      </c>
      <c r="E668" s="7">
        <f>IFERROR(IF(OR(PRECIOS!E668="",PRECIOS!E667=""),"",PRECIOS!E668/PRECIOS!E667-1),"")</f>
        <v>-0.00207880261</v>
      </c>
      <c r="F668" s="7">
        <f>IFERROR(IF(OR(PRECIOS!F668="",PRECIOS!F667=""),"",PRECIOS!F668/PRECIOS!F667-1),"")</f>
        <v>-0.008585858586</v>
      </c>
      <c r="G668" s="7">
        <f>IFERROR(IF(OR(PRECIOS!G668="",PRECIOS!G667=""),"",PRECIOS!G668/PRECIOS!G667-1),"")</f>
        <v>-0.002566076469</v>
      </c>
      <c r="H668" s="7">
        <f>IFERROR(IF(OR(PRECIOS!H668="",PRECIOS!H667=""),"",PRECIOS!H668/PRECIOS!H667-1),"")</f>
        <v>0.00741531841</v>
      </c>
      <c r="I668" s="7">
        <f>IFERROR(IF(OR(PRECIOS!I668="",PRECIOS!I667=""),"",PRECIOS!I668/PRECIOS!I667-1),"")</f>
        <v>-0.006095644869</v>
      </c>
    </row>
    <row r="669" ht="15.75" customHeight="1">
      <c r="A669" s="4">
        <f>IF(PRECIOS!A669="","",PRECIOS!A669)</f>
        <v>45384</v>
      </c>
      <c r="B669" s="7">
        <f>IFERROR(IF(OR(PRECIOS!B669="",PRECIOS!B668=""),"",PRECIOS!B669/PRECIOS!B668-1),"")</f>
        <v>0.01957432259</v>
      </c>
      <c r="C669" s="7">
        <f>IFERROR(IF(OR(PRECIOS!C669="",PRECIOS!C668=""),"",PRECIOS!C669/PRECIOS!C668-1),"")</f>
        <v>0.003375527426</v>
      </c>
      <c r="D669" s="7">
        <f>IFERROR(IF(OR(PRECIOS!D669="",PRECIOS!D668=""),"",PRECIOS!D669/PRECIOS!D668-1),"")</f>
        <v>-0.005312456312</v>
      </c>
      <c r="E669" s="7">
        <f>IFERROR(IF(OR(PRECIOS!E669="",PRECIOS!E668=""),"",PRECIOS!E669/PRECIOS!E668-1),"")</f>
        <v>0.008717110534</v>
      </c>
      <c r="F669" s="7">
        <f>IFERROR(IF(OR(PRECIOS!F669="",PRECIOS!F668=""),"",PRECIOS!F669/PRECIOS!F668-1),"")</f>
        <v>0.01426388181</v>
      </c>
      <c r="G669" s="7">
        <f>IFERROR(IF(OR(PRECIOS!G669="",PRECIOS!G668=""),"",PRECIOS!G669/PRECIOS!G668-1),"")</f>
        <v>0.01106251608</v>
      </c>
      <c r="H669" s="7">
        <f>IFERROR(IF(OR(PRECIOS!H669="",PRECIOS!H668=""),"",PRECIOS!H669/PRECIOS!H668-1),"")</f>
        <v>0.01398205807</v>
      </c>
      <c r="I669" s="7">
        <f>IFERROR(IF(OR(PRECIOS!I669="",PRECIOS!I668=""),"",PRECIOS!I669/PRECIOS!I668-1),"")</f>
        <v>0.001687309049</v>
      </c>
    </row>
    <row r="670" ht="15.75" customHeight="1">
      <c r="A670" s="4">
        <f>IF(PRECIOS!A670="","",PRECIOS!A670)</f>
        <v>45385</v>
      </c>
      <c r="B670" s="7">
        <f>IFERROR(IF(OR(PRECIOS!B670="",PRECIOS!B669=""),"",PRECIOS!B670/PRECIOS!B669-1),"")</f>
        <v>0.0001676727029</v>
      </c>
      <c r="C670" s="7">
        <f>IFERROR(IF(OR(PRECIOS!C670="",PRECIOS!C669=""),"",PRECIOS!C670/PRECIOS!C669-1),"")</f>
        <v>-0.005046257359</v>
      </c>
      <c r="D670" s="7">
        <f>IFERROR(IF(OR(PRECIOS!D670="",PRECIOS!D669=""),"",PRECIOS!D670/PRECIOS!D669-1),"")</f>
        <v>0.03668306395</v>
      </c>
      <c r="E670" s="7">
        <f>IFERROR(IF(OR(PRECIOS!E670="",PRECIOS!E669=""),"",PRECIOS!E670/PRECIOS!E669-1),"")</f>
        <v>0.01966640191</v>
      </c>
      <c r="F670" s="7">
        <f>IFERROR(IF(OR(PRECIOS!F670="",PRECIOS!F669=""),"",PRECIOS!F670/PRECIOS!F669-1),"")</f>
        <v>0.03666499247</v>
      </c>
      <c r="G670" s="7">
        <f>IFERROR(IF(OR(PRECIOS!G670="",PRECIOS!G669=""),"",PRECIOS!G670/PRECIOS!G669-1),"")</f>
        <v>0.001272264631</v>
      </c>
      <c r="H670" s="7">
        <f>IFERROR(IF(OR(PRECIOS!H670="",PRECIOS!H669=""),"",PRECIOS!H670/PRECIOS!H669-1),"")</f>
        <v>0.006844109804</v>
      </c>
      <c r="I670" s="7">
        <f>IFERROR(IF(OR(PRECIOS!I670="",PRECIOS!I669=""),"",PRECIOS!I670/PRECIOS!I669-1),"")</f>
        <v>-0.003974439907</v>
      </c>
    </row>
    <row r="671" ht="15.75" customHeight="1">
      <c r="A671" s="4">
        <f>IF(PRECIOS!A671="","",PRECIOS!A671)</f>
        <v>45386</v>
      </c>
      <c r="B671" s="7">
        <f>IFERROR(IF(OR(PRECIOS!B671="",PRECIOS!B670=""),"",PRECIOS!B671/PRECIOS!B670-1),"")</f>
        <v>0.003520536463</v>
      </c>
      <c r="C671" s="7">
        <f>IFERROR(IF(OR(PRECIOS!C671="",PRECIOS!C670=""),"",PRECIOS!C671/PRECIOS!C670-1),"")</f>
        <v>-0.01310228233</v>
      </c>
      <c r="D671" s="7">
        <f>IFERROR(IF(OR(PRECIOS!D671="",PRECIOS!D670=""),"",PRECIOS!D671/PRECIOS!D670-1),"")</f>
        <v>-0.04365509761</v>
      </c>
      <c r="E671" s="7">
        <f>IFERROR(IF(OR(PRECIOS!E671="",PRECIOS!E670=""),"",PRECIOS!E671/PRECIOS!E670-1),"")</f>
        <v>-0.002430360815</v>
      </c>
      <c r="F671" s="7">
        <f>IFERROR(IF(OR(PRECIOS!F671="",PRECIOS!F670=""),"",PRECIOS!F671/PRECIOS!F670-1),"")</f>
        <v>-0.01986434109</v>
      </c>
      <c r="G671" s="7">
        <f>IFERROR(IF(OR(PRECIOS!G671="",PRECIOS!G670=""),"",PRECIOS!G671/PRECIOS!G670-1),"")</f>
        <v>-0.006099110546</v>
      </c>
      <c r="H671" s="7">
        <f>IFERROR(IF(OR(PRECIOS!H671="",PRECIOS!H670=""),"",PRECIOS!H671/PRECIOS!H670-1),"")</f>
        <v>-0.0006173674405</v>
      </c>
      <c r="I671" s="7">
        <f>IFERROR(IF(OR(PRECIOS!I671="",PRECIOS!I670=""),"",PRECIOS!I671/PRECIOS!I670-1),"")</f>
        <v>-0.001998383185</v>
      </c>
    </row>
    <row r="672" ht="15.75" customHeight="1">
      <c r="A672" s="4">
        <f>IF(PRECIOS!A672="","",PRECIOS!A672)</f>
        <v>45387</v>
      </c>
      <c r="B672" s="7">
        <f>IFERROR(IF(OR(PRECIOS!B672="",PRECIOS!B671=""),"",PRECIOS!B672/PRECIOS!B671-1),"")</f>
        <v>0.01378215837</v>
      </c>
      <c r="C672" s="7">
        <f>IFERROR(IF(OR(PRECIOS!C672="",PRECIOS!C671=""),"",PRECIOS!C672/PRECIOS!C671-1),"")</f>
        <v>-0.001998572448</v>
      </c>
      <c r="D672" s="7">
        <f>IFERROR(IF(OR(PRECIOS!D672="",PRECIOS!D671=""),"",PRECIOS!D672/PRECIOS!D671-1),"")</f>
        <v>0.0679047349</v>
      </c>
      <c r="E672" s="7">
        <f>IFERROR(IF(OR(PRECIOS!E672="",PRECIOS!E671=""),"",PRECIOS!E672/PRECIOS!E671-1),"")</f>
        <v>0.03232758621</v>
      </c>
      <c r="F672" s="7">
        <f>IFERROR(IF(OR(PRECIOS!F672="",PRECIOS!F671=""),"",PRECIOS!F672/PRECIOS!F671-1),"")</f>
        <v>0.04003954523</v>
      </c>
      <c r="G672" s="7">
        <f>IFERROR(IF(OR(PRECIOS!G672="",PRECIOS!G671=""),"",PRECIOS!G672/PRECIOS!G671-1),"")</f>
        <v>0.003068268985</v>
      </c>
      <c r="H672" s="7">
        <f>IFERROR(IF(OR(PRECIOS!H672="",PRECIOS!H671=""),"",PRECIOS!H672/PRECIOS!H671-1),"")</f>
        <v>0.01071783286</v>
      </c>
      <c r="I672" s="7">
        <f>IFERROR(IF(OR(PRECIOS!I672="",PRECIOS!I671=""),"",PRECIOS!I672/PRECIOS!I671-1),"")</f>
        <v>0.002922574458</v>
      </c>
    </row>
    <row r="673" ht="15.75" customHeight="1">
      <c r="A673" s="4">
        <f>IF(PRECIOS!A673="","",PRECIOS!A673)</f>
        <v>45390</v>
      </c>
      <c r="B673" s="7">
        <f>IFERROR(IF(OR(PRECIOS!B673="",PRECIOS!B672=""),"",PRECIOS!B673/PRECIOS!B672-1),"")</f>
        <v>-0.006756200049</v>
      </c>
      <c r="C673" s="7">
        <f>IFERROR(IF(OR(PRECIOS!C673="",PRECIOS!C672=""),"",PRECIOS!C673/PRECIOS!C672-1),"")</f>
        <v>0.002145615792</v>
      </c>
      <c r="D673" s="7">
        <f>IFERROR(IF(OR(PRECIOS!D673="",PRECIOS!D672=""),"",PRECIOS!D673/PRECIOS!D672-1),"")</f>
        <v>-0.01208018054</v>
      </c>
      <c r="E673" s="7">
        <f>IFERROR(IF(OR(PRECIOS!E673="",PRECIOS!E672=""),"",PRECIOS!E673/PRECIOS!E672-1),"")</f>
        <v>-0.01419019092</v>
      </c>
      <c r="F673" s="7">
        <f>IFERROR(IF(OR(PRECIOS!F673="",PRECIOS!F672=""),"",PRECIOS!F673/PRECIOS!F672-1),"")</f>
        <v>0.03184410646</v>
      </c>
      <c r="G673" s="7">
        <f>IFERROR(IF(OR(PRECIOS!G673="",PRECIOS!G672=""),"",PRECIOS!G673/PRECIOS!G672-1),"")</f>
        <v>-0.007137394851</v>
      </c>
      <c r="H673" s="7">
        <f>IFERROR(IF(OR(PRECIOS!H673="",PRECIOS!H672=""),"",PRECIOS!H673/PRECIOS!H672-1),"")</f>
        <v>-0.006321472923</v>
      </c>
      <c r="I673" s="7">
        <f>IFERROR(IF(OR(PRECIOS!I673="",PRECIOS!I672=""),"",PRECIOS!I673/PRECIOS!I672-1),"")</f>
        <v>0.006600244238</v>
      </c>
    </row>
    <row r="674" ht="15.75" customHeight="1">
      <c r="A674" s="4">
        <f>IF(PRECIOS!A674="","",PRECIOS!A674)</f>
        <v>45391</v>
      </c>
      <c r="B674" s="7">
        <f>IFERROR(IF(OR(PRECIOS!B674="",PRECIOS!B673=""),"",PRECIOS!B674/PRECIOS!B673-1),"")</f>
        <v>0.005226047283</v>
      </c>
      <c r="C674" s="7">
        <f>IFERROR(IF(OR(PRECIOS!C674="",PRECIOS!C673=""),"",PRECIOS!C674/PRECIOS!C673-1),"")</f>
        <v>0.007564944333</v>
      </c>
      <c r="D674" s="7">
        <f>IFERROR(IF(OR(PRECIOS!D674="",PRECIOS!D673=""),"",PRECIOS!D674/PRECIOS!D673-1),"")</f>
        <v>-0.06570814297</v>
      </c>
      <c r="E674" s="7">
        <f>IFERROR(IF(OR(PRECIOS!E674="",PRECIOS!E673=""),"",PRECIOS!E674/PRECIOS!E673-1),"")</f>
        <v>-0.03667669265</v>
      </c>
      <c r="F674" s="7">
        <f>IFERROR(IF(OR(PRECIOS!F674="",PRECIOS!F673=""),"",PRECIOS!F674/PRECIOS!F673-1),"")</f>
        <v>0.001842468908</v>
      </c>
      <c r="G674" s="7">
        <f>IFERROR(IF(OR(PRECIOS!G674="",PRECIOS!G673=""),"",PRECIOS!G674/PRECIOS!G673-1),"")</f>
        <v>0.007445442875</v>
      </c>
      <c r="H674" s="7">
        <f>IFERROR(IF(OR(PRECIOS!H674="",PRECIOS!H673=""),"",PRECIOS!H674/PRECIOS!H673-1),"")</f>
        <v>0.0003064564506</v>
      </c>
      <c r="I674" s="7">
        <f>IFERROR(IF(OR(PRECIOS!I674="",PRECIOS!I673=""),"",PRECIOS!I674/PRECIOS!I673-1),"")</f>
        <v>0.005488209977</v>
      </c>
    </row>
    <row r="675" ht="15.75" customHeight="1">
      <c r="A675" s="4">
        <f>IF(PRECIOS!A675="","",PRECIOS!A675)</f>
        <v>45392</v>
      </c>
      <c r="B675" s="7">
        <f>IFERROR(IF(OR(PRECIOS!B675="",PRECIOS!B674=""),"",PRECIOS!B675/PRECIOS!B674-1),"")</f>
        <v>0.008417230566</v>
      </c>
      <c r="C675" s="7">
        <f>IFERROR(IF(OR(PRECIOS!C675="",PRECIOS!C674=""),"",PRECIOS!C675/PRECIOS!C674-1),"")</f>
        <v>-0.01161637626</v>
      </c>
      <c r="D675" s="7">
        <f>IFERROR(IF(OR(PRECIOS!D675="",PRECIOS!D674=""),"",PRECIOS!D675/PRECIOS!D674-1),"")</f>
        <v>0.01769020567</v>
      </c>
      <c r="E675" s="7">
        <f>IFERROR(IF(OR(PRECIOS!E675="",PRECIOS!E674=""),"",PRECIOS!E675/PRECIOS!E674-1),"")</f>
        <v>0.001593016217</v>
      </c>
      <c r="F675" s="7">
        <f>IFERROR(IF(OR(PRECIOS!F675="",PRECIOS!F674=""),"",PRECIOS!F675/PRECIOS!F674-1),"")</f>
        <v>-0.01333333333</v>
      </c>
      <c r="G675" s="7">
        <f>IFERROR(IF(OR(PRECIOS!G675="",PRECIOS!G674=""),"",PRECIOS!G675/PRECIOS!G674-1),"")</f>
        <v>-0.009174311927</v>
      </c>
      <c r="H675" s="7">
        <f>IFERROR(IF(OR(PRECIOS!H675="",PRECIOS!H674=""),"",PRECIOS!H675/PRECIOS!H674-1),"")</f>
        <v>0.003076662343</v>
      </c>
      <c r="I675" s="7">
        <f>IFERROR(IF(OR(PRECIOS!I675="",PRECIOS!I674=""),"",PRECIOS!I675/PRECIOS!I674-1),"")</f>
        <v>-0.01713125664</v>
      </c>
    </row>
    <row r="676" ht="15.75" customHeight="1">
      <c r="A676" s="4">
        <f>IF(PRECIOS!A676="","",PRECIOS!A676)</f>
        <v>45393</v>
      </c>
      <c r="B676" s="7">
        <f>IFERROR(IF(OR(PRECIOS!B676="",PRECIOS!B675=""),"",PRECIOS!B676/PRECIOS!B675-1),"")</f>
        <v>-0.003355155483</v>
      </c>
      <c r="C676" s="7">
        <f>IFERROR(IF(OR(PRECIOS!C676="",PRECIOS!C675=""),"",PRECIOS!C676/PRECIOS!C675-1),"")</f>
        <v>-0.002723233481</v>
      </c>
      <c r="D676" s="7">
        <f>IFERROR(IF(OR(PRECIOS!D676="",PRECIOS!D675=""),"",PRECIOS!D676/PRECIOS!D675-1),"")</f>
        <v>0.01752402487</v>
      </c>
      <c r="E676" s="7">
        <f>IFERROR(IF(OR(PRECIOS!E676="",PRECIOS!E675=""),"",PRECIOS!E676/PRECIOS!E675-1),"")</f>
        <v>0.009192989153</v>
      </c>
      <c r="F676" s="7">
        <f>IFERROR(IF(OR(PRECIOS!F676="",PRECIOS!F675=""),"",PRECIOS!F676/PRECIOS!F675-1),"")</f>
        <v>0.006989748369</v>
      </c>
      <c r="G676" s="7">
        <f>IFERROR(IF(OR(PRECIOS!G676="",PRECIOS!G675=""),"",PRECIOS!G676/PRECIOS!G675-1),"")</f>
        <v>-0.007201646091</v>
      </c>
      <c r="H676" s="7">
        <f>IFERROR(IF(OR(PRECIOS!H676="",PRECIOS!H675=""),"",PRECIOS!H676/PRECIOS!H675-1),"")</f>
        <v>-0.0007148195081</v>
      </c>
      <c r="I676" s="7">
        <f>IFERROR(IF(OR(PRECIOS!I676="",PRECIOS!I675=""),"",PRECIOS!I676/PRECIOS!I675-1),"")</f>
        <v>-0.002007014809</v>
      </c>
    </row>
    <row r="677" ht="15.75" customHeight="1">
      <c r="A677" s="4">
        <f>IF(PRECIOS!A677="","",PRECIOS!A677)</f>
        <v>45394</v>
      </c>
      <c r="B677" s="7">
        <f>IFERROR(IF(OR(PRECIOS!B677="",PRECIOS!B676=""),"",PRECIOS!B677/PRECIOS!B676-1),"")</f>
        <v>-0.01165941374</v>
      </c>
      <c r="C677" s="7">
        <f>IFERROR(IF(OR(PRECIOS!C677="",PRECIOS!C676=""),"",PRECIOS!C677/PRECIOS!C676-1),"")</f>
        <v>-0.01221615407</v>
      </c>
      <c r="D677" s="7">
        <f>IFERROR(IF(OR(PRECIOS!D677="",PRECIOS!D676=""),"",PRECIOS!D677/PRECIOS!D676-1),"")</f>
        <v>-0.03138888889</v>
      </c>
      <c r="E677" s="7">
        <f>IFERROR(IF(OR(PRECIOS!E677="",PRECIOS!E676=""),"",PRECIOS!E677/PRECIOS!E676-1),"")</f>
        <v>0.003908466242</v>
      </c>
      <c r="F677" s="7">
        <f>IFERROR(IF(OR(PRECIOS!F677="",PRECIOS!F676=""),"",PRECIOS!F677/PRECIOS!F676-1),"")</f>
        <v>-0.02036094401</v>
      </c>
      <c r="G677" s="7">
        <f>IFERROR(IF(OR(PRECIOS!G677="",PRECIOS!G676=""),"",PRECIOS!G677/PRECIOS!G676-1),"")</f>
        <v>-0.01347150259</v>
      </c>
      <c r="H677" s="7">
        <f>IFERROR(IF(OR(PRECIOS!H677="",PRECIOS!H676=""),"",PRECIOS!H677/PRECIOS!H676-1),"")</f>
        <v>-0.01627269279</v>
      </c>
      <c r="I677" s="7">
        <f>IFERROR(IF(OR(PRECIOS!I677="",PRECIOS!I676=""),"",PRECIOS!I677/PRECIOS!I676-1),"")</f>
        <v>-0.007575609661</v>
      </c>
    </row>
    <row r="678" ht="15.75" customHeight="1">
      <c r="A678" s="4">
        <f>IF(PRECIOS!A678="","",PRECIOS!A678)</f>
        <v>45397</v>
      </c>
      <c r="B678" s="7">
        <f>IFERROR(IF(OR(PRECIOS!B678="",PRECIOS!B677=""),"",PRECIOS!B678/PRECIOS!B677-1),"")</f>
        <v>-0.00573232533</v>
      </c>
      <c r="C678" s="7">
        <f>IFERROR(IF(OR(PRECIOS!C678="",PRECIOS!C677=""),"",PRECIOS!C678/PRECIOS!C677-1),"")</f>
        <v>-0.004946893642</v>
      </c>
      <c r="D678" s="7">
        <f>IFERROR(IF(OR(PRECIOS!D678="",PRECIOS!D677=""),"",PRECIOS!D678/PRECIOS!D677-1),"")</f>
        <v>-0.02179523946</v>
      </c>
      <c r="E678" s="7">
        <f>IFERROR(IF(OR(PRECIOS!E678="",PRECIOS!E677=""),"",PRECIOS!E678/PRECIOS!E677-1),"")</f>
        <v>-0.01010989011</v>
      </c>
      <c r="F678" s="7">
        <f>IFERROR(IF(OR(PRECIOS!F678="",PRECIOS!F677=""),"",PRECIOS!F678/PRECIOS!F677-1),"")</f>
        <v>-0.04534718942</v>
      </c>
      <c r="G678" s="7">
        <f>IFERROR(IF(OR(PRECIOS!G678="",PRECIOS!G677=""),"",PRECIOS!G678/PRECIOS!G677-1),"")</f>
        <v>-0.006302521008</v>
      </c>
      <c r="H678" s="7">
        <f>IFERROR(IF(OR(PRECIOS!H678="",PRECIOS!H677=""),"",PRECIOS!H678/PRECIOS!H677-1),"")</f>
        <v>-0.009360580673</v>
      </c>
      <c r="I678" s="7">
        <f>IFERROR(IF(OR(PRECIOS!I678="",PRECIOS!I677=""),"",PRECIOS!I678/PRECIOS!I677-1),"")</f>
        <v>-0.009187668457</v>
      </c>
    </row>
    <row r="679" ht="15.75" customHeight="1">
      <c r="A679" s="4">
        <f>IF(PRECIOS!A679="","",PRECIOS!A679)</f>
        <v>45398</v>
      </c>
      <c r="B679" s="7">
        <f>IFERROR(IF(OR(PRECIOS!B679="",PRECIOS!B678=""),"",PRECIOS!B679/PRECIOS!B678-1),"")</f>
        <v>-0.008272058824</v>
      </c>
      <c r="C679" s="7">
        <f>IFERROR(IF(OR(PRECIOS!C679="",PRECIOS!C678=""),"",PRECIOS!C679/PRECIOS!C678-1),"")</f>
        <v>-0.009065652873</v>
      </c>
      <c r="D679" s="7">
        <f>IFERROR(IF(OR(PRECIOS!D679="",PRECIOS!D678=""),"",PRECIOS!D679/PRECIOS!D678-1),"")</f>
        <v>-0.009088243917</v>
      </c>
      <c r="E679" s="7">
        <f>IFERROR(IF(OR(PRECIOS!E679="",PRECIOS!E678=""),"",PRECIOS!E679/PRECIOS!E678-1),"")</f>
        <v>0.0002220248668</v>
      </c>
      <c r="F679" s="7">
        <f>IFERROR(IF(OR(PRECIOS!F679="",PRECIOS!F678=""),"",PRECIOS!F679/PRECIOS!F678-1),"")</f>
        <v>0.001979218209</v>
      </c>
      <c r="G679" s="7">
        <f>IFERROR(IF(OR(PRECIOS!G679="",PRECIOS!G678=""),"",PRECIOS!G679/PRECIOS!G678-1),"")</f>
        <v>-0.005021141649</v>
      </c>
      <c r="H679" s="7">
        <f>IFERROR(IF(OR(PRECIOS!H679="",PRECIOS!H678=""),"",PRECIOS!H679/PRECIOS!H678-1),"")</f>
        <v>-0.008717218676</v>
      </c>
      <c r="I679" s="7">
        <f>IFERROR(IF(OR(PRECIOS!I679="",PRECIOS!I678=""),"",PRECIOS!I679/PRECIOS!I678-1),"")</f>
        <v>-0.01320770952</v>
      </c>
    </row>
    <row r="680" ht="15.75" customHeight="1">
      <c r="A680" s="4">
        <f>IF(PRECIOS!A680="","",PRECIOS!A680)</f>
        <v>45399</v>
      </c>
      <c r="B680" s="7">
        <f>IFERROR(IF(OR(PRECIOS!B680="",PRECIOS!B679=""),"",PRECIOS!B680/PRECIOS!B679-1),"")</f>
        <v>-0.0005055185778</v>
      </c>
      <c r="C680" s="7">
        <f>IFERROR(IF(OR(PRECIOS!C680="",PRECIOS!C679=""),"",PRECIOS!C680/PRECIOS!C679-1),"")</f>
        <v>0.02995425705</v>
      </c>
      <c r="D680" s="7">
        <f>IFERROR(IF(OR(PRECIOS!D680="",PRECIOS!D679=""),"",PRECIOS!D680/PRECIOS!D679-1),"")</f>
        <v>0.01553254438</v>
      </c>
      <c r="E680" s="7">
        <f>IFERROR(IF(OR(PRECIOS!E680="",PRECIOS!E679=""),"",PRECIOS!E680/PRECIOS!E679-1),"")</f>
        <v>-0.01639448232</v>
      </c>
      <c r="F680" s="7">
        <f>IFERROR(IF(OR(PRECIOS!F680="",PRECIOS!F679=""),"",PRECIOS!F680/PRECIOS!F679-1),"")</f>
        <v>-0.03851851852</v>
      </c>
      <c r="G680" s="7">
        <f>IFERROR(IF(OR(PRECIOS!G680="",PRECIOS!G679=""),"",PRECIOS!G680/PRECIOS!G679-1),"")</f>
        <v>0.000796812749</v>
      </c>
      <c r="H680" s="7">
        <f>IFERROR(IF(OR(PRECIOS!H680="",PRECIOS!H679=""),"",PRECIOS!H680/PRECIOS!H679-1),"")</f>
        <v>-0.002856495329</v>
      </c>
      <c r="I680" s="7">
        <f>IFERROR(IF(OR(PRECIOS!I680="",PRECIOS!I679=""),"",PRECIOS!I680/PRECIOS!I679-1),"")</f>
        <v>0.02087322801</v>
      </c>
    </row>
    <row r="681" ht="15.75" customHeight="1">
      <c r="A681" s="4">
        <f>IF(PRECIOS!A681="","",PRECIOS!A681)</f>
        <v>45400</v>
      </c>
      <c r="B681" s="7">
        <f>IFERROR(IF(OR(PRECIOS!B681="",PRECIOS!B680=""),"",PRECIOS!B681/PRECIOS!B680-1),"")</f>
        <v>-0.0009272528028</v>
      </c>
      <c r="C681" s="7">
        <f>IFERROR(IF(OR(PRECIOS!C681="",PRECIOS!C680=""),"",PRECIOS!C681/PRECIOS!C680-1),"")</f>
        <v>0.01103151862</v>
      </c>
      <c r="D681" s="7">
        <f>IFERROR(IF(OR(PRECIOS!D681="",PRECIOS!D680=""),"",PRECIOS!D681/PRECIOS!D680-1),"")</f>
        <v>-0.04034959942</v>
      </c>
      <c r="E681" s="7">
        <f>IFERROR(IF(OR(PRECIOS!E681="",PRECIOS!E680=""),"",PRECIOS!E681/PRECIOS!E680-1),"")</f>
        <v>-0.003997678767</v>
      </c>
      <c r="F681" s="7">
        <f>IFERROR(IF(OR(PRECIOS!F681="",PRECIOS!F680=""),"",PRECIOS!F681/PRECIOS!F680-1),"")</f>
        <v>-0.02054442732</v>
      </c>
      <c r="G681" s="7">
        <f>IFERROR(IF(OR(PRECIOS!G681="",PRECIOS!G680=""),"",PRECIOS!G681/PRECIOS!G680-1),"")</f>
        <v>-0.002653927813</v>
      </c>
      <c r="H681" s="7">
        <f>IFERROR(IF(OR(PRECIOS!H681="",PRECIOS!H680=""),"",PRECIOS!H681/PRECIOS!H680-1),"")</f>
        <v>-0.003085211239</v>
      </c>
      <c r="I681" s="7">
        <f>IFERROR(IF(OR(PRECIOS!I681="",PRECIOS!I680=""),"",PRECIOS!I681/PRECIOS!I680-1),"")</f>
        <v>0.005610945944</v>
      </c>
    </row>
    <row r="682" ht="15.75" customHeight="1">
      <c r="A682" s="4">
        <f>IF(PRECIOS!A682="","",PRECIOS!A682)</f>
        <v>45401</v>
      </c>
      <c r="B682" s="7">
        <f>IFERROR(IF(OR(PRECIOS!B682="",PRECIOS!B681=""),"",PRECIOS!B682/PRECIOS!B681-1),"")</f>
        <v>0.01147485656</v>
      </c>
      <c r="C682" s="7">
        <f>IFERROR(IF(OR(PRECIOS!C682="",PRECIOS!C681=""),"",PRECIOS!C682/PRECIOS!C681-1),"")</f>
        <v>0.02238911719</v>
      </c>
      <c r="D682" s="7">
        <f>IFERROR(IF(OR(PRECIOS!D682="",PRECIOS!D681=""),"",PRECIOS!D682/PRECIOS!D681-1),"")</f>
        <v>-0.003339404979</v>
      </c>
      <c r="E682" s="7">
        <f>IFERROR(IF(OR(PRECIOS!E682="",PRECIOS!E681=""),"",PRECIOS!E682/PRECIOS!E681-1),"")</f>
        <v>-0.01851492199</v>
      </c>
      <c r="F682" s="7">
        <f>IFERROR(IF(OR(PRECIOS!F682="",PRECIOS!F681=""),"",PRECIOS!F682/PRECIOS!F681-1),"")</f>
        <v>0.01363398007</v>
      </c>
      <c r="G682" s="7">
        <f>IFERROR(IF(OR(PRECIOS!G682="",PRECIOS!G681=""),"",PRECIOS!G682/PRECIOS!G681-1),"")</f>
        <v>0.02501330495</v>
      </c>
      <c r="H682" s="7">
        <f>IFERROR(IF(OR(PRECIOS!H682="",PRECIOS!H681=""),"",PRECIOS!H682/PRECIOS!H681-1),"")</f>
        <v>0.0120426991</v>
      </c>
      <c r="I682" s="7">
        <f>IFERROR(IF(OR(PRECIOS!I682="",PRECIOS!I681=""),"",PRECIOS!I682/PRECIOS!I681-1),"")</f>
        <v>0.01537014109</v>
      </c>
    </row>
    <row r="683" ht="15.75" customHeight="1">
      <c r="A683" s="4">
        <f>IF(PRECIOS!A683="","",PRECIOS!A683)</f>
        <v>45404</v>
      </c>
      <c r="B683" s="7">
        <f>IFERROR(IF(OR(PRECIOS!B683="",PRECIOS!B682=""),"",PRECIOS!B683/PRECIOS!B682-1),"")</f>
        <v>0.005672339006</v>
      </c>
      <c r="C683" s="7">
        <f>IFERROR(IF(OR(PRECIOS!C683="",PRECIOS!C682=""),"",PRECIOS!C683/PRECIOS!C682-1),"")</f>
        <v>0.0115038115</v>
      </c>
      <c r="D683" s="7">
        <f>IFERROR(IF(OR(PRECIOS!D683="",PRECIOS!D682=""),"",PRECIOS!D683/PRECIOS!D682-1),"")</f>
        <v>0.01614377094</v>
      </c>
      <c r="E683" s="7">
        <f>IFERROR(IF(OR(PRECIOS!E683="",PRECIOS!E682=""),"",PRECIOS!E683/PRECIOS!E682-1),"")</f>
        <v>0.01606094585</v>
      </c>
      <c r="F683" s="7">
        <f>IFERROR(IF(OR(PRECIOS!F683="",PRECIOS!F682=""),"",PRECIOS!F683/PRECIOS!F682-1),"")</f>
        <v>0.07553026384</v>
      </c>
      <c r="G683" s="7">
        <f>IFERROR(IF(OR(PRECIOS!G683="",PRECIOS!G682=""),"",PRECIOS!G683/PRECIOS!G682-1),"")</f>
        <v>0.003634475597</v>
      </c>
      <c r="H683" s="7">
        <f>IFERROR(IF(OR(PRECIOS!H683="",PRECIOS!H682=""),"",PRECIOS!H683/PRECIOS!H682-1),"")</f>
        <v>0.006530728774</v>
      </c>
      <c r="I683" s="7">
        <f>IFERROR(IF(OR(PRECIOS!I683="",PRECIOS!I682=""),"",PRECIOS!I683/PRECIOS!I682-1),"")</f>
        <v>0.009166135809</v>
      </c>
    </row>
    <row r="684" ht="15.75" customHeight="1">
      <c r="A684" s="4">
        <f>IF(PRECIOS!A684="","",PRECIOS!A684)</f>
        <v>45405</v>
      </c>
      <c r="B684" s="7">
        <f>IFERROR(IF(OR(PRECIOS!B684="",PRECIOS!B683=""),"",PRECIOS!B684/PRECIOS!B683-1),"")</f>
        <v>0.003898473789</v>
      </c>
      <c r="C684" s="7">
        <f>IFERROR(IF(OR(PRECIOS!C684="",PRECIOS!C683=""),"",PRECIOS!C684/PRECIOS!C683-1),"")</f>
        <v>0.003699643738</v>
      </c>
      <c r="D684" s="7">
        <f>IFERROR(IF(OR(PRECIOS!D684="",PRECIOS!D683=""),"",PRECIOS!D684/PRECIOS!D683-1),"")</f>
        <v>0.02592925659</v>
      </c>
      <c r="E684" s="7">
        <f>IFERROR(IF(OR(PRECIOS!E684="",PRECIOS!E683=""),"",PRECIOS!E684/PRECIOS!E683-1),"")</f>
        <v>0.01541757279</v>
      </c>
      <c r="F684" s="7">
        <f>IFERROR(IF(OR(PRECIOS!F684="",PRECIOS!F683=""),"",PRECIOS!F684/PRECIOS!F683-1),"")</f>
        <v>0.003848003848</v>
      </c>
      <c r="G684" s="7">
        <f>IFERROR(IF(OR(PRECIOS!G684="",PRECIOS!G683=""),"",PRECIOS!G684/PRECIOS!G683-1),"")</f>
        <v>0.003103983445</v>
      </c>
      <c r="H684" s="7">
        <f>IFERROR(IF(OR(PRECIOS!H684="",PRECIOS!H683=""),"",PRECIOS!H684/PRECIOS!H683-1),"")</f>
        <v>0.005544352605</v>
      </c>
      <c r="I684" s="7">
        <f>IFERROR(IF(OR(PRECIOS!I684="",PRECIOS!I683=""),"",PRECIOS!I684/PRECIOS!I683-1),"")</f>
        <v>0.004692874928</v>
      </c>
    </row>
    <row r="685" ht="15.75" customHeight="1">
      <c r="A685" s="4">
        <f>IF(PRECIOS!A685="","",PRECIOS!A685)</f>
        <v>45406</v>
      </c>
      <c r="B685" s="7">
        <f>IFERROR(IF(OR(PRECIOS!B685="",PRECIOS!B684=""),"",PRECIOS!B685/PRECIOS!B684-1),"")</f>
        <v>0.0001652482855</v>
      </c>
      <c r="C685" s="7">
        <f>IFERROR(IF(OR(PRECIOS!C685="",PRECIOS!C684=""),"",PRECIOS!C685/PRECIOS!C684-1),"")</f>
        <v>0.009010238908</v>
      </c>
      <c r="D685" s="7">
        <f>IFERROR(IF(OR(PRECIOS!D685="",PRECIOS!D684=""),"",PRECIOS!D685/PRECIOS!D684-1),"")</f>
        <v>0.02936449963</v>
      </c>
      <c r="E685" s="7">
        <f>IFERROR(IF(OR(PRECIOS!E685="",PRECIOS!E684=""),"",PRECIOS!E685/PRECIOS!E684-1),"")</f>
        <v>0.01901930699</v>
      </c>
      <c r="F685" s="7">
        <f>IFERROR(IF(OR(PRECIOS!F685="",PRECIOS!F684=""),"",PRECIOS!F685/PRECIOS!F684-1),"")</f>
        <v>-0.03402012458</v>
      </c>
      <c r="G685" s="7">
        <f>IFERROR(IF(OR(PRECIOS!G685="",PRECIOS!G684=""),"",PRECIOS!G685/PRECIOS!G684-1),"")</f>
        <v>0.0121196493</v>
      </c>
      <c r="H685" s="7">
        <f>IFERROR(IF(OR(PRECIOS!H685="",PRECIOS!H684=""),"",PRECIOS!H685/PRECIOS!H684-1),"")</f>
        <v>0.0007294412172</v>
      </c>
      <c r="I685" s="7">
        <f>IFERROR(IF(OR(PRECIOS!I685="",PRECIOS!I684=""),"",PRECIOS!I685/PRECIOS!I684-1),"")</f>
        <v>0.006029085578</v>
      </c>
    </row>
    <row r="686" ht="15.75" customHeight="1">
      <c r="A686" s="4">
        <f>IF(PRECIOS!A686="","",PRECIOS!A686)</f>
        <v>45407</v>
      </c>
      <c r="B686" s="7">
        <f>IFERROR(IF(OR(PRECIOS!B686="",PRECIOS!B685=""),"",PRECIOS!B686/PRECIOS!B685-1),"")</f>
        <v>0.002313093763</v>
      </c>
      <c r="C686" s="7">
        <f>IFERROR(IF(OR(PRECIOS!C686="",PRECIOS!C685=""),"",PRECIOS!C686/PRECIOS!C685-1),"")</f>
        <v>0.006223785685</v>
      </c>
      <c r="D686" s="7">
        <f>IFERROR(IF(OR(PRECIOS!D686="",PRECIOS!D685=""),"",PRECIOS!D686/PRECIOS!D685-1),"")</f>
        <v>0.02866874823</v>
      </c>
      <c r="E686" s="7">
        <f>IFERROR(IF(OR(PRECIOS!E686="",PRECIOS!E685=""),"",PRECIOS!E686/PRECIOS!E685-1),"")</f>
        <v>-0.005301295524</v>
      </c>
      <c r="F686" s="7">
        <f>IFERROR(IF(OR(PRECIOS!F686="",PRECIOS!F685=""),"",PRECIOS!F686/PRECIOS!F685-1),"")</f>
        <v>0.003968253968</v>
      </c>
      <c r="G686" s="7">
        <f>IFERROR(IF(OR(PRECIOS!G686="",PRECIOS!G685=""),"",PRECIOS!G686/PRECIOS!G685-1),"")</f>
        <v>0.005095541401</v>
      </c>
      <c r="H686" s="7">
        <f>IFERROR(IF(OR(PRECIOS!H686="",PRECIOS!H685=""),"",PRECIOS!H686/PRECIOS!H685-1),"")</f>
        <v>0.004571650044</v>
      </c>
      <c r="I686" s="7">
        <f>IFERROR(IF(OR(PRECIOS!I686="",PRECIOS!I685=""),"",PRECIOS!I686/PRECIOS!I685-1),"")</f>
        <v>0.002699983283</v>
      </c>
    </row>
    <row r="687" ht="15.75" customHeight="1">
      <c r="A687" s="4">
        <f>IF(PRECIOS!A687="","",PRECIOS!A687)</f>
        <v>45408</v>
      </c>
      <c r="B687" s="7">
        <f>IFERROR(IF(OR(PRECIOS!B687="",PRECIOS!B686=""),"",PRECIOS!B687/PRECIOS!B686-1),"")</f>
        <v>-0.02777548834</v>
      </c>
      <c r="C687" s="7">
        <f>IFERROR(IF(OR(PRECIOS!C687="",PRECIOS!C686=""),"",PRECIOS!C687/PRECIOS!C686-1),"")</f>
        <v>-0.01559768724</v>
      </c>
      <c r="D687" s="7">
        <f>IFERROR(IF(OR(PRECIOS!D687="",PRECIOS!D686=""),"",PRECIOS!D687/PRECIOS!D686-1),"")</f>
        <v>0.003035320088</v>
      </c>
      <c r="E687" s="7">
        <f>IFERROR(IF(OR(PRECIOS!E687="",PRECIOS!E686=""),"",PRECIOS!E687/PRECIOS!E686-1),"")</f>
        <v>0.02270577105</v>
      </c>
      <c r="F687" s="7">
        <f>IFERROR(IF(OR(PRECIOS!F687="",PRECIOS!F686=""),"",PRECIOS!F687/PRECIOS!F686-1),"")</f>
        <v>0.0459486166</v>
      </c>
      <c r="G687" s="7">
        <f>IFERROR(IF(OR(PRECIOS!G687="",PRECIOS!G686=""),"",PRECIOS!G687/PRECIOS!G686-1),"")</f>
        <v>-0.004816223067</v>
      </c>
      <c r="H687" s="7">
        <f>IFERROR(IF(OR(PRECIOS!H687="",PRECIOS!H686=""),"",PRECIOS!H687/PRECIOS!H686-1),"")</f>
        <v>-0.009211296443</v>
      </c>
      <c r="I687" s="7">
        <f>IFERROR(IF(OR(PRECIOS!I687="",PRECIOS!I686=""),"",PRECIOS!I687/PRECIOS!I686-1),"")</f>
        <v>-0.01090926249</v>
      </c>
    </row>
    <row r="688" ht="15.75" customHeight="1">
      <c r="A688" s="4">
        <f>IF(PRECIOS!A688="","",PRECIOS!A688)</f>
        <v>45411</v>
      </c>
      <c r="B688" s="7">
        <f>IFERROR(IF(OR(PRECIOS!B688="",PRECIOS!B687=""),"",PRECIOS!B688/PRECIOS!B687-1),"")</f>
        <v>0.01424211597</v>
      </c>
      <c r="C688" s="7">
        <f>IFERROR(IF(OR(PRECIOS!C688="",PRECIOS!C687=""),"",PRECIOS!C688/PRECIOS!C687-1),"")</f>
        <v>0.01611801666</v>
      </c>
      <c r="D688" s="7">
        <f>IFERROR(IF(OR(PRECIOS!D688="",PRECIOS!D687=""),"",PRECIOS!D688/PRECIOS!D687-1),"")</f>
        <v>0.07235213205</v>
      </c>
      <c r="E688" s="7">
        <f>IFERROR(IF(OR(PRECIOS!E688="",PRECIOS!E687=""),"",PRECIOS!E688/PRECIOS!E687-1),"")</f>
        <v>0.006814677767</v>
      </c>
      <c r="F688" s="7">
        <f>IFERROR(IF(OR(PRECIOS!F688="",PRECIOS!F687=""),"",PRECIOS!F688/PRECIOS!F687-1),"")</f>
        <v>0.01464336325</v>
      </c>
      <c r="G688" s="7">
        <f>IFERROR(IF(OR(PRECIOS!G688="",PRECIOS!G687=""),"",PRECIOS!G688/PRECIOS!G687-1),"")</f>
        <v>-0.001273560876</v>
      </c>
      <c r="H688" s="7">
        <f>IFERROR(IF(OR(PRECIOS!H688="",PRECIOS!H687=""),"",PRECIOS!H688/PRECIOS!H687-1),"")</f>
        <v>0.006792381028</v>
      </c>
      <c r="I688" s="7">
        <f>IFERROR(IF(OR(PRECIOS!I688="",PRECIOS!I687=""),"",PRECIOS!I688/PRECIOS!I687-1),"")</f>
        <v>0.01359934102</v>
      </c>
    </row>
    <row r="689" ht="15.75" customHeight="1">
      <c r="A689" s="4">
        <f>IF(PRECIOS!A689="","",PRECIOS!A689)</f>
        <v>45412</v>
      </c>
      <c r="B689" s="7">
        <f>IFERROR(IF(OR(PRECIOS!B689="",PRECIOS!B688=""),"",PRECIOS!B689/PRECIOS!B688-1),"")</f>
        <v>-0.01145101973</v>
      </c>
      <c r="C689" s="7">
        <f>IFERROR(IF(OR(PRECIOS!C689="",PRECIOS!C688=""),"",PRECIOS!C689/PRECIOS!C688-1),"")</f>
        <v>-0.01196397365</v>
      </c>
      <c r="D689" s="7">
        <f>IFERROR(IF(OR(PRECIOS!D689="",PRECIOS!D688=""),"",PRECIOS!D689/PRECIOS!D688-1),"")</f>
        <v>-0.02719343253</v>
      </c>
      <c r="E689" s="7">
        <f>IFERROR(IF(OR(PRECIOS!E689="",PRECIOS!E688=""),"",PRECIOS!E689/PRECIOS!E688-1),"")</f>
        <v>-0.02526721999</v>
      </c>
      <c r="F689" s="7">
        <f>IFERROR(IF(OR(PRECIOS!F689="",PRECIOS!F688=""),"",PRECIOS!F689/PRECIOS!F688-1),"")</f>
        <v>0.02234636872</v>
      </c>
      <c r="G689" s="7">
        <f>IFERROR(IF(OR(PRECIOS!G689="",PRECIOS!G688=""),"",PRECIOS!G689/PRECIOS!G688-1),"")</f>
        <v>-0.02167814333</v>
      </c>
      <c r="H689" s="7">
        <f>IFERROR(IF(OR(PRECIOS!H689="",PRECIOS!H688=""),"",PRECIOS!H689/PRECIOS!H688-1),"")</f>
        <v>-0.02977934147</v>
      </c>
      <c r="I689" s="7">
        <f>IFERROR(IF(OR(PRECIOS!I689="",PRECIOS!I688=""),"",PRECIOS!I689/PRECIOS!I688-1),"")</f>
        <v>-0.005221162022</v>
      </c>
    </row>
    <row r="690" ht="15.75" customHeight="1">
      <c r="A690" s="4">
        <f>IF(PRECIOS!A690="","",PRECIOS!A690)</f>
        <v>45413</v>
      </c>
      <c r="B690" s="7">
        <f>IFERROR(IF(OR(PRECIOS!B690="",PRECIOS!B689=""),"",PRECIOS!B690/PRECIOS!B689-1),"")</f>
        <v>-0.01893971421</v>
      </c>
      <c r="C690" s="7">
        <f>IFERROR(IF(OR(PRECIOS!C690="",PRECIOS!C689=""),"",PRECIOS!C690/PRECIOS!C689-1),"")</f>
        <v>0.01387755102</v>
      </c>
      <c r="D690" s="7">
        <f>IFERROR(IF(OR(PRECIOS!D690="",PRECIOS!D689=""),"",PRECIOS!D690/PRECIOS!D689-1),"")</f>
        <v>0.01344936709</v>
      </c>
      <c r="E690" s="7">
        <f>IFERROR(IF(OR(PRECIOS!E690="",PRECIOS!E689=""),"",PRECIOS!E690/PRECIOS!E689-1),"")</f>
        <v>-0.0195751901</v>
      </c>
      <c r="F690" s="7">
        <f>IFERROR(IF(OR(PRECIOS!F690="",PRECIOS!F689=""),"",PRECIOS!F690/PRECIOS!F689-1),"")</f>
        <v>0.005464480874</v>
      </c>
      <c r="G690" s="7">
        <f>IFERROR(IF(OR(PRECIOS!G690="",PRECIOS!G689=""),"",PRECIOS!G690/PRECIOS!G689-1),"")</f>
        <v>-0.01225234619</v>
      </c>
      <c r="H690" s="7">
        <f>IFERROR(IF(OR(PRECIOS!H690="",PRECIOS!H689=""),"",PRECIOS!H690/PRECIOS!H689-1),"")</f>
        <v>-0.01592992915</v>
      </c>
      <c r="I690" s="7">
        <f>IFERROR(IF(OR(PRECIOS!I690="",PRECIOS!I689=""),"",PRECIOS!I690/PRECIOS!I689-1),"")</f>
        <v>0.01154116686</v>
      </c>
    </row>
    <row r="691" ht="15.75" customHeight="1">
      <c r="A691" s="4">
        <f>IF(PRECIOS!A691="","",PRECIOS!A691)</f>
        <v>45414</v>
      </c>
      <c r="B691" s="7">
        <f>IFERROR(IF(OR(PRECIOS!B691="",PRECIOS!B690=""),"",PRECIOS!B691/PRECIOS!B690-1),"")</f>
        <v>0.001809876756</v>
      </c>
      <c r="C691" s="7">
        <f>IFERROR(IF(OR(PRECIOS!C691="",PRECIOS!C690=""),"",PRECIOS!C691/PRECIOS!C690-1),"")</f>
        <v>0.01086956522</v>
      </c>
      <c r="D691" s="7">
        <f>IFERROR(IF(OR(PRECIOS!D691="",PRECIOS!D690=""),"",PRECIOS!D691/PRECIOS!D690-1),"")</f>
        <v>0.03916211293</v>
      </c>
      <c r="E691" s="7">
        <f>IFERROR(IF(OR(PRECIOS!E691="",PRECIOS!E690=""),"",PRECIOS!E691/PRECIOS!E690-1),"")</f>
        <v>0.01038361696</v>
      </c>
      <c r="F691" s="7">
        <f>IFERROR(IF(OR(PRECIOS!F691="",PRECIOS!F690=""),"",PRECIOS!F691/PRECIOS!F690-1),"")</f>
        <v>0.01268115942</v>
      </c>
      <c r="G691" s="7">
        <f>IFERROR(IF(OR(PRECIOS!G691="",PRECIOS!G690=""),"",PRECIOS!G691/PRECIOS!G690-1),"")</f>
        <v>0.01715492214</v>
      </c>
      <c r="H691" s="7">
        <f>IFERROR(IF(OR(PRECIOS!H691="",PRECIOS!H690=""),"",PRECIOS!H691/PRECIOS!H690-1),"")</f>
        <v>0.005758833318</v>
      </c>
      <c r="I691" s="7">
        <f>IFERROR(IF(OR(PRECIOS!I691="",PRECIOS!I690=""),"",PRECIOS!I691/PRECIOS!I690-1),"")</f>
        <v>0.005329001116</v>
      </c>
    </row>
    <row r="692" ht="15.75" customHeight="1">
      <c r="A692" s="4">
        <f>IF(PRECIOS!A692="","",PRECIOS!A692)</f>
        <v>45415</v>
      </c>
      <c r="B692" s="7">
        <f>IFERROR(IF(OR(PRECIOS!B692="",PRECIOS!B691=""),"",PRECIOS!B692/PRECIOS!B691-1),"")</f>
        <v>-0.002064693737</v>
      </c>
      <c r="C692" s="7">
        <f>IFERROR(IF(OR(PRECIOS!C692="",PRECIOS!C691=""),"",PRECIOS!C692/PRECIOS!C691-1),"")</f>
        <v>0.006902960308</v>
      </c>
      <c r="D692" s="7">
        <f>IFERROR(IF(OR(PRECIOS!D692="",PRECIOS!D691=""),"",PRECIOS!D692/PRECIOS!D691-1),"")</f>
        <v>0.02028295981</v>
      </c>
      <c r="E692" s="7">
        <f>IFERROR(IF(OR(PRECIOS!E692="",PRECIOS!E691=""),"",PRECIOS!E692/PRECIOS!E691-1),"")</f>
        <v>0.0165889555</v>
      </c>
      <c r="F692" s="7">
        <f>IFERROR(IF(OR(PRECIOS!F692="",PRECIOS!F691=""),"",PRECIOS!F692/PRECIOS!F691-1),"")</f>
        <v>0.04561717352</v>
      </c>
      <c r="G692" s="7">
        <f>IFERROR(IF(OR(PRECIOS!G692="",PRECIOS!G691=""),"",PRECIOS!G692/PRECIOS!G691-1),"")</f>
        <v>0.003373118838</v>
      </c>
      <c r="H692" s="7">
        <f>IFERROR(IF(OR(PRECIOS!H692="",PRECIOS!H691=""),"",PRECIOS!H692/PRECIOS!H691-1),"")</f>
        <v>0.0001098486149</v>
      </c>
      <c r="I692" s="7">
        <f>IFERROR(IF(OR(PRECIOS!I692="",PRECIOS!I691=""),"",PRECIOS!I692/PRECIOS!I691-1),"")</f>
        <v>0.007961985937</v>
      </c>
    </row>
    <row r="693" ht="15.75" customHeight="1">
      <c r="A693" s="4">
        <f>IF(PRECIOS!A693="","",PRECIOS!A693)</f>
        <v>45418</v>
      </c>
      <c r="B693" s="7">
        <f>IFERROR(IF(OR(PRECIOS!B693="",PRECIOS!B692=""),"",PRECIOS!B693/PRECIOS!B692-1),"")</f>
        <v>0.006465517241</v>
      </c>
      <c r="C693" s="7">
        <f>IFERROR(IF(OR(PRECIOS!C693="",PRECIOS!C692=""),"",PRECIOS!C693/PRECIOS!C692-1),"")</f>
        <v>-0.005009887937</v>
      </c>
      <c r="D693" s="7">
        <f>IFERROR(IF(OR(PRECIOS!D693="",PRECIOS!D692=""),"",PRECIOS!D693/PRECIOS!D692-1),"")</f>
        <v>0.02147502761</v>
      </c>
      <c r="E693" s="7">
        <f>IFERROR(IF(OR(PRECIOS!E693="",PRECIOS!E692=""),"",PRECIOS!E693/PRECIOS!E692-1),"")</f>
        <v>0.02102964119</v>
      </c>
      <c r="F693" s="7">
        <f>IFERROR(IF(OR(PRECIOS!F693="",PRECIOS!F692=""),"",PRECIOS!F693/PRECIOS!F692-1),"")</f>
        <v>0.02138579983</v>
      </c>
      <c r="G693" s="7">
        <f>IFERROR(IF(OR(PRECIOS!G693="",PRECIOS!G692=""),"",PRECIOS!G693/PRECIOS!G692-1),"")</f>
        <v>0.01008533747</v>
      </c>
      <c r="H693" s="7">
        <f>IFERROR(IF(OR(PRECIOS!H693="",PRECIOS!H692=""),"",PRECIOS!H693/PRECIOS!H692-1),"")</f>
        <v>0.007883060687</v>
      </c>
      <c r="I693" s="7">
        <f>IFERROR(IF(OR(PRECIOS!I693="",PRECIOS!I692=""),"",PRECIOS!I693/PRECIOS!I692-1),"")</f>
        <v>0.005111178125</v>
      </c>
    </row>
    <row r="694" ht="15.75" customHeight="1">
      <c r="A694" s="4">
        <f>IF(PRECIOS!A694="","",PRECIOS!A694)</f>
        <v>45419</v>
      </c>
      <c r="B694" s="7">
        <f>IFERROR(IF(OR(PRECIOS!B694="",PRECIOS!B693=""),"",PRECIOS!B694/PRECIOS!B693-1),"")</f>
        <v>-0.004967880086</v>
      </c>
      <c r="C694" s="7">
        <f>IFERROR(IF(OR(PRECIOS!C694="",PRECIOS!C693=""),"",PRECIOS!C694/PRECIOS!C693-1),"")</f>
        <v>0.01961044123</v>
      </c>
      <c r="D694" s="7">
        <f>IFERROR(IF(OR(PRECIOS!D694="",PRECIOS!D693=""),"",PRECIOS!D694/PRECIOS!D693-1),"")</f>
        <v>-0.0180201826</v>
      </c>
      <c r="E694" s="7">
        <f>IFERROR(IF(OR(PRECIOS!E694="",PRECIOS!E693=""),"",PRECIOS!E694/PRECIOS!E693-1),"")</f>
        <v>0.0005806136169</v>
      </c>
      <c r="F694" s="7">
        <f>IFERROR(IF(OR(PRECIOS!F694="",PRECIOS!F693=""),"",PRECIOS!F694/PRECIOS!F693-1),"")</f>
        <v>0.006281407035</v>
      </c>
      <c r="G694" s="7">
        <f>IFERROR(IF(OR(PRECIOS!G694="",PRECIOS!G693=""),"",PRECIOS!G694/PRECIOS!G693-1),"")</f>
        <v>0.001280081925</v>
      </c>
      <c r="H694" s="7">
        <f>IFERROR(IF(OR(PRECIOS!H694="",PRECIOS!H693=""),"",PRECIOS!H694/PRECIOS!H693-1),"")</f>
        <v>-0.0009649047128</v>
      </c>
      <c r="I694" s="7">
        <f>IFERROR(IF(OR(PRECIOS!I694="",PRECIOS!I693=""),"",PRECIOS!I694/PRECIOS!I693-1),"")</f>
        <v>0.01134599783</v>
      </c>
    </row>
    <row r="695" ht="15.75" customHeight="1">
      <c r="A695" s="4">
        <f>IF(PRECIOS!A695="","",PRECIOS!A695)</f>
        <v>45420</v>
      </c>
      <c r="B695" s="7">
        <f>IFERROR(IF(OR(PRECIOS!B695="",PRECIOS!B694=""),"",PRECIOS!B695/PRECIOS!B694-1),"")</f>
        <v>-0.0001721614875</v>
      </c>
      <c r="C695" s="7">
        <f>IFERROR(IF(OR(PRECIOS!C695="",PRECIOS!C694=""),"",PRECIOS!C695/PRECIOS!C694-1),"")</f>
        <v>0.008836907083</v>
      </c>
      <c r="D695" s="7">
        <f>IFERROR(IF(OR(PRECIOS!D695="",PRECIOS!D694=""),"",PRECIOS!D695/PRECIOS!D694-1),"")</f>
        <v>0.09126498654</v>
      </c>
      <c r="E695" s="7">
        <f>IFERROR(IF(OR(PRECIOS!E695="",PRECIOS!E694=""),"",PRECIOS!E695/PRECIOS!E694-1),"")</f>
        <v>0.009070641053</v>
      </c>
      <c r="F695" s="7">
        <f>IFERROR(IF(OR(PRECIOS!F695="",PRECIOS!F694=""),"",PRECIOS!F695/PRECIOS!F694-1),"")</f>
        <v>0.01789429879</v>
      </c>
      <c r="G695" s="7">
        <f>IFERROR(IF(OR(PRECIOS!G695="",PRECIOS!G694=""),"",PRECIOS!G695/PRECIOS!G694-1),"")</f>
        <v>0.005369470724</v>
      </c>
      <c r="H695" s="7">
        <f>IFERROR(IF(OR(PRECIOS!H695="",PRECIOS!H694=""),"",PRECIOS!H695/PRECIOS!H694-1),"")</f>
        <v>-0.001179456995</v>
      </c>
      <c r="I695" s="7">
        <f>IFERROR(IF(OR(PRECIOS!I695="",PRECIOS!I694=""),"",PRECIOS!I695/PRECIOS!I694-1),"")</f>
        <v>0.0105012699</v>
      </c>
    </row>
    <row r="696" ht="15.75" customHeight="1">
      <c r="A696" s="4">
        <f>IF(PRECIOS!A696="","",PRECIOS!A696)</f>
        <v>45421</v>
      </c>
      <c r="B696" s="7">
        <f>IFERROR(IF(OR(PRECIOS!B696="",PRECIOS!B695=""),"",PRECIOS!B696/PRECIOS!B695-1),"")</f>
        <v>0.01971588463</v>
      </c>
      <c r="C696" s="7">
        <f>IFERROR(IF(OR(PRECIOS!C696="",PRECIOS!C695=""),"",PRECIOS!C696/PRECIOS!C695-1),"")</f>
        <v>0.007986603117</v>
      </c>
      <c r="D696" s="7">
        <f>IFERROR(IF(OR(PRECIOS!D696="",PRECIOS!D695=""),"",PRECIOS!D696/PRECIOS!D695-1),"")</f>
        <v>0.04450672646</v>
      </c>
      <c r="E696" s="7">
        <f>IFERROR(IF(OR(PRECIOS!E696="",PRECIOS!E695=""),"",PRECIOS!E696/PRECIOS!E695-1),"")</f>
        <v>0.008656174334</v>
      </c>
      <c r="F696" s="7">
        <f>IFERROR(IF(OR(PRECIOS!F696="",PRECIOS!F695=""),"",PRECIOS!F696/PRECIOS!F695-1),"")</f>
        <v>-0.003270645953</v>
      </c>
      <c r="G696" s="7">
        <f>IFERROR(IF(OR(PRECIOS!G696="",PRECIOS!G695=""),"",PRECIOS!G696/PRECIOS!G695-1),"")</f>
        <v>0.006612410987</v>
      </c>
      <c r="H696" s="7">
        <f>IFERROR(IF(OR(PRECIOS!H696="",PRECIOS!H695=""),"",PRECIOS!H696/PRECIOS!H695-1),"")</f>
        <v>0.01342619348</v>
      </c>
      <c r="I696" s="7">
        <f>IFERROR(IF(OR(PRECIOS!I696="",PRECIOS!I695=""),"",PRECIOS!I696/PRECIOS!I695-1),"")</f>
        <v>0.01522123364</v>
      </c>
    </row>
    <row r="697" ht="15.75" customHeight="1">
      <c r="A697" s="4">
        <f>IF(PRECIOS!A697="","",PRECIOS!A697)</f>
        <v>45422</v>
      </c>
      <c r="B697" s="7">
        <f>IFERROR(IF(OR(PRECIOS!B697="",PRECIOS!B696=""),"",PRECIOS!B697/PRECIOS!B696-1),"")</f>
        <v>-0.004052684904</v>
      </c>
      <c r="C697" s="7">
        <f>IFERROR(IF(OR(PRECIOS!C697="",PRECIOS!C696=""),"",PRECIOS!C697/PRECIOS!C696-1),"")</f>
        <v>-0.001405750799</v>
      </c>
      <c r="D697" s="7">
        <f>IFERROR(IF(OR(PRECIOS!D697="",PRECIOS!D696=""),"",PRECIOS!D697/PRECIOS!D696-1),"")</f>
        <v>0.002683267146</v>
      </c>
      <c r="E697" s="7">
        <f>IFERROR(IF(OR(PRECIOS!E697="",PRECIOS!E696=""),"",PRECIOS!E697/PRECIOS!E696-1),"")</f>
        <v>-0.008071775791</v>
      </c>
      <c r="F697" s="7">
        <f>IFERROR(IF(OR(PRECIOS!F697="",PRECIOS!F696=""),"",PRECIOS!F697/PRECIOS!F696-1),"")</f>
        <v>-0.06562756358</v>
      </c>
      <c r="G697" s="7">
        <f>IFERROR(IF(OR(PRECIOS!G697="",PRECIOS!G696=""),"",PRECIOS!G697/PRECIOS!G696-1),"")</f>
        <v>0.00151591713</v>
      </c>
      <c r="H697" s="7">
        <f>IFERROR(IF(OR(PRECIOS!H697="",PRECIOS!H696=""),"",PRECIOS!H697/PRECIOS!H696-1),"")</f>
        <v>-0.0055072236</v>
      </c>
      <c r="I697" s="7">
        <f>IFERROR(IF(OR(PRECIOS!I697="",PRECIOS!I696=""),"",PRECIOS!I697/PRECIOS!I696-1),"")</f>
        <v>-0.0009796660283</v>
      </c>
    </row>
    <row r="698" ht="15.75" customHeight="1">
      <c r="A698" s="4">
        <f>IF(PRECIOS!A698="","",PRECIOS!A698)</f>
        <v>45425</v>
      </c>
      <c r="B698" s="7">
        <f>IFERROR(IF(OR(PRECIOS!B698="",PRECIOS!B697=""),"",PRECIOS!B698/PRECIOS!B697-1),"")</f>
        <v>-0.0004238724992</v>
      </c>
      <c r="C698" s="7">
        <f>IFERROR(IF(OR(PRECIOS!C698="",PRECIOS!C697=""),"",PRECIOS!C698/PRECIOS!C697-1),"")</f>
        <v>0.007166624008</v>
      </c>
      <c r="D698" s="7">
        <f>IFERROR(IF(OR(PRECIOS!D698="",PRECIOS!D697=""),"",PRECIOS!D698/PRECIOS!D697-1),"")</f>
        <v>-0.03478912438</v>
      </c>
      <c r="E698" s="7">
        <f>IFERROR(IF(OR(PRECIOS!E698="",PRECIOS!E697=""),"",PRECIOS!E698/PRECIOS!E697-1),"")</f>
        <v>-0.006231660465</v>
      </c>
      <c r="F698" s="7">
        <f>IFERROR(IF(OR(PRECIOS!F698="",PRECIOS!F697=""),"",PRECIOS!F698/PRECIOS!F697-1),"")</f>
        <v>0</v>
      </c>
      <c r="G698" s="7">
        <f>IFERROR(IF(OR(PRECIOS!G698="",PRECIOS!G697=""),"",PRECIOS!G698/PRECIOS!G697-1),"")</f>
        <v>0.0005045408678</v>
      </c>
      <c r="H698" s="7">
        <f>IFERROR(IF(OR(PRECIOS!H698="",PRECIOS!H697=""),"",PRECIOS!H698/PRECIOS!H697-1),"")</f>
        <v>-0.00266840045</v>
      </c>
      <c r="I698" s="7">
        <f>IFERROR(IF(OR(PRECIOS!I698="",PRECIOS!I697=""),"",PRECIOS!I698/PRECIOS!I697-1),"")</f>
        <v>0</v>
      </c>
    </row>
    <row r="699" ht="15.75" customHeight="1">
      <c r="A699" s="4">
        <f>IF(PRECIOS!A699="","",PRECIOS!A699)</f>
        <v>45426</v>
      </c>
      <c r="B699" s="7">
        <f>IFERROR(IF(OR(PRECIOS!B699="",PRECIOS!B698=""),"",PRECIOS!B699/PRECIOS!B698-1),"")</f>
        <v>-0.002035450768</v>
      </c>
      <c r="C699" s="7">
        <f>IFERROR(IF(OR(PRECIOS!C699="",PRECIOS!C698=""),"",PRECIOS!C699/PRECIOS!C698-1),"")</f>
        <v>0.000127064803</v>
      </c>
      <c r="D699" s="7">
        <f>IFERROR(IF(OR(PRECIOS!D699="",PRECIOS!D698=""),"",PRECIOS!D699/PRECIOS!D698-1),"")</f>
        <v>0.01441721193</v>
      </c>
      <c r="E699" s="7">
        <f>IFERROR(IF(OR(PRECIOS!E699="",PRECIOS!E698=""),"",PRECIOS!E699/PRECIOS!E698-1),"")</f>
        <v>0.005905451889</v>
      </c>
      <c r="F699" s="7">
        <f>IFERROR(IF(OR(PRECIOS!F699="",PRECIOS!F698=""),"",PRECIOS!F699/PRECIOS!F698-1),"")</f>
        <v>0.01053555751</v>
      </c>
      <c r="G699" s="7">
        <f>IFERROR(IF(OR(PRECIOS!G699="",PRECIOS!G698=""),"",PRECIOS!G699/PRECIOS!G698-1),"")</f>
        <v>0.01765002521</v>
      </c>
      <c r="H699" s="7">
        <f>IFERROR(IF(OR(PRECIOS!H699="",PRECIOS!H698=""),"",PRECIOS!H699/PRECIOS!H698-1),"")</f>
        <v>0.001283444248</v>
      </c>
      <c r="I699" s="7">
        <f>IFERROR(IF(OR(PRECIOS!I699="",PRECIOS!I698=""),"",PRECIOS!I699/PRECIOS!I698-1),"")</f>
        <v>0.002667186517</v>
      </c>
    </row>
    <row r="700" ht="15.75" customHeight="1">
      <c r="A700" s="4">
        <f>IF(PRECIOS!A700="","",PRECIOS!A700)</f>
        <v>45427</v>
      </c>
      <c r="B700" s="7">
        <f>IFERROR(IF(OR(PRECIOS!B700="",PRECIOS!B699=""),"",PRECIOS!B700/PRECIOS!B699-1),"")</f>
        <v>0.007733491969</v>
      </c>
      <c r="C700" s="7">
        <f>IFERROR(IF(OR(PRECIOS!C700="",PRECIOS!C699=""),"",PRECIOS!C700/PRECIOS!C699-1),"")</f>
        <v>0.007368822259</v>
      </c>
      <c r="D700" s="7">
        <f>IFERROR(IF(OR(PRECIOS!D700="",PRECIOS!D699=""),"",PRECIOS!D700/PRECIOS!D699-1),"")</f>
        <v>0.05947305127</v>
      </c>
      <c r="E700" s="7">
        <f>IFERROR(IF(OR(PRECIOS!E700="",PRECIOS!E699=""),"",PRECIOS!E700/PRECIOS!E699-1),"")</f>
        <v>0.02272658496</v>
      </c>
      <c r="F700" s="7">
        <f>IFERROR(IF(OR(PRECIOS!F700="",PRECIOS!F699=""),"",PRECIOS!F700/PRECIOS!F699-1),"")</f>
        <v>0.03866203301</v>
      </c>
      <c r="G700" s="7">
        <f>IFERROR(IF(OR(PRECIOS!G700="",PRECIOS!G699=""),"",PRECIOS!G700/PRECIOS!G699-1),"")</f>
        <v>0.002725470763</v>
      </c>
      <c r="H700" s="7">
        <f>IFERROR(IF(OR(PRECIOS!H700="",PRECIOS!H699=""),"",PRECIOS!H700/PRECIOS!H699-1),"")</f>
        <v>0.002242583311</v>
      </c>
      <c r="I700" s="7">
        <f>IFERROR(IF(OR(PRECIOS!I700="",PRECIOS!I699=""),"",PRECIOS!I700/PRECIOS!I699-1),"")</f>
        <v>0.01497369367</v>
      </c>
    </row>
    <row r="701" ht="15.75" customHeight="1">
      <c r="A701" s="4">
        <f>IF(PRECIOS!A701="","",PRECIOS!A701)</f>
        <v>45428</v>
      </c>
      <c r="B701" s="7">
        <f>IFERROR(IF(OR(PRECIOS!B701="",PRECIOS!B700=""),"",PRECIOS!B701/PRECIOS!B700-1),"")</f>
        <v>-0.005987518975</v>
      </c>
      <c r="C701" s="7">
        <f>IFERROR(IF(OR(PRECIOS!C701="",PRECIOS!C700=""),"",PRECIOS!C701/PRECIOS!C700-1),"")</f>
        <v>0.00113507378</v>
      </c>
      <c r="D701" s="7">
        <f>IFERROR(IF(OR(PRECIOS!D701="",PRECIOS!D700=""),"",PRECIOS!D701/PRECIOS!D700-1),"")</f>
        <v>-0.03890207409</v>
      </c>
      <c r="E701" s="7">
        <f>IFERROR(IF(OR(PRECIOS!E701="",PRECIOS!E700=""),"",PRECIOS!E701/PRECIOS!E700-1),"")</f>
        <v>-0.0230204758</v>
      </c>
      <c r="F701" s="7">
        <f>IFERROR(IF(OR(PRECIOS!F701="",PRECIOS!F700=""),"",PRECIOS!F701/PRECIOS!F700-1),"")</f>
        <v>-0.0112923463</v>
      </c>
      <c r="G701" s="7">
        <f>IFERROR(IF(OR(PRECIOS!G701="",PRECIOS!G700=""),"",PRECIOS!G701/PRECIOS!G700-1),"")</f>
        <v>0.01186063751</v>
      </c>
      <c r="H701" s="7">
        <f>IFERROR(IF(OR(PRECIOS!H701="",PRECIOS!H700=""),"",PRECIOS!H701/PRECIOS!H700-1),"")</f>
        <v>-0.002769889407</v>
      </c>
      <c r="I701" s="7">
        <f>IFERROR(IF(OR(PRECIOS!I701="",PRECIOS!I700=""),"",PRECIOS!I701/PRECIOS!I700-1),"")</f>
        <v>-0.003448025657</v>
      </c>
    </row>
    <row r="702" ht="15.75" customHeight="1">
      <c r="A702" s="4">
        <f>IF(PRECIOS!A702="","",PRECIOS!A702)</f>
        <v>45429</v>
      </c>
      <c r="B702" s="7">
        <f>IFERROR(IF(OR(PRECIOS!B702="",PRECIOS!B701=""),"",PRECIOS!B702/PRECIOS!B701-1),"")</f>
        <v>0.01501654365</v>
      </c>
      <c r="C702" s="7">
        <f>IFERROR(IF(OR(PRECIOS!C702="",PRECIOS!C701=""),"",PRECIOS!C702/PRECIOS!C701-1),"")</f>
        <v>0.002015621063</v>
      </c>
      <c r="D702" s="7">
        <f>IFERROR(IF(OR(PRECIOS!D702="",PRECIOS!D701=""),"",PRECIOS!D702/PRECIOS!D701-1),"")</f>
        <v>0.01009233412</v>
      </c>
      <c r="E702" s="7">
        <f>IFERROR(IF(OR(PRECIOS!E702="",PRECIOS!E701=""),"",PRECIOS!E702/PRECIOS!E701-1),"")</f>
        <v>0.0001817190623</v>
      </c>
      <c r="F702" s="7">
        <f>IFERROR(IF(OR(PRECIOS!F702="",PRECIOS!F701=""),"",PRECIOS!F702/PRECIOS!F701-1),"")</f>
        <v>-0.008460236887</v>
      </c>
      <c r="G702" s="7">
        <f>IFERROR(IF(OR(PRECIOS!G702="",PRECIOS!G701=""),"",PRECIOS!G702/PRECIOS!G701-1),"")</f>
        <v>0.007814407814</v>
      </c>
      <c r="H702" s="7">
        <f>IFERROR(IF(OR(PRECIOS!H702="",PRECIOS!H701=""),"",PRECIOS!H702/PRECIOS!H701-1),"")</f>
        <v>0.01398743754</v>
      </c>
      <c r="I702" s="7">
        <f>IFERROR(IF(OR(PRECIOS!I702="",PRECIOS!I701=""),"",PRECIOS!I702/PRECIOS!I701-1),"")</f>
        <v>0.000830039871</v>
      </c>
    </row>
    <row r="703" ht="15.75" customHeight="1">
      <c r="A703" s="4">
        <f>IF(PRECIOS!A703="","",PRECIOS!A703)</f>
        <v>45432</v>
      </c>
      <c r="B703" s="7">
        <f>IFERROR(IF(OR(PRECIOS!B703="",PRECIOS!B702=""),"",PRECIOS!B703/PRECIOS!B702-1),"")</f>
        <v>-0.008107656302</v>
      </c>
      <c r="C703" s="7">
        <f>IFERROR(IF(OR(PRECIOS!C703="",PRECIOS!C702=""),"",PRECIOS!C703/PRECIOS!C702-1),"")</f>
        <v>-0.004400301735</v>
      </c>
      <c r="D703" s="7">
        <f>IFERROR(IF(OR(PRECIOS!D703="",PRECIOS!D702=""),"",PRECIOS!D703/PRECIOS!D702-1),"")</f>
        <v>-0.02731717687</v>
      </c>
      <c r="E703" s="7">
        <f>IFERROR(IF(OR(PRECIOS!E703="",PRECIOS!E702=""),"",PRECIOS!E703/PRECIOS!E702-1),"")</f>
        <v>0.009114583333</v>
      </c>
      <c r="F703" s="7">
        <f>IFERROR(IF(OR(PRECIOS!F703="",PRECIOS!F702=""),"",PRECIOS!F703/PRECIOS!F702-1),"")</f>
        <v>0.01407849829</v>
      </c>
      <c r="G703" s="7">
        <f>IFERROR(IF(OR(PRECIOS!G703="",PRECIOS!G702=""),"",PRECIOS!G703/PRECIOS!G702-1),"")</f>
        <v>0.004119214926</v>
      </c>
      <c r="H703" s="7">
        <f>IFERROR(IF(OR(PRECIOS!H703="",PRECIOS!H702=""),"",PRECIOS!H703/PRECIOS!H702-1),"")</f>
        <v>-0.006529182793</v>
      </c>
      <c r="I703" s="7">
        <f>IFERROR(IF(OR(PRECIOS!I703="",PRECIOS!I702=""),"",PRECIOS!I703/PRECIOS!I702-1),"")</f>
        <v>-0.001658702952</v>
      </c>
    </row>
    <row r="704" ht="15.75" customHeight="1">
      <c r="A704" s="4">
        <f>IF(PRECIOS!A704="","",PRECIOS!A704)</f>
        <v>45433</v>
      </c>
      <c r="B704" s="7">
        <f>IFERROR(IF(OR(PRECIOS!B704="",PRECIOS!B703=""),"",PRECIOS!B704/PRECIOS!B703-1),"")</f>
        <v>-0.006909918261</v>
      </c>
      <c r="C704" s="7">
        <f>IFERROR(IF(OR(PRECIOS!C704="",PRECIOS!C703=""),"",PRECIOS!C704/PRECIOS!C703-1),"")</f>
        <v>0.007450435661</v>
      </c>
      <c r="D704" s="7">
        <f>IFERROR(IF(OR(PRECIOS!D704="",PRECIOS!D703=""),"",PRECIOS!D704/PRECIOS!D703-1),"")</f>
        <v>0.02983280516</v>
      </c>
      <c r="E704" s="7">
        <f>IFERROR(IF(OR(PRECIOS!E704="",PRECIOS!E703=""),"",PRECIOS!E704/PRECIOS!E703-1),"")</f>
        <v>0.01044261065</v>
      </c>
      <c r="F704" s="7">
        <f>IFERROR(IF(OR(PRECIOS!F704="",PRECIOS!F703=""),"",PRECIOS!F704/PRECIOS!F703-1),"")</f>
        <v>-0.01009676062</v>
      </c>
      <c r="G704" s="7">
        <f>IFERROR(IF(OR(PRECIOS!G704="",PRECIOS!G703=""),"",PRECIOS!G704/PRECIOS!G703-1),"")</f>
        <v>0.008204633205</v>
      </c>
      <c r="H704" s="7">
        <f>IFERROR(IF(OR(PRECIOS!H704="",PRECIOS!H703=""),"",PRECIOS!H704/PRECIOS!H703-1),"")</f>
        <v>-0.004872375204</v>
      </c>
      <c r="I704" s="7">
        <f>IFERROR(IF(OR(PRECIOS!I704="",PRECIOS!I703=""),"",PRECIOS!I704/PRECIOS!I703-1),"")</f>
        <v>0.009001026024</v>
      </c>
    </row>
    <row r="705" ht="15.75" customHeight="1">
      <c r="A705" s="4">
        <f>IF(PRECIOS!A705="","",PRECIOS!A705)</f>
        <v>45434</v>
      </c>
      <c r="B705" s="7">
        <f>IFERROR(IF(OR(PRECIOS!B705="",PRECIOS!B704=""),"",PRECIOS!B705/PRECIOS!B704-1),"")</f>
        <v>-0.02011030972</v>
      </c>
      <c r="C705" s="7">
        <f>IFERROR(IF(OR(PRECIOS!C705="",PRECIOS!C704=""),"",PRECIOS!C705/PRECIOS!C704-1),"")</f>
        <v>-0.01366257207</v>
      </c>
      <c r="D705" s="7">
        <f>IFERROR(IF(OR(PRECIOS!D705="",PRECIOS!D704=""),"",PRECIOS!D705/PRECIOS!D704-1),"")</f>
        <v>0.000318336163</v>
      </c>
      <c r="E705" s="7">
        <f>IFERROR(IF(OR(PRECIOS!E705="",PRECIOS!E704=""),"",PRECIOS!E705/PRECIOS!E704-1),"")</f>
        <v>-0.001633356101</v>
      </c>
      <c r="F705" s="7">
        <f>IFERROR(IF(OR(PRECIOS!F705="",PRECIOS!F704=""),"",PRECIOS!F705/PRECIOS!F704-1),"")</f>
        <v>-0.07479813005</v>
      </c>
      <c r="G705" s="7">
        <f>IFERROR(IF(OR(PRECIOS!G705="",PRECIOS!G704=""),"",PRECIOS!G705/PRECIOS!G704-1),"")</f>
        <v>-0.0253709909</v>
      </c>
      <c r="H705" s="7">
        <f>IFERROR(IF(OR(PRECIOS!H705="",PRECIOS!H704=""),"",PRECIOS!H705/PRECIOS!H704-1),"")</f>
        <v>-0.01917653058</v>
      </c>
      <c r="I705" s="7">
        <f>IFERROR(IF(OR(PRECIOS!I705="",PRECIOS!I704=""),"",PRECIOS!I705/PRECIOS!I704-1),"")</f>
        <v>-0.01180090132</v>
      </c>
    </row>
    <row r="706" ht="15.75" customHeight="1">
      <c r="A706" s="4">
        <f>IF(PRECIOS!A706="","",PRECIOS!A706)</f>
        <v>45435</v>
      </c>
      <c r="B706" s="7">
        <f>IFERROR(IF(OR(PRECIOS!B706="",PRECIOS!B705=""),"",PRECIOS!B706/PRECIOS!B705-1),"")</f>
        <v>-0.01705923104</v>
      </c>
      <c r="C706" s="7">
        <f>IFERROR(IF(OR(PRECIOS!C706="",PRECIOS!C705=""),"",PRECIOS!C706/PRECIOS!C705-1),"")</f>
        <v>-0.01931630449</v>
      </c>
      <c r="D706" s="7">
        <f>IFERROR(IF(OR(PRECIOS!D706="",PRECIOS!D705=""),"",PRECIOS!D706/PRECIOS!D705-1),"")</f>
        <v>0.01973056115</v>
      </c>
      <c r="E706" s="7">
        <f>IFERROR(IF(OR(PRECIOS!E706="",PRECIOS!E705=""),"",PRECIOS!E706/PRECIOS!E705-1),"")</f>
        <v>0.00666309715</v>
      </c>
      <c r="F706" s="7">
        <f>IFERROR(IF(OR(PRECIOS!F706="",PRECIOS!F705=""),"",PRECIOS!F706/PRECIOS!F705-1),"")</f>
        <v>-0.0192926045</v>
      </c>
      <c r="G706" s="7">
        <f>IFERROR(IF(OR(PRECIOS!G706="",PRECIOS!G705=""),"",PRECIOS!G706/PRECIOS!G705-1),"")</f>
        <v>-0.01498035363</v>
      </c>
      <c r="H706" s="7">
        <f>IFERROR(IF(OR(PRECIOS!H706="",PRECIOS!H705=""),"",PRECIOS!H706/PRECIOS!H705-1),"")</f>
        <v>-0.009121254017</v>
      </c>
      <c r="I706" s="7">
        <f>IFERROR(IF(OR(PRECIOS!I706="",PRECIOS!I705=""),"",PRECIOS!I706/PRECIOS!I705-1),"")</f>
        <v>-0.01694365271</v>
      </c>
    </row>
    <row r="707" ht="15.75" customHeight="1">
      <c r="A707" s="4">
        <f>IF(PRECIOS!A707="","",PRECIOS!A707)</f>
        <v>45436</v>
      </c>
      <c r="B707" s="7">
        <f>IFERROR(IF(OR(PRECIOS!B707="",PRECIOS!B706=""),"",PRECIOS!B707/PRECIOS!B706-1),"")</f>
        <v>-0.0007928816844</v>
      </c>
      <c r="C707" s="7">
        <f>IFERROR(IF(OR(PRECIOS!C707="",PRECIOS!C706=""),"",PRECIOS!C707/PRECIOS!C706-1),"")</f>
        <v>0.007515874044</v>
      </c>
      <c r="D707" s="7">
        <f>IFERROR(IF(OR(PRECIOS!D707="",PRECIOS!D706=""),"",PRECIOS!D707/PRECIOS!D706-1),"")</f>
        <v>0.06210340164</v>
      </c>
      <c r="E707" s="7">
        <f>IFERROR(IF(OR(PRECIOS!E707="",PRECIOS!E706=""),"",PRECIOS!E707/PRECIOS!E706-1),"")</f>
        <v>0.007298623013</v>
      </c>
      <c r="F707" s="7">
        <f>IFERROR(IF(OR(PRECIOS!F707="",PRECIOS!F706=""),"",PRECIOS!F707/PRECIOS!F706-1),"")</f>
        <v>-0.01592505855</v>
      </c>
      <c r="G707" s="7">
        <f>IFERROR(IF(OR(PRECIOS!G707="",PRECIOS!G706=""),"",PRECIOS!G707/PRECIOS!G706-1),"")</f>
        <v>0.0004986287709</v>
      </c>
      <c r="H707" s="7">
        <f>IFERROR(IF(OR(PRECIOS!H707="",PRECIOS!H706=""),"",PRECIOS!H707/PRECIOS!H706-1),"")</f>
        <v>0.001425473726</v>
      </c>
      <c r="I707" s="7">
        <f>IFERROR(IF(OR(PRECIOS!I707="",PRECIOS!I706=""),"",PRECIOS!I707/PRECIOS!I706-1),"")</f>
        <v>0.01003036169</v>
      </c>
    </row>
    <row r="708" ht="15.75" customHeight="1">
      <c r="A708" s="4">
        <f>IF(PRECIOS!A708="","",PRECIOS!A708)</f>
        <v>45440</v>
      </c>
      <c r="B708" s="7">
        <f>IFERROR(IF(OR(PRECIOS!B708="",PRECIOS!B707=""),"",PRECIOS!B708/PRECIOS!B707-1),"")</f>
        <v>0.01269617351</v>
      </c>
      <c r="C708" s="7">
        <f>IFERROR(IF(OR(PRECIOS!C708="",PRECIOS!C707=""),"",PRECIOS!C708/PRECIOS!C707-1),"")</f>
        <v>-0.00270096463</v>
      </c>
      <c r="D708" s="7">
        <f>IFERROR(IF(OR(PRECIOS!D708="",PRECIOS!D707=""),"",PRECIOS!D708/PRECIOS!D707-1),"")</f>
        <v>0.04015670911</v>
      </c>
      <c r="E708" s="7">
        <f>IFERROR(IF(OR(PRECIOS!E708="",PRECIOS!E707=""),"",PRECIOS!E708/PRECIOS!E707-1),"")</f>
        <v>-0.01035524656</v>
      </c>
      <c r="F708" s="7">
        <f>IFERROR(IF(OR(PRECIOS!F708="",PRECIOS!F707=""),"",PRECIOS!F708/PRECIOS!F707-1),"")</f>
        <v>0.05901951452</v>
      </c>
      <c r="G708" s="7">
        <f>IFERROR(IF(OR(PRECIOS!G708="",PRECIOS!G707=""),"",PRECIOS!G708/PRECIOS!G707-1),"")</f>
        <v>0.01345626713</v>
      </c>
      <c r="H708" s="7">
        <f>IFERROR(IF(OR(PRECIOS!H708="",PRECIOS!H707=""),"",PRECIOS!H708/PRECIOS!H707-1),"")</f>
        <v>0.01028635811</v>
      </c>
      <c r="I708" s="7">
        <f>IFERROR(IF(OR(PRECIOS!I708="",PRECIOS!I707=""),"",PRECIOS!I708/PRECIOS!I707-1),"")</f>
        <v>-0.0009833594385</v>
      </c>
    </row>
    <row r="709" ht="15.75" customHeight="1">
      <c r="A709" s="4">
        <f>IF(PRECIOS!A709="","",PRECIOS!A709)</f>
        <v>45441</v>
      </c>
      <c r="B709" s="7">
        <f>IFERROR(IF(OR(PRECIOS!B709="",PRECIOS!B708=""),"",PRECIOS!B709/PRECIOS!B708-1),"")</f>
        <v>-0.01070868884</v>
      </c>
      <c r="C709" s="7">
        <f>IFERROR(IF(OR(PRECIOS!C709="",PRECIOS!C708=""),"",PRECIOS!C709/PRECIOS!C708-1),"")</f>
        <v>-0.004384833634</v>
      </c>
      <c r="D709" s="7">
        <f>IFERROR(IF(OR(PRECIOS!D709="",PRECIOS!D708=""),"",PRECIOS!D709/PRECIOS!D708-1),"")</f>
        <v>-0.02429378531</v>
      </c>
      <c r="E709" s="7">
        <f>IFERROR(IF(OR(PRECIOS!E709="",PRECIOS!E708=""),"",PRECIOS!E709/PRECIOS!E708-1),"")</f>
        <v>-0.01324994072</v>
      </c>
      <c r="F709" s="7">
        <f>IFERROR(IF(OR(PRECIOS!F709="",PRECIOS!F708=""),"",PRECIOS!F709/PRECIOS!F708-1),"")</f>
        <v>0.009438202247</v>
      </c>
      <c r="G709" s="7">
        <f>IFERROR(IF(OR(PRECIOS!G709="",PRECIOS!G708=""),"",PRECIOS!G709/PRECIOS!G708-1),"")</f>
        <v>-0.01401524465</v>
      </c>
      <c r="H709" s="7">
        <f>IFERROR(IF(OR(PRECIOS!H709="",PRECIOS!H708=""),"",PRECIOS!H709/PRECIOS!H708-1),"")</f>
        <v>-0.01765549526</v>
      </c>
      <c r="I709" s="7">
        <f>IFERROR(IF(OR(PRECIOS!I709="",PRECIOS!I708=""),"",PRECIOS!I709/PRECIOS!I708-1),"")</f>
        <v>-0.01287582739</v>
      </c>
    </row>
    <row r="710" ht="15.75" customHeight="1">
      <c r="A710" s="4">
        <f>IF(PRECIOS!A710="","",PRECIOS!A710)</f>
        <v>45442</v>
      </c>
      <c r="B710" s="7">
        <f>IFERROR(IF(OR(PRECIOS!B710="",PRECIOS!B709=""),"",PRECIOS!B710/PRECIOS!B709-1),"")</f>
        <v>0.003168177418</v>
      </c>
      <c r="C710" s="7">
        <f>IFERROR(IF(OR(PRECIOS!C710="",PRECIOS!C709=""),"",PRECIOS!C710/PRECIOS!C709-1),"")</f>
        <v>0.01139896373</v>
      </c>
      <c r="D710" s="7">
        <f>IFERROR(IF(OR(PRECIOS!D710="",PRECIOS!D709=""),"",PRECIOS!D710/PRECIOS!D709-1),"")</f>
        <v>0.01688863154</v>
      </c>
      <c r="E710" s="7">
        <f>IFERROR(IF(OR(PRECIOS!E710="",PRECIOS!E709=""),"",PRECIOS!E710/PRECIOS!E709-1),"")</f>
        <v>0.003935233861</v>
      </c>
      <c r="F710" s="7">
        <f>IFERROR(IF(OR(PRECIOS!F710="",PRECIOS!F709=""),"",PRECIOS!F710/PRECIOS!F709-1),"")</f>
        <v>0.06455921638</v>
      </c>
      <c r="G710" s="7">
        <f>IFERROR(IF(OR(PRECIOS!G710="",PRECIOS!G709=""),"",PRECIOS!G710/PRECIOS!G709-1),"")</f>
        <v>0.01346633416</v>
      </c>
      <c r="H710" s="7">
        <f>IFERROR(IF(OR(PRECIOS!H710="",PRECIOS!H709=""),"",PRECIOS!H710/PRECIOS!H709-1),"")</f>
        <v>0.002866213025</v>
      </c>
      <c r="I710" s="7">
        <f>IFERROR(IF(OR(PRECIOS!I710="",PRECIOS!I709=""),"",PRECIOS!I710/PRECIOS!I709-1),"")</f>
        <v>0.01347369301</v>
      </c>
    </row>
    <row r="711" ht="15.75" customHeight="1">
      <c r="A711" s="4">
        <f>IF(PRECIOS!A711="","",PRECIOS!A711)</f>
        <v>45443</v>
      </c>
      <c r="B711" s="7">
        <f>IFERROR(IF(OR(PRECIOS!B711="",PRECIOS!B710=""),"",PRECIOS!B711/PRECIOS!B710-1),"")</f>
        <v>0.02868672691</v>
      </c>
      <c r="C711" s="7">
        <f>IFERROR(IF(OR(PRECIOS!C711="",PRECIOS!C710=""),"",PRECIOS!C711/PRECIOS!C710-1),"")</f>
        <v>0.02638319672</v>
      </c>
      <c r="D711" s="7">
        <f>IFERROR(IF(OR(PRECIOS!D711="",PRECIOS!D710=""),"",PRECIOS!D711/PRECIOS!D710-1),"")</f>
        <v>-0.05969441017</v>
      </c>
      <c r="E711" s="7">
        <f>IFERROR(IF(OR(PRECIOS!E711="",PRECIOS!E710=""),"",PRECIOS!E711/PRECIOS!E710-1),"")</f>
        <v>-0.004039497307</v>
      </c>
      <c r="F711" s="7">
        <f>IFERROR(IF(OR(PRECIOS!F711="",PRECIOS!F710=""),"",PRECIOS!F711/PRECIOS!F710-1),"")</f>
        <v>-0.02927645337</v>
      </c>
      <c r="G711" s="7">
        <f>IFERROR(IF(OR(PRECIOS!G711="",PRECIOS!G710=""),"",PRECIOS!G711/PRECIOS!G710-1),"")</f>
        <v>0.02140748031</v>
      </c>
      <c r="H711" s="7">
        <f>IFERROR(IF(OR(PRECIOS!H711="",PRECIOS!H710=""),"",PRECIOS!H711/PRECIOS!H710-1),"")</f>
        <v>0.02484871354</v>
      </c>
      <c r="I711" s="7">
        <f>IFERROR(IF(OR(PRECIOS!I711="",PRECIOS!I710=""),"",PRECIOS!I711/PRECIOS!I710-1),"")</f>
        <v>0.01763083939</v>
      </c>
    </row>
    <row r="712" ht="15.75" customHeight="1">
      <c r="A712" s="4">
        <f>IF(PRECIOS!A712="","",PRECIOS!A712)</f>
        <v>45446</v>
      </c>
      <c r="B712" s="7">
        <f>IFERROR(IF(OR(PRECIOS!B712="",PRECIOS!B711=""),"",PRECIOS!B712/PRECIOS!B711-1),"")</f>
        <v>-0.02396384104</v>
      </c>
      <c r="C712" s="7">
        <f>IFERROR(IF(OR(PRECIOS!C712="",PRECIOS!C711=""),"",PRECIOS!C712/PRECIOS!C711-1),"")</f>
        <v>0.003119540804</v>
      </c>
      <c r="D712" s="7">
        <f>IFERROR(IF(OR(PRECIOS!D712="",PRECIOS!D711=""),"",PRECIOS!D712/PRECIOS!D711-1),"")</f>
        <v>-0.05884134033</v>
      </c>
      <c r="E712" s="7">
        <f>IFERROR(IF(OR(PRECIOS!E712="",PRECIOS!E711=""),"",PRECIOS!E712/PRECIOS!E711-1),"")</f>
        <v>-0.0252065495</v>
      </c>
      <c r="F712" s="7">
        <f>IFERROR(IF(OR(PRECIOS!F712="",PRECIOS!F711=""),"",PRECIOS!F712/PRECIOS!F711-1),"")</f>
        <v>-0.0478242137</v>
      </c>
      <c r="G712" s="7">
        <f>IFERROR(IF(OR(PRECIOS!G712="",PRECIOS!G711=""),"",PRECIOS!G712/PRECIOS!G711-1),"")</f>
        <v>-0.01276800771</v>
      </c>
      <c r="H712" s="7">
        <f>IFERROR(IF(OR(PRECIOS!H712="",PRECIOS!H711=""),"",PRECIOS!H712/PRECIOS!H711-1),"")</f>
        <v>-0.02618037847</v>
      </c>
      <c r="I712" s="7">
        <f>IFERROR(IF(OR(PRECIOS!I712="",PRECIOS!I711=""),"",PRECIOS!I712/PRECIOS!I711-1),"")</f>
        <v>-0.01141130188</v>
      </c>
    </row>
    <row r="713" ht="15.75" customHeight="1">
      <c r="A713" s="4">
        <f>IF(PRECIOS!A713="","",PRECIOS!A713)</f>
        <v>45447</v>
      </c>
      <c r="B713" s="7">
        <f>IFERROR(IF(OR(PRECIOS!B713="",PRECIOS!B712=""),"",PRECIOS!B713/PRECIOS!B712-1),"")</f>
        <v>-0.01555264308</v>
      </c>
      <c r="C713" s="7">
        <f>IFERROR(IF(OR(PRECIOS!C713="",PRECIOS!C712=""),"",PRECIOS!C713/PRECIOS!C712-1),"")</f>
        <v>0.003980594601</v>
      </c>
      <c r="D713" s="7">
        <f>IFERROR(IF(OR(PRECIOS!D713="",PRECIOS!D712=""),"",PRECIOS!D713/PRECIOS!D712-1),"")</f>
        <v>-0.03967828418</v>
      </c>
      <c r="E713" s="7">
        <f>IFERROR(IF(OR(PRECIOS!E713="",PRECIOS!E712=""),"",PRECIOS!E713/PRECIOS!E712-1),"")</f>
        <v>-0.02555014486</v>
      </c>
      <c r="F713" s="7">
        <f>IFERROR(IF(OR(PRECIOS!F713="",PRECIOS!F712=""),"",PRECIOS!F713/PRECIOS!F712-1),"")</f>
        <v>-0.08235294118</v>
      </c>
      <c r="G713" s="7">
        <f>IFERROR(IF(OR(PRECIOS!G713="",PRECIOS!G712=""),"",PRECIOS!G713/PRECIOS!G712-1),"")</f>
        <v>0.008296730112</v>
      </c>
      <c r="H713" s="7">
        <f>IFERROR(IF(OR(PRECIOS!H713="",PRECIOS!H712=""),"",PRECIOS!H713/PRECIOS!H712-1),"")</f>
        <v>-0.009585335627</v>
      </c>
      <c r="I713" s="7">
        <f>IFERROR(IF(OR(PRECIOS!I713="",PRECIOS!I712=""),"",PRECIOS!I713/PRECIOS!I712-1),"")</f>
        <v>-0.0004158065036</v>
      </c>
    </row>
    <row r="714" ht="15.75" customHeight="1">
      <c r="A714" s="4">
        <f>IF(PRECIOS!A714="","",PRECIOS!A714)</f>
        <v>45448</v>
      </c>
      <c r="B714" s="7">
        <f>IFERROR(IF(OR(PRECIOS!B714="",PRECIOS!B713=""),"",PRECIOS!B714/PRECIOS!B713-1),"")</f>
        <v>0.003993964676</v>
      </c>
      <c r="C714" s="7">
        <f>IFERROR(IF(OR(PRECIOS!C714="",PRECIOS!C713=""),"",PRECIOS!C714/PRECIOS!C713-1),"")</f>
        <v>-0.01598314955</v>
      </c>
      <c r="D714" s="7">
        <f>IFERROR(IF(OR(PRECIOS!D714="",PRECIOS!D713=""),"",PRECIOS!D714/PRECIOS!D713-1),"")</f>
        <v>0.02735901731</v>
      </c>
      <c r="E714" s="7">
        <f>IFERROR(IF(OR(PRECIOS!E714="",PRECIOS!E713=""),"",PRECIOS!E714/PRECIOS!E713-1),"")</f>
        <v>0.03295695354</v>
      </c>
      <c r="F714" s="7">
        <f>IFERROR(IF(OR(PRECIOS!F714="",PRECIOS!F713=""),"",PRECIOS!F714/PRECIOS!F713-1),"")</f>
        <v>0.02613412229</v>
      </c>
      <c r="G714" s="7">
        <f>IFERROR(IF(OR(PRECIOS!G714="",PRECIOS!G713=""),"",PRECIOS!G714/PRECIOS!G713-1),"")</f>
        <v>0.006292352372</v>
      </c>
      <c r="H714" s="7">
        <f>IFERROR(IF(OR(PRECIOS!H714="",PRECIOS!H713=""),"",PRECIOS!H714/PRECIOS!H713-1),"")</f>
        <v>-0.0001107550193</v>
      </c>
      <c r="I714" s="7">
        <f>IFERROR(IF(OR(PRECIOS!I714="",PRECIOS!I713=""),"",PRECIOS!I714/PRECIOS!I713-1),"")</f>
        <v>-0.005712394138</v>
      </c>
    </row>
    <row r="715" ht="15.75" customHeight="1">
      <c r="A715" s="4">
        <f>IF(PRECIOS!A715="","",PRECIOS!A715)</f>
        <v>45449</v>
      </c>
      <c r="B715" s="7">
        <f>IFERROR(IF(OR(PRECIOS!B715="",PRECIOS!B714=""),"",PRECIOS!B715/PRECIOS!B714-1),"")</f>
        <v>0.007514144272</v>
      </c>
      <c r="C715" s="7">
        <f>IFERROR(IF(OR(PRECIOS!C715="",PRECIOS!C714=""),"",PRECIOS!C715/PRECIOS!C714-1),"")</f>
        <v>-0.009695290859</v>
      </c>
      <c r="D715" s="7">
        <f>IFERROR(IF(OR(PRECIOS!D715="",PRECIOS!D714=""),"",PRECIOS!D715/PRECIOS!D714-1),"")</f>
        <v>-0.06239130435</v>
      </c>
      <c r="E715" s="7">
        <f>IFERROR(IF(OR(PRECIOS!E715="",PRECIOS!E714=""),"",PRECIOS!E715/PRECIOS!E714-1),"")</f>
        <v>-0.04020331302</v>
      </c>
      <c r="F715" s="7">
        <f>IFERROR(IF(OR(PRECIOS!F715="",PRECIOS!F714=""),"",PRECIOS!F715/PRECIOS!F714-1),"")</f>
        <v>-0.0341182124</v>
      </c>
      <c r="G715" s="7">
        <f>IFERROR(IF(OR(PRECIOS!G715="",PRECIOS!G714=""),"",PRECIOS!G715/PRECIOS!G714-1),"")</f>
        <v>-0.003848003848</v>
      </c>
      <c r="H715" s="7">
        <f>IFERROR(IF(OR(PRECIOS!H715="",PRECIOS!H714=""),"",PRECIOS!H715/PRECIOS!H714-1),"")</f>
        <v>0.005229630014</v>
      </c>
      <c r="I715" s="7">
        <f>IFERROR(IF(OR(PRECIOS!I715="",PRECIOS!I714=""),"",PRECIOS!I715/PRECIOS!I714-1),"")</f>
        <v>-0.01035316856</v>
      </c>
    </row>
    <row r="716" ht="15.75" customHeight="1">
      <c r="A716" s="4">
        <f>IF(PRECIOS!A716="","",PRECIOS!A716)</f>
        <v>45450</v>
      </c>
      <c r="B716" s="7">
        <f>IFERROR(IF(OR(PRECIOS!B716="",PRECIOS!B715=""),"",PRECIOS!B716/PRECIOS!B715-1),"")</f>
        <v>-0.01070457138</v>
      </c>
      <c r="C716" s="7">
        <f>IFERROR(IF(OR(PRECIOS!C716="",PRECIOS!C715=""),"",PRECIOS!C716/PRECIOS!C715-1),"")</f>
        <v>-0.0090273363</v>
      </c>
      <c r="D716" s="7">
        <f>IFERROR(IF(OR(PRECIOS!D716="",PRECIOS!D715=""),"",PRECIOS!D716/PRECIOS!D715-1),"")</f>
        <v>-0.01379550197</v>
      </c>
      <c r="E716" s="7">
        <f>IFERROR(IF(OR(PRECIOS!E716="",PRECIOS!E715=""),"",PRECIOS!E716/PRECIOS!E715-1),"")</f>
        <v>0.004370573598</v>
      </c>
      <c r="F716" s="7">
        <f>IFERROR(IF(OR(PRECIOS!F716="",PRECIOS!F715=""),"",PRECIOS!F716/PRECIOS!F715-1),"")</f>
        <v>-0.003980099502</v>
      </c>
      <c r="G716" s="7">
        <f>IFERROR(IF(OR(PRECIOS!G716="",PRECIOS!G715=""),"",PRECIOS!G716/PRECIOS!G715-1),"")</f>
        <v>-0.01738290681</v>
      </c>
      <c r="H716" s="7">
        <f>IFERROR(IF(OR(PRECIOS!H716="",PRECIOS!H715=""),"",PRECIOS!H716/PRECIOS!H715-1),"")</f>
        <v>-0.003985632965</v>
      </c>
      <c r="I716" s="7">
        <f>IFERROR(IF(OR(PRECIOS!I716="",PRECIOS!I715=""),"",PRECIOS!I716/PRECIOS!I715-1),"")</f>
        <v>-0.0108901783</v>
      </c>
    </row>
    <row r="717" ht="15.75" customHeight="1">
      <c r="A717" s="4">
        <f>IF(PRECIOS!A717="","",PRECIOS!A717)</f>
        <v>45453</v>
      </c>
      <c r="B717" s="7">
        <f>IFERROR(IF(OR(PRECIOS!B717="",PRECIOS!B716=""),"",PRECIOS!B717/PRECIOS!B716-1),"")</f>
        <v>0.002926829268</v>
      </c>
      <c r="C717" s="7">
        <f>IFERROR(IF(OR(PRECIOS!C717="",PRECIOS!C716=""),"",PRECIOS!C717/PRECIOS!C716-1),"")</f>
        <v>0.01321529382</v>
      </c>
      <c r="D717" s="7">
        <f>IFERROR(IF(OR(PRECIOS!D717="",PRECIOS!D716=""),"",PRECIOS!D717/PRECIOS!D716-1),"")</f>
        <v>0.03702832961</v>
      </c>
      <c r="E717" s="7">
        <f>IFERROR(IF(OR(PRECIOS!E717="",PRECIOS!E716=""),"",PRECIOS!E717/PRECIOS!E716-1),"")</f>
        <v>0.02588698663</v>
      </c>
      <c r="F717" s="7">
        <f>IFERROR(IF(OR(PRECIOS!F717="",PRECIOS!F716=""),"",PRECIOS!F717/PRECIOS!F716-1),"")</f>
        <v>0.04045954046</v>
      </c>
      <c r="G717" s="7">
        <f>IFERROR(IF(OR(PRECIOS!G717="",PRECIOS!G716=""),"",PRECIOS!G717/PRECIOS!G716-1),"")</f>
        <v>0.01867321867</v>
      </c>
      <c r="H717" s="7">
        <f>IFERROR(IF(OR(PRECIOS!H717="",PRECIOS!H716=""),"",PRECIOS!H717/PRECIOS!H716-1),"")</f>
        <v>0.007558281862</v>
      </c>
      <c r="I717" s="7">
        <f>IFERROR(IF(OR(PRECIOS!I717="",PRECIOS!I716=""),"",PRECIOS!I717/PRECIOS!I716-1),"")</f>
        <v>0.01287017557</v>
      </c>
    </row>
    <row r="718" ht="15.75" customHeight="1">
      <c r="A718" s="4">
        <f>IF(PRECIOS!A718="","",PRECIOS!A718)</f>
        <v>45454</v>
      </c>
      <c r="B718" s="7">
        <f>IFERROR(IF(OR(PRECIOS!B718="",PRECIOS!B717=""),"",PRECIOS!B718/PRECIOS!B717-1),"")</f>
        <v>-0.008047400071</v>
      </c>
      <c r="C718" s="7">
        <f>IFERROR(IF(OR(PRECIOS!C718="",PRECIOS!C717=""),"",PRECIOS!C718/PRECIOS!C717-1),"")</f>
        <v>-0.0059516272</v>
      </c>
      <c r="D718" s="7">
        <f>IFERROR(IF(OR(PRECIOS!D718="",PRECIOS!D717=""),"",PRECIOS!D718/PRECIOS!D717-1),"")</f>
        <v>0.03400589436</v>
      </c>
      <c r="E718" s="7">
        <f>IFERROR(IF(OR(PRECIOS!E718="",PRECIOS!E717=""),"",PRECIOS!E718/PRECIOS!E717-1),"")</f>
        <v>-0.01179639606</v>
      </c>
      <c r="F718" s="7">
        <f>IFERROR(IF(OR(PRECIOS!F718="",PRECIOS!F717=""),"",PRECIOS!F718/PRECIOS!F717-1),"")</f>
        <v>-0.02688430149</v>
      </c>
      <c r="G718" s="7">
        <f>IFERROR(IF(OR(PRECIOS!G718="",PRECIOS!G717=""),"",PRECIOS!G718/PRECIOS!G717-1),"")</f>
        <v>-0.002170767004</v>
      </c>
      <c r="H718" s="7">
        <f>IFERROR(IF(OR(PRECIOS!H718="",PRECIOS!H717=""),"",PRECIOS!H718/PRECIOS!H717-1),"")</f>
        <v>-0.001988118016</v>
      </c>
      <c r="I718" s="7">
        <f>IFERROR(IF(OR(PRECIOS!I718="",PRECIOS!I717=""),"",PRECIOS!I718/PRECIOS!I717-1),"")</f>
        <v>-0.006068044111</v>
      </c>
    </row>
    <row r="719" ht="15.75" customHeight="1">
      <c r="A719" s="4">
        <f>IF(PRECIOS!A719="","",PRECIOS!A719)</f>
        <v>45455</v>
      </c>
      <c r="B719" s="7">
        <f>IFERROR(IF(OR(PRECIOS!B719="",PRECIOS!B718=""),"",PRECIOS!B719/PRECIOS!B718-1),"")</f>
        <v>-0.01105464919</v>
      </c>
      <c r="C719" s="7">
        <f>IFERROR(IF(OR(PRECIOS!C719="",PRECIOS!C718=""),"",PRECIOS!C719/PRECIOS!C718-1),"")</f>
        <v>-0.0007643312102</v>
      </c>
      <c r="D719" s="7">
        <f>IFERROR(IF(OR(PRECIOS!D719="",PRECIOS!D718=""),"",PRECIOS!D719/PRECIOS!D718-1),"")</f>
        <v>-0.007235255426</v>
      </c>
      <c r="E719" s="7">
        <f>IFERROR(IF(OR(PRECIOS!E719="",PRECIOS!E718=""),"",PRECIOS!E719/PRECIOS!E718-1),"")</f>
        <v>0.02506501238</v>
      </c>
      <c r="F719" s="7">
        <f>IFERROR(IF(OR(PRECIOS!F719="",PRECIOS!F718=""),"",PRECIOS!F719/PRECIOS!F718-1),"")</f>
        <v>0.01973359645</v>
      </c>
      <c r="G719" s="7">
        <f>IFERROR(IF(OR(PRECIOS!G719="",PRECIOS!G718=""),"",PRECIOS!G719/PRECIOS!G718-1),"")</f>
        <v>0.00435097897</v>
      </c>
      <c r="H719" s="7">
        <f>IFERROR(IF(OR(PRECIOS!H719="",PRECIOS!H718=""),"",PRECIOS!H719/PRECIOS!H718-1),"")</f>
        <v>-0.01071883369</v>
      </c>
      <c r="I719" s="7">
        <f>IFERROR(IF(OR(PRECIOS!I719="",PRECIOS!I718=""),"",PRECIOS!I719/PRECIOS!I718-1),"")</f>
        <v>-0.006538605277</v>
      </c>
    </row>
    <row r="720" ht="15.75" customHeight="1">
      <c r="A720" s="4">
        <f>IF(PRECIOS!A720="","",PRECIOS!A720)</f>
        <v>45456</v>
      </c>
      <c r="B720" s="7">
        <f>IFERROR(IF(OR(PRECIOS!B720="",PRECIOS!B719=""),"",PRECIOS!B720/PRECIOS!B719-1),"")</f>
        <v>-0.008023077617</v>
      </c>
      <c r="C720" s="7">
        <f>IFERROR(IF(OR(PRECIOS!C720="",PRECIOS!C719=""),"",PRECIOS!C720/PRECIOS!C719-1),"")</f>
        <v>0.003187149414</v>
      </c>
      <c r="D720" s="7">
        <f>IFERROR(IF(OR(PRECIOS!D720="",PRECIOS!D719=""),"",PRECIOS!D720/PRECIOS!D719-1),"")</f>
        <v>-0.02385159011</v>
      </c>
      <c r="E720" s="7">
        <f>IFERROR(IF(OR(PRECIOS!E720="",PRECIOS!E719=""),"",PRECIOS!E720/PRECIOS!E719-1),"")</f>
        <v>0.003606687655</v>
      </c>
      <c r="F720" s="7">
        <f>IFERROR(IF(OR(PRECIOS!F720="",PRECIOS!F719=""),"",PRECIOS!F720/PRECIOS!F719-1),"")</f>
        <v>0.02418964683</v>
      </c>
      <c r="G720" s="7">
        <f>IFERROR(IF(OR(PRECIOS!G720="",PRECIOS!G719=""),"",PRECIOS!G720/PRECIOS!G719-1),"")</f>
        <v>-0.0007220216606</v>
      </c>
      <c r="H720" s="7">
        <f>IFERROR(IF(OR(PRECIOS!H720="",PRECIOS!H719=""),"",PRECIOS!H720/PRECIOS!H719-1),"")</f>
        <v>-0.00915968037</v>
      </c>
      <c r="I720" s="7">
        <f>IFERROR(IF(OR(PRECIOS!I720="",PRECIOS!I719=""),"",PRECIOS!I720/PRECIOS!I719-1),"")</f>
        <v>0.002290182011</v>
      </c>
    </row>
    <row r="721" ht="15.75" customHeight="1">
      <c r="A721" s="4">
        <f>IF(PRECIOS!A721="","",PRECIOS!A721)</f>
        <v>45457</v>
      </c>
      <c r="B721" s="7">
        <f>IFERROR(IF(OR(PRECIOS!B721="",PRECIOS!B720=""),"",PRECIOS!B721/PRECIOS!B720-1),"")</f>
        <v>-0.008451472192</v>
      </c>
      <c r="C721" s="7">
        <f>IFERROR(IF(OR(PRECIOS!C721="",PRECIOS!C720=""),"",PRECIOS!C721/PRECIOS!C720-1),"")</f>
        <v>-0.0005083238023</v>
      </c>
      <c r="D721" s="7">
        <f>IFERROR(IF(OR(PRECIOS!D721="",PRECIOS!D720=""),"",PRECIOS!D721/PRECIOS!D720-1),"")</f>
        <v>-0.009162895928</v>
      </c>
      <c r="E721" s="7">
        <f>IFERROR(IF(OR(PRECIOS!E721="",PRECIOS!E720=""),"",PRECIOS!E721/PRECIOS!E720-1),"")</f>
        <v>-0.02841480128</v>
      </c>
      <c r="F721" s="7">
        <f>IFERROR(IF(OR(PRECIOS!F721="",PRECIOS!F720=""),"",PRECIOS!F721/PRECIOS!F720-1),"")</f>
        <v>-0.01369863014</v>
      </c>
      <c r="G721" s="7">
        <f>IFERROR(IF(OR(PRECIOS!G721="",PRECIOS!G720=""),"",PRECIOS!G721/PRECIOS!G720-1),"")</f>
        <v>-0.008429672447</v>
      </c>
      <c r="H721" s="7">
        <f>IFERROR(IF(OR(PRECIOS!H721="",PRECIOS!H720=""),"",PRECIOS!H721/PRECIOS!H720-1),"")</f>
        <v>-0.007438948087</v>
      </c>
      <c r="I721" s="7">
        <f>IFERROR(IF(OR(PRECIOS!I721="",PRECIOS!I720=""),"",PRECIOS!I721/PRECIOS!I720-1),"")</f>
        <v>-0.002426069437</v>
      </c>
    </row>
    <row r="722" ht="15.75" customHeight="1">
      <c r="A722" s="4">
        <f>IF(PRECIOS!A722="","",PRECIOS!A722)</f>
        <v>45460</v>
      </c>
      <c r="B722" s="7">
        <f>IFERROR(IF(OR(PRECIOS!B722="",PRECIOS!B721=""),"",PRECIOS!B722/PRECIOS!B721-1),"")</f>
        <v>-0.006873797086</v>
      </c>
      <c r="C722" s="7">
        <f>IFERROR(IF(OR(PRECIOS!C722="",PRECIOS!C721=""),"",PRECIOS!C722/PRECIOS!C721-1),"")</f>
        <v>-0.01233312142</v>
      </c>
      <c r="D722" s="7">
        <f>IFERROR(IF(OR(PRECIOS!D722="",PRECIOS!D721=""),"",PRECIOS!D722/PRECIOS!D721-1),"")</f>
        <v>-0.04052974084</v>
      </c>
      <c r="E722" s="7">
        <f>IFERROR(IF(OR(PRECIOS!E722="",PRECIOS!E721=""),"",PRECIOS!E722/PRECIOS!E721-1),"")</f>
        <v>0.01977932418</v>
      </c>
      <c r="F722" s="7">
        <f>IFERROR(IF(OR(PRECIOS!F722="",PRECIOS!F721=""),"",PRECIOS!F722/PRECIOS!F721-1),"")</f>
        <v>-0.02107279693</v>
      </c>
      <c r="G722" s="7">
        <f>IFERROR(IF(OR(PRECIOS!G722="",PRECIOS!G721=""),"",PRECIOS!G722/PRECIOS!G721-1),"")</f>
        <v>0.002186057809</v>
      </c>
      <c r="H722" s="7">
        <f>IFERROR(IF(OR(PRECIOS!H722="",PRECIOS!H721=""),"",PRECIOS!H722/PRECIOS!H721-1),"")</f>
        <v>0.002615325761</v>
      </c>
      <c r="I722" s="7">
        <f>IFERROR(IF(OR(PRECIOS!I722="",PRECIOS!I721=""),"",PRECIOS!I722/PRECIOS!I721-1),"")</f>
        <v>-0.01100707017</v>
      </c>
    </row>
    <row r="723" ht="15.75" customHeight="1">
      <c r="A723" s="4">
        <f>IF(PRECIOS!A723="","",PRECIOS!A723)</f>
        <v>45461</v>
      </c>
      <c r="B723" s="7">
        <f>IFERROR(IF(OR(PRECIOS!B723="",PRECIOS!B722=""),"",PRECIOS!B723/PRECIOS!B722-1),"")</f>
        <v>0.009413067553</v>
      </c>
      <c r="C723" s="7">
        <f>IFERROR(IF(OR(PRECIOS!C723="",PRECIOS!C722=""),"",PRECIOS!C723/PRECIOS!C722-1),"")</f>
        <v>0.003347064882</v>
      </c>
      <c r="D723" s="7">
        <f>IFERROR(IF(OR(PRECIOS!D723="",PRECIOS!D722=""),"",PRECIOS!D723/PRECIOS!D722-1),"")</f>
        <v>0.04212279867</v>
      </c>
      <c r="E723" s="7">
        <f>IFERROR(IF(OR(PRECIOS!E723="",PRECIOS!E722=""),"",PRECIOS!E723/PRECIOS!E722-1),"")</f>
        <v>0.006946792488</v>
      </c>
      <c r="F723" s="7">
        <f>IFERROR(IF(OR(PRECIOS!F723="",PRECIOS!F722=""),"",PRECIOS!F723/PRECIOS!F722-1),"")</f>
        <v>0.02788649706</v>
      </c>
      <c r="G723" s="7">
        <f>IFERROR(IF(OR(PRECIOS!G723="",PRECIOS!G722=""),"",PRECIOS!G723/PRECIOS!G722-1),"")</f>
        <v>0.01333010179</v>
      </c>
      <c r="H723" s="7">
        <f>IFERROR(IF(OR(PRECIOS!H723="",PRECIOS!H722=""),"",PRECIOS!H723/PRECIOS!H722-1),"")</f>
        <v>0.004192323752</v>
      </c>
      <c r="I723" s="7">
        <f>IFERROR(IF(OR(PRECIOS!I723="",PRECIOS!I722=""),"",PRECIOS!I723/PRECIOS!I722-1),"")</f>
        <v>0.0004321573783</v>
      </c>
    </row>
    <row r="724" ht="15.75" customHeight="1">
      <c r="A724" s="4">
        <f>IF(PRECIOS!A724="","",PRECIOS!A724)</f>
        <v>45463</v>
      </c>
      <c r="B724" s="7">
        <f>IFERROR(IF(OR(PRECIOS!B724="",PRECIOS!B723=""),"",PRECIOS!B724/PRECIOS!B723-1),"")</f>
        <v>0.02157615652</v>
      </c>
      <c r="C724" s="7">
        <f>IFERROR(IF(OR(PRECIOS!C724="",PRECIOS!C723=""),"",PRECIOS!C724/PRECIOS!C723-1),"")</f>
        <v>0.01193225558</v>
      </c>
      <c r="D724" s="7">
        <f>IFERROR(IF(OR(PRECIOS!D724="",PRECIOS!D723=""),"",PRECIOS!D724/PRECIOS!D723-1),"")</f>
        <v>0.006965060516</v>
      </c>
      <c r="E724" s="7">
        <f>IFERROR(IF(OR(PRECIOS!E724="",PRECIOS!E723=""),"",PRECIOS!E724/PRECIOS!E723-1),"")</f>
        <v>-0.01327879361</v>
      </c>
      <c r="F724" s="7">
        <f>IFERROR(IF(OR(PRECIOS!F724="",PRECIOS!F723=""),"",PRECIOS!F724/PRECIOS!F723-1),"")</f>
        <v>-0.01189909567</v>
      </c>
      <c r="G724" s="7">
        <f>IFERROR(IF(OR(PRECIOS!G724="",PRECIOS!G723=""),"",PRECIOS!G724/PRECIOS!G723-1),"")</f>
        <v>0.01411145659</v>
      </c>
      <c r="H724" s="7">
        <f>IFERROR(IF(OR(PRECIOS!H724="",PRECIOS!H723=""),"",PRECIOS!H724/PRECIOS!H723-1),"")</f>
        <v>0.01838403101</v>
      </c>
      <c r="I724" s="7">
        <f>IFERROR(IF(OR(PRECIOS!I724="",PRECIOS!I723=""),"",PRECIOS!I724/PRECIOS!I723-1),"")</f>
        <v>0.008669834452</v>
      </c>
    </row>
    <row r="725" ht="15.75" customHeight="1">
      <c r="A725" s="4">
        <f>IF(PRECIOS!A725="","",PRECIOS!A725)</f>
        <v>45464</v>
      </c>
      <c r="B725" s="7">
        <f>IFERROR(IF(OR(PRECIOS!B725="",PRECIOS!B724=""),"",PRECIOS!B725/PRECIOS!B724-1),"")</f>
        <v>-0.008770359764</v>
      </c>
      <c r="C725" s="7">
        <f>IFERROR(IF(OR(PRECIOS!C725="",PRECIOS!C724=""),"",PRECIOS!C725/PRECIOS!C724-1),"")</f>
        <v>-0.005198427793</v>
      </c>
      <c r="D725" s="7">
        <f>IFERROR(IF(OR(PRECIOS!D725="",PRECIOS!D724=""),"",PRECIOS!D725/PRECIOS!D724-1),"")</f>
        <v>-0.01508107495</v>
      </c>
      <c r="E725" s="7">
        <f>IFERROR(IF(OR(PRECIOS!E725="",PRECIOS!E724=""),"",PRECIOS!E725/PRECIOS!E724-1),"")</f>
        <v>-0.00983789135</v>
      </c>
      <c r="F725" s="7">
        <f>IFERROR(IF(OR(PRECIOS!F725="",PRECIOS!F724=""),"",PRECIOS!F725/PRECIOS!F724-1),"")</f>
        <v>-0.02215799615</v>
      </c>
      <c r="G725" s="7">
        <f>IFERROR(IF(OR(PRECIOS!G725="",PRECIOS!G724=""),"",PRECIOS!G725/PRECIOS!G724-1),"")</f>
        <v>-0.008018867925</v>
      </c>
      <c r="H725" s="7">
        <f>IFERROR(IF(OR(PRECIOS!H725="",PRECIOS!H724=""),"",PRECIOS!H725/PRECIOS!H724-1),"")</f>
        <v>-0.005758481676</v>
      </c>
      <c r="I725" s="7">
        <f>IFERROR(IF(OR(PRECIOS!I725="",PRECIOS!I724=""),"",PRECIOS!I725/PRECIOS!I724-1),"")</f>
        <v>-0.005871956957</v>
      </c>
    </row>
    <row r="726" ht="15.75" customHeight="1">
      <c r="A726" s="4">
        <f>IF(PRECIOS!A726="","",PRECIOS!A726)</f>
        <v>45467</v>
      </c>
      <c r="B726" s="7">
        <f>IFERROR(IF(OR(PRECIOS!B726="",PRECIOS!B725=""),"",PRECIOS!B726/PRECIOS!B725-1),"")</f>
        <v>0.02970386421</v>
      </c>
      <c r="C726" s="7">
        <f>IFERROR(IF(OR(PRECIOS!C726="",PRECIOS!C725=""),"",PRECIOS!C726/PRECIOS!C725-1),"")</f>
        <v>0.01121590619</v>
      </c>
      <c r="D726" s="7">
        <f>IFERROR(IF(OR(PRECIOS!D726="",PRECIOS!D725=""),"",PRECIOS!D726/PRECIOS!D725-1),"")</f>
        <v>0.01577250748</v>
      </c>
      <c r="E726" s="7">
        <f>IFERROR(IF(OR(PRECIOS!E726="",PRECIOS!E725=""),"",PRECIOS!E726/PRECIOS!E725-1),"")</f>
        <v>0.006311316628</v>
      </c>
      <c r="F726" s="7">
        <f>IFERROR(IF(OR(PRECIOS!F726="",PRECIOS!F725=""),"",PRECIOS!F726/PRECIOS!F725-1),"")</f>
        <v>0.02315270936</v>
      </c>
      <c r="G726" s="7">
        <f>IFERROR(IF(OR(PRECIOS!G726="",PRECIOS!G725=""),"",PRECIOS!G726/PRECIOS!G725-1),"")</f>
        <v>0.02496433666</v>
      </c>
      <c r="H726" s="7">
        <f>IFERROR(IF(OR(PRECIOS!H726="",PRECIOS!H725=""),"",PRECIOS!H726/PRECIOS!H725-1),"")</f>
        <v>0.02521123436</v>
      </c>
      <c r="I726" s="7">
        <f>IFERROR(IF(OR(PRECIOS!I726="",PRECIOS!I725=""),"",PRECIOS!I726/PRECIOS!I725-1),"")</f>
        <v>0.01314508129</v>
      </c>
    </row>
    <row r="727" ht="15.75" customHeight="1">
      <c r="A727" s="4">
        <f>IF(PRECIOS!A727="","",PRECIOS!A727)</f>
        <v>45468</v>
      </c>
      <c r="B727" s="7">
        <f>IFERROR(IF(OR(PRECIOS!B727="",PRECIOS!B726=""),"",PRECIOS!B727/PRECIOS!B726-1),"")</f>
        <v>0.002805786936</v>
      </c>
      <c r="C727" s="7">
        <f>IFERROR(IF(OR(PRECIOS!C727="",PRECIOS!C726=""),"",PRECIOS!C727/PRECIOS!C726-1),"")</f>
        <v>-0.01663725737</v>
      </c>
      <c r="D727" s="7">
        <f>IFERROR(IF(OR(PRECIOS!D727="",PRECIOS!D726=""),"",PRECIOS!D727/PRECIOS!D726-1),"")</f>
        <v>0.01337413578</v>
      </c>
      <c r="E727" s="7">
        <f>IFERROR(IF(OR(PRECIOS!E727="",PRECIOS!E726=""),"",PRECIOS!E727/PRECIOS!E726-1),"")</f>
        <v>0.002111276701</v>
      </c>
      <c r="F727" s="7">
        <f>IFERROR(IF(OR(PRECIOS!F727="",PRECIOS!F726=""),"",PRECIOS!F727/PRECIOS!F726-1),"")</f>
        <v>0.002407318247</v>
      </c>
      <c r="G727" s="7">
        <f>IFERROR(IF(OR(PRECIOS!G727="",PRECIOS!G726=""),"",PRECIOS!G727/PRECIOS!G726-1),"")</f>
        <v>-0.00510322431</v>
      </c>
      <c r="H727" s="7">
        <f>IFERROR(IF(OR(PRECIOS!H727="",PRECIOS!H726=""),"",PRECIOS!H727/PRECIOS!H726-1),"")</f>
        <v>0.002299819053</v>
      </c>
      <c r="I727" s="7">
        <f>IFERROR(IF(OR(PRECIOS!I727="",PRECIOS!I726=""),"",PRECIOS!I727/PRECIOS!I726-1),"")</f>
        <v>-0.009462154377</v>
      </c>
    </row>
    <row r="728" ht="15.75" customHeight="1">
      <c r="A728" s="4">
        <f>IF(PRECIOS!A728="","",PRECIOS!A728)</f>
        <v>45469</v>
      </c>
      <c r="B728" s="7">
        <f>IFERROR(IF(OR(PRECIOS!B728="",PRECIOS!B727=""),"",PRECIOS!B728/PRECIOS!B727-1),"")</f>
        <v>0.0003497420652</v>
      </c>
      <c r="C728" s="7">
        <f>IFERROR(IF(OR(PRECIOS!C728="",PRECIOS!C727=""),"",PRECIOS!C728/PRECIOS!C727-1),"")</f>
        <v>0.002435273007</v>
      </c>
      <c r="D728" s="7">
        <f>IFERROR(IF(OR(PRECIOS!D728="",PRECIOS!D727=""),"",PRECIOS!D728/PRECIOS!D727-1),"")</f>
        <v>-0.03914550945</v>
      </c>
      <c r="E728" s="7">
        <f>IFERROR(IF(OR(PRECIOS!E728="",PRECIOS!E727=""),"",PRECIOS!E728/PRECIOS!E727-1),"")</f>
        <v>-0.02320609741</v>
      </c>
      <c r="F728" s="7">
        <f>IFERROR(IF(OR(PRECIOS!F728="",PRECIOS!F727=""),"",PRECIOS!F728/PRECIOS!F727-1),"")</f>
        <v>-0.02593659942</v>
      </c>
      <c r="G728" s="7">
        <f>IFERROR(IF(OR(PRECIOS!G728="",PRECIOS!G727=""),"",PRECIOS!G728/PRECIOS!G727-1),"")</f>
        <v>-0.01398927489</v>
      </c>
      <c r="H728" s="7">
        <f>IFERROR(IF(OR(PRECIOS!H728="",PRECIOS!H727=""),"",PRECIOS!H728/PRECIOS!H727-1),"")</f>
        <v>-0.00983736084</v>
      </c>
      <c r="I728" s="7">
        <f>IFERROR(IF(OR(PRECIOS!I728="",PRECIOS!I727=""),"",PRECIOS!I728/PRECIOS!I727-1),"")</f>
        <v>-0.004198886343</v>
      </c>
    </row>
    <row r="729" ht="15.75" customHeight="1">
      <c r="A729" s="4">
        <f>IF(PRECIOS!A729="","",PRECIOS!A729)</f>
        <v>45470</v>
      </c>
      <c r="B729" s="7">
        <f>IFERROR(IF(OR(PRECIOS!B729="",PRECIOS!B728=""),"",PRECIOS!B729/PRECIOS!B728-1),"")</f>
        <v>0.004282842409</v>
      </c>
      <c r="C729" s="7">
        <f>IFERROR(IF(OR(PRECIOS!C729="",PRECIOS!C728=""),"",PRECIOS!C729/PRECIOS!C728-1),"")</f>
        <v>-0.002173635085</v>
      </c>
      <c r="D729" s="7">
        <f>IFERROR(IF(OR(PRECIOS!D729="",PRECIOS!D728=""),"",PRECIOS!D729/PRECIOS!D728-1),"")</f>
        <v>0.01524851589</v>
      </c>
      <c r="E729" s="7">
        <f>IFERROR(IF(OR(PRECIOS!E729="",PRECIOS!E728=""),"",PRECIOS!E729/PRECIOS!E728-1),"")</f>
        <v>-0.004218606274</v>
      </c>
      <c r="F729" s="7">
        <f>IFERROR(IF(OR(PRECIOS!F729="",PRECIOS!F728=""),"",PRECIOS!F729/PRECIOS!F728-1),"")</f>
        <v>0.02169625247</v>
      </c>
      <c r="G729" s="7">
        <f>IFERROR(IF(OR(PRECIOS!G729="",PRECIOS!G728=""),"",PRECIOS!G729/PRECIOS!G728-1),"")</f>
        <v>-0.001182312603</v>
      </c>
      <c r="H729" s="7">
        <f>IFERROR(IF(OR(PRECIOS!H729="",PRECIOS!H728=""),"",PRECIOS!H729/PRECIOS!H728-1),"")</f>
        <v>0.002319658175</v>
      </c>
      <c r="I729" s="7">
        <f>IFERROR(IF(OR(PRECIOS!I729="",PRECIOS!I728=""),"",PRECIOS!I729/PRECIOS!I728-1),"")</f>
        <v>0.001748564871</v>
      </c>
    </row>
    <row r="730" ht="15.75" customHeight="1">
      <c r="A730" s="4">
        <f>IF(PRECIOS!A730="","",PRECIOS!A730)</f>
        <v>45471</v>
      </c>
      <c r="B730" s="7">
        <f>IFERROR(IF(OR(PRECIOS!B730="",PRECIOS!B729=""),"",PRECIOS!B730/PRECIOS!B729-1),"")</f>
        <v>0.001914708442</v>
      </c>
      <c r="C730" s="7">
        <f>IFERROR(IF(OR(PRECIOS!C730="",PRECIOS!C729=""),"",PRECIOS!C730/PRECIOS!C729-1),"")</f>
        <v>-0.006022552537</v>
      </c>
      <c r="D730" s="7">
        <f>IFERROR(IF(OR(PRECIOS!D730="",PRECIOS!D729=""),"",PRECIOS!D730/PRECIOS!D729-1),"")</f>
        <v>-0.01421692272</v>
      </c>
      <c r="E730" s="7">
        <f>IFERROR(IF(OR(PRECIOS!E730="",PRECIOS!E729=""),"",PRECIOS!E730/PRECIOS!E729-1),"")</f>
        <v>-0.001242275594</v>
      </c>
      <c r="F730" s="7">
        <f>IFERROR(IF(OR(PRECIOS!F730="",PRECIOS!F729=""),"",PRECIOS!F730/PRECIOS!F729-1),"")</f>
        <v>-0.02895752896</v>
      </c>
      <c r="G730" s="7">
        <f>IFERROR(IF(OR(PRECIOS!G730="",PRECIOS!G729=""),"",PRECIOS!G730/PRECIOS!G729-1),"")</f>
        <v>0.00615530303</v>
      </c>
      <c r="H730" s="7">
        <f>IFERROR(IF(OR(PRECIOS!H730="",PRECIOS!H729=""),"",PRECIOS!H730/PRECIOS!H729-1),"")</f>
        <v>0.00385329254</v>
      </c>
      <c r="I730" s="7">
        <f>IFERROR(IF(OR(PRECIOS!I730="",PRECIOS!I729=""),"",PRECIOS!I730/PRECIOS!I729-1),"")</f>
        <v>-0.01117613011</v>
      </c>
    </row>
    <row r="731" ht="15.75" customHeight="1">
      <c r="A731" s="4">
        <f>IF(PRECIOS!A731="","",PRECIOS!A731)</f>
        <v>45474</v>
      </c>
      <c r="B731" s="7">
        <f>IFERROR(IF(OR(PRECIOS!B731="",PRECIOS!B730=""),"",PRECIOS!B731/PRECIOS!B730-1),"")</f>
        <v>-0.001389854065</v>
      </c>
      <c r="C731" s="7">
        <f>IFERROR(IF(OR(PRECIOS!C731="",PRECIOS!C730=""),"",PRECIOS!C731/PRECIOS!C730-1),"")</f>
        <v>-0.007348201624</v>
      </c>
      <c r="D731" s="7">
        <f>IFERROR(IF(OR(PRECIOS!D731="",PRECIOS!D730=""),"",PRECIOS!D731/PRECIOS!D730-1),"")</f>
        <v>0.01581763201</v>
      </c>
      <c r="E731" s="7">
        <f>IFERROR(IF(OR(PRECIOS!E731="",PRECIOS!E730=""),"",PRECIOS!E731/PRECIOS!E730-1),"")</f>
        <v>-0.003763355127</v>
      </c>
      <c r="F731" s="7">
        <f>IFERROR(IF(OR(PRECIOS!F731="",PRECIOS!F730=""),"",PRECIOS!F731/PRECIOS!F730-1),"")</f>
        <v>-0.03876739563</v>
      </c>
      <c r="G731" s="7">
        <f>IFERROR(IF(OR(PRECIOS!G731="",PRECIOS!G730=""),"",PRECIOS!G731/PRECIOS!G730-1),"")</f>
        <v>-0.002588235294</v>
      </c>
      <c r="H731" s="7">
        <f>IFERROR(IF(OR(PRECIOS!H731="",PRECIOS!H730=""),"",PRECIOS!H731/PRECIOS!H730-1),"")</f>
        <v>0.0005486867252</v>
      </c>
      <c r="I731" s="7">
        <f>IFERROR(IF(OR(PRECIOS!I731="",PRECIOS!I730=""),"",PRECIOS!I731/PRECIOS!I730-1),"")</f>
        <v>-0.006895473811</v>
      </c>
    </row>
    <row r="732" ht="15.75" customHeight="1">
      <c r="A732" s="4">
        <f>IF(PRECIOS!A732="","",PRECIOS!A732)</f>
        <v>45475</v>
      </c>
      <c r="B732" s="7">
        <f>IFERROR(IF(OR(PRECIOS!B732="",PRECIOS!B731=""),"",PRECIOS!B732/PRECIOS!B731-1),"")</f>
        <v>-0.006784968685</v>
      </c>
      <c r="C732" s="7">
        <f>IFERROR(IF(OR(PRECIOS!C732="",PRECIOS!C731=""),"",PRECIOS!C732/PRECIOS!C731-1),"")</f>
        <v>0.007142857143</v>
      </c>
      <c r="D732" s="7">
        <f>IFERROR(IF(OR(PRECIOS!D732="",PRECIOS!D731=""),"",PRECIOS!D732/PRECIOS!D731-1),"")</f>
        <v>0.004121822762</v>
      </c>
      <c r="E732" s="7">
        <f>IFERROR(IF(OR(PRECIOS!E732="",PRECIOS!E731=""),"",PRECIOS!E732/PRECIOS!E731-1),"")</f>
        <v>0.002913211896</v>
      </c>
      <c r="F732" s="7">
        <f>IFERROR(IF(OR(PRECIOS!F732="",PRECIOS!F731=""),"",PRECIOS!F732/PRECIOS!F731-1),"")</f>
        <v>0.03464322647</v>
      </c>
      <c r="G732" s="7">
        <f>IFERROR(IF(OR(PRECIOS!G732="",PRECIOS!G731=""),"",PRECIOS!G732/PRECIOS!G731-1),"")</f>
        <v>-0.002123142251</v>
      </c>
      <c r="H732" s="7">
        <f>IFERROR(IF(OR(PRECIOS!H732="",PRECIOS!H731=""),"",PRECIOS!H732/PRECIOS!H731-1),"")</f>
        <v>-0.0007649751959</v>
      </c>
      <c r="I732" s="7">
        <f>IFERROR(IF(OR(PRECIOS!I732="",PRECIOS!I731=""),"",PRECIOS!I732/PRECIOS!I731-1),"")</f>
        <v>0.005168939457</v>
      </c>
    </row>
    <row r="733" ht="15.75" customHeight="1">
      <c r="A733" s="4">
        <f>IF(PRECIOS!A733="","",PRECIOS!A733)</f>
        <v>45476</v>
      </c>
      <c r="B733" s="7">
        <f>IFERROR(IF(OR(PRECIOS!B733="",PRECIOS!B732=""),"",PRECIOS!B733/PRECIOS!B732-1),"")</f>
        <v>0.005079698721</v>
      </c>
      <c r="C733" s="7">
        <f>IFERROR(IF(OR(PRECIOS!C733="",PRECIOS!C732=""),"",PRECIOS!C733/PRECIOS!C732-1),"")</f>
        <v>0.002192134107</v>
      </c>
      <c r="D733" s="7">
        <f>IFERROR(IF(OR(PRECIOS!D733="",PRECIOS!D732=""),"",PRECIOS!D733/PRECIOS!D732-1),"")</f>
        <v>0.04583808438</v>
      </c>
      <c r="E733" s="7">
        <f>IFERROR(IF(OR(PRECIOS!E733="",PRECIOS!E732=""),"",PRECIOS!E733/PRECIOS!E732-1),"")</f>
        <v>0.01640704801</v>
      </c>
      <c r="F733" s="7">
        <f>IFERROR(IF(OR(PRECIOS!F733="",PRECIOS!F732=""),"",PRECIOS!F733/PRECIOS!F732-1),"")</f>
        <v>0.006996501749</v>
      </c>
      <c r="G733" s="7">
        <f>IFERROR(IF(OR(PRECIOS!G733="",PRECIOS!G732=""),"",PRECIOS!G733/PRECIOS!G732-1),"")</f>
        <v>0.01182033097</v>
      </c>
      <c r="H733" s="7">
        <f>IFERROR(IF(OR(PRECIOS!H733="",PRECIOS!H732=""),"",PRECIOS!H733/PRECIOS!H732-1),"")</f>
        <v>0.004388139341</v>
      </c>
      <c r="I733" s="7">
        <f>IFERROR(IF(OR(PRECIOS!I733="",PRECIOS!I732=""),"",PRECIOS!I733/PRECIOS!I732-1),"")</f>
        <v>0.006026537642</v>
      </c>
    </row>
    <row r="734" ht="15.75" customHeight="1">
      <c r="A734" s="4">
        <f>IF(PRECIOS!A734="","",PRECIOS!A734)</f>
        <v>45478</v>
      </c>
      <c r="B734" s="7">
        <f>IFERROR(IF(OR(PRECIOS!B734="",PRECIOS!B733=""),"",PRECIOS!B734/PRECIOS!B733-1),"")</f>
        <v>-0.01211223423</v>
      </c>
      <c r="C734" s="7">
        <f>IFERROR(IF(OR(PRECIOS!C734="",PRECIOS!C733=""),"",PRECIOS!C734/PRECIOS!C733-1),"")</f>
        <v>0.004117344313</v>
      </c>
      <c r="D734" s="7">
        <f>IFERROR(IF(OR(PRECIOS!D734="",PRECIOS!D733=""),"",PRECIOS!D734/PRECIOS!D733-1),"")</f>
        <v>-0.02573048408</v>
      </c>
      <c r="E734" s="7">
        <f>IFERROR(IF(OR(PRECIOS!E734="",PRECIOS!E733=""),"",PRECIOS!E734/PRECIOS!E733-1),"")</f>
        <v>-0.003297531562</v>
      </c>
      <c r="F734" s="7">
        <f>IFERROR(IF(OR(PRECIOS!F734="",PRECIOS!F733=""),"",PRECIOS!F734/PRECIOS!F733-1),"")</f>
        <v>-0.003473945409</v>
      </c>
      <c r="G734" s="7">
        <f>IFERROR(IF(OR(PRECIOS!G734="",PRECIOS!G733=""),"",PRECIOS!G734/PRECIOS!G733-1),"")</f>
        <v>-0.007476635514</v>
      </c>
      <c r="H734" s="7">
        <f>IFERROR(IF(OR(PRECIOS!H734="",PRECIOS!H733=""),"",PRECIOS!H734/PRECIOS!H733-1),"")</f>
        <v>-0.01562313464</v>
      </c>
      <c r="I734" s="7">
        <f>IFERROR(IF(OR(PRECIOS!I734="",PRECIOS!I733=""),"",PRECIOS!I734/PRECIOS!I733-1),"")</f>
        <v>0.001757764222</v>
      </c>
    </row>
    <row r="735" ht="15.75" customHeight="1">
      <c r="A735" s="4">
        <f>IF(PRECIOS!A735="","",PRECIOS!A735)</f>
        <v>45481</v>
      </c>
      <c r="B735" s="7">
        <f>IFERROR(IF(OR(PRECIOS!B735="",PRECIOS!B734=""),"",PRECIOS!B735/PRECIOS!B734-1),"")</f>
        <v>-0.01049660404</v>
      </c>
      <c r="C735" s="7">
        <f>IFERROR(IF(OR(PRECIOS!C735="",PRECIOS!C734=""),"",PRECIOS!C735/PRECIOS!C734-1),"")</f>
        <v>-0.003075345976</v>
      </c>
      <c r="D735" s="7">
        <f>IFERROR(IF(OR(PRECIOS!D735="",PRECIOS!D734=""),"",PRECIOS!D735/PRECIOS!D734-1),"")</f>
        <v>0.0393912265</v>
      </c>
      <c r="E735" s="7">
        <f>IFERROR(IF(OR(PRECIOS!E735="",PRECIOS!E734=""),"",PRECIOS!E735/PRECIOS!E734-1),"")</f>
        <v>0.005009925324</v>
      </c>
      <c r="F735" s="7">
        <f>IFERROR(IF(OR(PRECIOS!F735="",PRECIOS!F734=""),"",PRECIOS!F735/PRECIOS!F734-1),"")</f>
        <v>0.0234063745</v>
      </c>
      <c r="G735" s="7">
        <f>IFERROR(IF(OR(PRECIOS!G735="",PRECIOS!G734=""),"",PRECIOS!G735/PRECIOS!G734-1),"")</f>
        <v>-0.003060263653</v>
      </c>
      <c r="H735" s="7">
        <f>IFERROR(IF(OR(PRECIOS!H735="",PRECIOS!H734=""),"",PRECIOS!H735/PRECIOS!H734-1),"")</f>
        <v>-0.00610588035</v>
      </c>
      <c r="I735" s="7">
        <f>IFERROR(IF(OR(PRECIOS!I735="",PRECIOS!I734=""),"",PRECIOS!I735/PRECIOS!I734-1),"")</f>
        <v>0.001017470641</v>
      </c>
    </row>
    <row r="736" ht="15.75" customHeight="1">
      <c r="A736" s="4">
        <f>IF(PRECIOS!A736="","",PRECIOS!A736)</f>
        <v>45482</v>
      </c>
      <c r="B736" s="7">
        <f>IFERROR(IF(OR(PRECIOS!B736="",PRECIOS!B735=""),"",PRECIOS!B736/PRECIOS!B735-1),"")</f>
        <v>-0.01105366375</v>
      </c>
      <c r="C736" s="7">
        <f>IFERROR(IF(OR(PRECIOS!C736="",PRECIOS!C735=""),"",PRECIOS!C736/PRECIOS!C735-1),"")</f>
        <v>0.00411311054</v>
      </c>
      <c r="D736" s="7">
        <f>IFERROR(IF(OR(PRECIOS!D736="",PRECIOS!D735=""),"",PRECIOS!D736/PRECIOS!D735-1),"")</f>
        <v>-0.01593453919</v>
      </c>
      <c r="E736" s="7">
        <f>IFERROR(IF(OR(PRECIOS!E736="",PRECIOS!E735=""),"",PRECIOS!E736/PRECIOS!E735-1),"")</f>
        <v>-0.0007837973414</v>
      </c>
      <c r="F736" s="7">
        <f>IFERROR(IF(OR(PRECIOS!F736="",PRECIOS!F735=""),"",PRECIOS!F736/PRECIOS!F735-1),"")</f>
        <v>0.008759124088</v>
      </c>
      <c r="G736" s="7">
        <f>IFERROR(IF(OR(PRECIOS!G736="",PRECIOS!G735=""),"",PRECIOS!G736/PRECIOS!G735-1),"")</f>
        <v>0.0009445100354</v>
      </c>
      <c r="H736" s="7">
        <f>IFERROR(IF(OR(PRECIOS!H736="",PRECIOS!H735=""),"",PRECIOS!H736/PRECIOS!H735-1),"")</f>
        <v>-0.008820858432</v>
      </c>
      <c r="I736" s="7">
        <f>IFERROR(IF(OR(PRECIOS!I736="",PRECIOS!I735=""),"",PRECIOS!I736/PRECIOS!I735-1),"")</f>
        <v>0.002915407533</v>
      </c>
    </row>
    <row r="737" ht="15.75" customHeight="1">
      <c r="A737" s="4">
        <f>IF(PRECIOS!A737="","",PRECIOS!A737)</f>
        <v>45483</v>
      </c>
      <c r="B737" s="7">
        <f>IFERROR(IF(OR(PRECIOS!B737="",PRECIOS!B736=""),"",PRECIOS!B737/PRECIOS!B736-1),"")</f>
        <v>0.00883360375</v>
      </c>
      <c r="C737" s="7">
        <f>IFERROR(IF(OR(PRECIOS!C737="",PRECIOS!C736=""),"",PRECIOS!C737/PRECIOS!C736-1),"")</f>
        <v>0.004096262161</v>
      </c>
      <c r="D737" s="7">
        <f>IFERROR(IF(OR(PRECIOS!D737="",PRECIOS!D736=""),"",PRECIOS!D737/PRECIOS!D736-1),"")</f>
        <v>0.009956236324</v>
      </c>
      <c r="E737" s="7">
        <f>IFERROR(IF(OR(PRECIOS!E737="",PRECIOS!E736=""),"",PRECIOS!E737/PRECIOS!E736-1),"")</f>
        <v>0.02623074268</v>
      </c>
      <c r="F737" s="7">
        <f>IFERROR(IF(OR(PRECIOS!F737="",PRECIOS!F736=""),"",PRECIOS!F737/PRECIOS!F736-1),"")</f>
        <v>0.01543656536</v>
      </c>
      <c r="G737" s="7">
        <f>IFERROR(IF(OR(PRECIOS!G737="",PRECIOS!G736=""),"",PRECIOS!G737/PRECIOS!G736-1),"")</f>
        <v>0.00259495164</v>
      </c>
      <c r="H737" s="7">
        <f>IFERROR(IF(OR(PRECIOS!H737="",PRECIOS!H736=""),"",PRECIOS!H737/PRECIOS!H736-1),"")</f>
        <v>0.00675915623</v>
      </c>
      <c r="I737" s="7">
        <f>IFERROR(IF(OR(PRECIOS!I737="",PRECIOS!I736=""),"",PRECIOS!I737/PRECIOS!I736-1),"")</f>
        <v>0.009446013891</v>
      </c>
    </row>
    <row r="738" ht="15.75" customHeight="1">
      <c r="A738" s="4">
        <f>IF(PRECIOS!A738="","",PRECIOS!A738)</f>
        <v>45484</v>
      </c>
      <c r="B738" s="7">
        <f>IFERROR(IF(OR(PRECIOS!B738="",PRECIOS!B737=""),"",PRECIOS!B738/PRECIOS!B737-1),"")</f>
        <v>0.01188348821</v>
      </c>
      <c r="C738" s="7">
        <f>IFERROR(IF(OR(PRECIOS!C738="",PRECIOS!C737=""),"",PRECIOS!C738/PRECIOS!C737-1),"")</f>
        <v>0.01810300867</v>
      </c>
      <c r="D738" s="7">
        <f>IFERROR(IF(OR(PRECIOS!D738="",PRECIOS!D737=""),"",PRECIOS!D738/PRECIOS!D737-1),"")</f>
        <v>-0.007583143755</v>
      </c>
      <c r="E738" s="7">
        <f>IFERROR(IF(OR(PRECIOS!E738="",PRECIOS!E737=""),"",PRECIOS!E738/PRECIOS!E737-1),"")</f>
        <v>0.005350536582</v>
      </c>
      <c r="F738" s="7">
        <f>IFERROR(IF(OR(PRECIOS!F738="",PRECIOS!F737=""),"",PRECIOS!F738/PRECIOS!F737-1),"")</f>
        <v>0.003800475059</v>
      </c>
      <c r="G738" s="7">
        <f>IFERROR(IF(OR(PRECIOS!G738="",PRECIOS!G737=""),"",PRECIOS!G738/PRECIOS!G737-1),"")</f>
        <v>0.004</v>
      </c>
      <c r="H738" s="7">
        <f>IFERROR(IF(OR(PRECIOS!H738="",PRECIOS!H737=""),"",PRECIOS!H738/PRECIOS!H737-1),"")</f>
        <v>0.01040811767</v>
      </c>
      <c r="I738" s="7">
        <f>IFERROR(IF(OR(PRECIOS!I738="",PRECIOS!I737=""),"",PRECIOS!I738/PRECIOS!I737-1),"")</f>
        <v>0.01827937596</v>
      </c>
    </row>
    <row r="739" ht="15.75" customHeight="1">
      <c r="A739" s="4">
        <f>IF(PRECIOS!A739="","",PRECIOS!A739)</f>
        <v>45485</v>
      </c>
      <c r="B739" s="7">
        <f>IFERROR(IF(OR(PRECIOS!B739="",PRECIOS!B738=""),"",PRECIOS!B739/PRECIOS!B738-1),"")</f>
        <v>0.0001766004415</v>
      </c>
      <c r="C739" s="7">
        <f>IFERROR(IF(OR(PRECIOS!C739="",PRECIOS!C738=""),"",PRECIOS!C739/PRECIOS!C738-1),"")</f>
        <v>0.001627848735</v>
      </c>
      <c r="D739" s="7">
        <f>IFERROR(IF(OR(PRECIOS!D739="",PRECIOS!D738=""),"",PRECIOS!D739/PRECIOS!D738-1),"")</f>
        <v>-0.003056434887</v>
      </c>
      <c r="E739" s="7">
        <f>IFERROR(IF(OR(PRECIOS!E739="",PRECIOS!E738=""),"",PRECIOS!E739/PRECIOS!E738-1),"")</f>
        <v>0.005048354723</v>
      </c>
      <c r="F739" s="7">
        <f>IFERROR(IF(OR(PRECIOS!F739="",PRECIOS!F738=""),"",PRECIOS!F739/PRECIOS!F738-1),"")</f>
        <v>0.007572172267</v>
      </c>
      <c r="G739" s="7">
        <f>IFERROR(IF(OR(PRECIOS!G739="",PRECIOS!G738=""),"",PRECIOS!G739/PRECIOS!G738-1),"")</f>
        <v>0.007265057417</v>
      </c>
      <c r="H739" s="7">
        <f>IFERROR(IF(OR(PRECIOS!H739="",PRECIOS!H738=""),"",PRECIOS!H739/PRECIOS!H738-1),"")</f>
        <v>0.002548461497</v>
      </c>
      <c r="I739" s="7">
        <f>IFERROR(IF(OR(PRECIOS!I739="",PRECIOS!I738=""),"",PRECIOS!I739/PRECIOS!I738-1),"")</f>
        <v>0.007350531807</v>
      </c>
    </row>
    <row r="740" ht="15.75" customHeight="1">
      <c r="A740" s="4">
        <f>IF(PRECIOS!A740="","",PRECIOS!A740)</f>
        <v>45488</v>
      </c>
      <c r="B740" s="7">
        <f>IFERROR(IF(OR(PRECIOS!B740="",PRECIOS!B739=""),"",PRECIOS!B740/PRECIOS!B739-1),"")</f>
        <v>0.01712721815</v>
      </c>
      <c r="C740" s="7">
        <f>IFERROR(IF(OR(PRECIOS!C740="",PRECIOS!C739=""),"",PRECIOS!C740/PRECIOS!C739-1),"")</f>
        <v>0.0007500937617</v>
      </c>
      <c r="D740" s="7">
        <f>IFERROR(IF(OR(PRECIOS!D740="",PRECIOS!D739=""),"",PRECIOS!D740/PRECIOS!D739-1),"")</f>
        <v>-0.05627942626</v>
      </c>
      <c r="E740" s="7">
        <f>IFERROR(IF(OR(PRECIOS!E740="",PRECIOS!E739=""),"",PRECIOS!E740/PRECIOS!E739-1),"")</f>
        <v>-0.01043936093</v>
      </c>
      <c r="F740" s="7">
        <f>IFERROR(IF(OR(PRECIOS!F740="",PRECIOS!F739=""),"",PRECIOS!F740/PRECIOS!F739-1),"")</f>
        <v>-0.01409112259</v>
      </c>
      <c r="G740" s="7">
        <f>IFERROR(IF(OR(PRECIOS!G740="",PRECIOS!G739=""),"",PRECIOS!G740/PRECIOS!G739-1),"")</f>
        <v>-0.009771986971</v>
      </c>
      <c r="H740" s="7">
        <f>IFERROR(IF(OR(PRECIOS!H740="",PRECIOS!H739=""),"",PRECIOS!H740/PRECIOS!H739-1),"")</f>
        <v>0.01513118491</v>
      </c>
      <c r="I740" s="7">
        <f>IFERROR(IF(OR(PRECIOS!I740="",PRECIOS!I739=""),"",PRECIOS!I740/PRECIOS!I739-1),"")</f>
        <v>-0.02427316764</v>
      </c>
    </row>
    <row r="741" ht="15.75" customHeight="1">
      <c r="A741" s="4">
        <f>IF(PRECIOS!A741="","",PRECIOS!A741)</f>
        <v>45489</v>
      </c>
      <c r="B741" s="7">
        <f>IFERROR(IF(OR(PRECIOS!B741="",PRECIOS!B740=""),"",PRECIOS!B741/PRECIOS!B740-1),"")</f>
        <v>0.007204235743</v>
      </c>
      <c r="C741" s="7">
        <f>IFERROR(IF(OR(PRECIOS!C741="",PRECIOS!C740=""),"",PRECIOS!C741/PRECIOS!C740-1),"")</f>
        <v>0.01336664585</v>
      </c>
      <c r="D741" s="7">
        <f>IFERROR(IF(OR(PRECIOS!D741="",PRECIOS!D740=""),"",PRECIOS!D741/PRECIOS!D740-1),"")</f>
        <v>-0.003712727695</v>
      </c>
      <c r="E741" s="7">
        <f>IFERROR(IF(OR(PRECIOS!E741="",PRECIOS!E740=""),"",PRECIOS!E741/PRECIOS!E740-1),"")</f>
        <v>0.01660398129</v>
      </c>
      <c r="F741" s="7">
        <f>IFERROR(IF(OR(PRECIOS!F741="",PRECIOS!F740=""),"",PRECIOS!F741/PRECIOS!F740-1),"")</f>
        <v>-0.01667460696</v>
      </c>
      <c r="G741" s="7">
        <f>IFERROR(IF(OR(PRECIOS!G741="",PRECIOS!G740=""),"",PRECIOS!G741/PRECIOS!G740-1),"")</f>
        <v>-0.004934210526</v>
      </c>
      <c r="H741" s="7">
        <f>IFERROR(IF(OR(PRECIOS!H741="",PRECIOS!H740=""),"",PRECIOS!H741/PRECIOS!H740-1),"")</f>
        <v>0.004466205029</v>
      </c>
      <c r="I741" s="7">
        <f>IFERROR(IF(OR(PRECIOS!I741="",PRECIOS!I740=""),"",PRECIOS!I741/PRECIOS!I740-1),"")</f>
        <v>0.007763741973</v>
      </c>
    </row>
    <row r="742" ht="15.75" customHeight="1">
      <c r="A742" s="4">
        <f>IF(PRECIOS!A742="","",PRECIOS!A742)</f>
        <v>45490</v>
      </c>
      <c r="B742" s="7">
        <f>IFERROR(IF(OR(PRECIOS!B742="",PRECIOS!B741=""),"",PRECIOS!B742/PRECIOS!B741-1),"")</f>
        <v>0.01378834885</v>
      </c>
      <c r="C742" s="7">
        <f>IFERROR(IF(OR(PRECIOS!C742="",PRECIOS!C741=""),"",PRECIOS!C742/PRECIOS!C741-1),"")</f>
        <v>0.006286982249</v>
      </c>
      <c r="D742" s="7">
        <f>IFERROR(IF(OR(PRECIOS!D742="",PRECIOS!D741=""),"",PRECIOS!D742/PRECIOS!D741-1),"")</f>
        <v>-0.112612088</v>
      </c>
      <c r="E742" s="7">
        <f>IFERROR(IF(OR(PRECIOS!E742="",PRECIOS!E741=""),"",PRECIOS!E742/PRECIOS!E741-1),"")</f>
        <v>-0.06304517837</v>
      </c>
      <c r="F742" s="7">
        <f>IFERROR(IF(OR(PRECIOS!F742="",PRECIOS!F741=""),"",PRECIOS!F742/PRECIOS!F741-1),"")</f>
        <v>-0.03730620155</v>
      </c>
      <c r="G742" s="7">
        <f>IFERROR(IF(OR(PRECIOS!G742="",PRECIOS!G741=""),"",PRECIOS!G742/PRECIOS!G741-1),"")</f>
        <v>0.007083825266</v>
      </c>
      <c r="H742" s="7">
        <f>IFERROR(IF(OR(PRECIOS!H742="",PRECIOS!H741=""),"",PRECIOS!H742/PRECIOS!H741-1),"")</f>
        <v>0.009965007502</v>
      </c>
      <c r="I742" s="7">
        <f>IFERROR(IF(OR(PRECIOS!I742="",PRECIOS!I741=""),"",PRECIOS!I742/PRECIOS!I741-1),"")</f>
        <v>0.0005722068409</v>
      </c>
    </row>
    <row r="743" ht="15.75" customHeight="1">
      <c r="A743" s="4">
        <f>IF(PRECIOS!A743="","",PRECIOS!A743)</f>
        <v>45491</v>
      </c>
      <c r="B743" s="7">
        <f>IFERROR(IF(OR(PRECIOS!B743="",PRECIOS!B742=""),"",PRECIOS!B743/PRECIOS!B742-1),"")</f>
        <v>0.009860591635</v>
      </c>
      <c r="C743" s="7">
        <f>IFERROR(IF(OR(PRECIOS!C743="",PRECIOS!C742=""),"",PRECIOS!C743/PRECIOS!C742-1),"")</f>
        <v>-0.003920127404</v>
      </c>
      <c r="D743" s="7">
        <f>IFERROR(IF(OR(PRECIOS!D743="",PRECIOS!D742=""),"",PRECIOS!D743/PRECIOS!D742-1),"")</f>
        <v>0.004593175853</v>
      </c>
      <c r="E743" s="7">
        <f>IFERROR(IF(OR(PRECIOS!E743="",PRECIOS!E742=""),"",PRECIOS!E743/PRECIOS!E742-1),"")</f>
        <v>-0.007800963082</v>
      </c>
      <c r="F743" s="7">
        <f>IFERROR(IF(OR(PRECIOS!F743="",PRECIOS!F742=""),"",PRECIOS!F743/PRECIOS!F742-1),"")</f>
        <v>0.002013085053</v>
      </c>
      <c r="G743" s="7">
        <f>IFERROR(IF(OR(PRECIOS!G743="",PRECIOS!G742=""),"",PRECIOS!G743/PRECIOS!G742-1),"")</f>
        <v>0.01477139508</v>
      </c>
      <c r="H743" s="7">
        <f>IFERROR(IF(OR(PRECIOS!H743="",PRECIOS!H742=""),"",PRECIOS!H743/PRECIOS!H742-1),"")</f>
        <v>0.001823657504</v>
      </c>
      <c r="I743" s="7">
        <f>IFERROR(IF(OR(PRECIOS!I743="",PRECIOS!I742=""),"",PRECIOS!I743/PRECIOS!I742-1),"")</f>
        <v>-0.0008578194111</v>
      </c>
    </row>
    <row r="744" ht="15.75" customHeight="1">
      <c r="A744" s="4">
        <f>IF(PRECIOS!A744="","",PRECIOS!A744)</f>
        <v>45492</v>
      </c>
      <c r="B744" s="7">
        <f>IFERROR(IF(OR(PRECIOS!B744="",PRECIOS!B743=""),"",PRECIOS!B744/PRECIOS!B743-1),"")</f>
        <v>-0.02297979798</v>
      </c>
      <c r="C744" s="7">
        <f>IFERROR(IF(OR(PRECIOS!C744="",PRECIOS!C743=""),"",PRECIOS!C744/PRECIOS!C743-1),"")</f>
        <v>0.001106874923</v>
      </c>
      <c r="D744" s="7">
        <f>IFERROR(IF(OR(PRECIOS!D744="",PRECIOS!D743=""),"",PRECIOS!D744/PRECIOS!D743-1),"")</f>
        <v>-0.001045068583</v>
      </c>
      <c r="E744" s="7">
        <f>IFERROR(IF(OR(PRECIOS!E744="",PRECIOS!E743=""),"",PRECIOS!E744/PRECIOS!E743-1),"")</f>
        <v>0.009124146633</v>
      </c>
      <c r="F744" s="7">
        <f>IFERROR(IF(OR(PRECIOS!F744="",PRECIOS!F743=""),"",PRECIOS!F744/PRECIOS!F743-1),"")</f>
        <v>0.01406328478</v>
      </c>
      <c r="G744" s="7">
        <f>IFERROR(IF(OR(PRECIOS!G744="",PRECIOS!G743=""),"",PRECIOS!G744/PRECIOS!G743-1),"")</f>
        <v>0.01663585952</v>
      </c>
      <c r="H744" s="7">
        <f>IFERROR(IF(OR(PRECIOS!H744="",PRECIOS!H743=""),"",PRECIOS!H744/PRECIOS!H743-1),"")</f>
        <v>-0.01091977688</v>
      </c>
      <c r="I744" s="7">
        <f>IFERROR(IF(OR(PRECIOS!I744="",PRECIOS!I743=""),"",PRECIOS!I744/PRECIOS!I743-1),"")</f>
        <v>0.001141760099</v>
      </c>
    </row>
    <row r="745" ht="15.75" customHeight="1">
      <c r="A745" s="4">
        <f>IF(PRECIOS!A745="","",PRECIOS!A745)</f>
        <v>45495</v>
      </c>
      <c r="B745" s="7">
        <f>IFERROR(IF(OR(PRECIOS!B745="",PRECIOS!B744=""),"",PRECIOS!B745/PRECIOS!B744-1),"")</f>
        <v>-0.006892392522</v>
      </c>
      <c r="C745" s="7">
        <f>IFERROR(IF(OR(PRECIOS!C745="",PRECIOS!C744=""),"",PRECIOS!C745/PRECIOS!C744-1),"")</f>
        <v>0.005528255528</v>
      </c>
      <c r="D745" s="7">
        <f>IFERROR(IF(OR(PRECIOS!D745="",PRECIOS!D744=""),"",PRECIOS!D745/PRECIOS!D744-1),"")</f>
        <v>0.03530796391</v>
      </c>
      <c r="E745" s="7">
        <f>IFERROR(IF(OR(PRECIOS!E745="",PRECIOS!E744=""),"",PRECIOS!E745/PRECIOS!E744-1),"")</f>
        <v>0.02702876014</v>
      </c>
      <c r="F745" s="7">
        <f>IFERROR(IF(OR(PRECIOS!F745="",PRECIOS!F744=""),"",PRECIOS!F745/PRECIOS!F744-1),"")</f>
        <v>-0.001485884101</v>
      </c>
      <c r="G745" s="7">
        <f>IFERROR(IF(OR(PRECIOS!G745="",PRECIOS!G744=""),"",PRECIOS!G745/PRECIOS!G744-1),"")</f>
        <v>0.0175</v>
      </c>
      <c r="H745" s="7">
        <f>IFERROR(IF(OR(PRECIOS!H745="",PRECIOS!H744=""),"",PRECIOS!H745/PRECIOS!H744-1),"")</f>
        <v>-0.006281138385</v>
      </c>
      <c r="I745" s="7">
        <f>IFERROR(IF(OR(PRECIOS!I745="",PRECIOS!I744=""),"",PRECIOS!I745/PRECIOS!I744-1),"")</f>
        <v>0.008411994164</v>
      </c>
    </row>
    <row r="746" ht="15.75" customHeight="1">
      <c r="A746" s="4">
        <f>IF(PRECIOS!A746="","",PRECIOS!A746)</f>
        <v>45496</v>
      </c>
      <c r="B746" s="7">
        <f>IFERROR(IF(OR(PRECIOS!B746="",PRECIOS!B745=""),"",PRECIOS!B746/PRECIOS!B745-1),"")</f>
        <v>-0.01613602845</v>
      </c>
      <c r="C746" s="7">
        <f>IFERROR(IF(OR(PRECIOS!C746="",PRECIOS!C745=""),"",PRECIOS!C746/PRECIOS!C745-1),"")</f>
        <v>-0.006108735492</v>
      </c>
      <c r="D746" s="7">
        <f>IFERROR(IF(OR(PRECIOS!D746="",PRECIOS!D745=""),"",PRECIOS!D746/PRECIOS!D745-1),"")</f>
        <v>0.0113679424</v>
      </c>
      <c r="E746" s="7">
        <f>IFERROR(IF(OR(PRECIOS!E746="",PRECIOS!E745=""),"",PRECIOS!E746/PRECIOS!E745-1),"")</f>
        <v>0.005057442557</v>
      </c>
      <c r="F746" s="7">
        <f>IFERROR(IF(OR(PRECIOS!F746="",PRECIOS!F745=""),"",PRECIOS!F746/PRECIOS!F745-1),"")</f>
        <v>0.01537698413</v>
      </c>
      <c r="G746" s="7">
        <f>IFERROR(IF(OR(PRECIOS!G746="",PRECIOS!G745=""),"",PRECIOS!G746/PRECIOS!G745-1),"")</f>
        <v>-0.01541210632</v>
      </c>
      <c r="H746" s="7">
        <f>IFERROR(IF(OR(PRECIOS!H746="",PRECIOS!H745=""),"",PRECIOS!H746/PRECIOS!H745-1),"")</f>
        <v>-0.01590397634</v>
      </c>
      <c r="I746" s="7">
        <f>IFERROR(IF(OR(PRECIOS!I746="",PRECIOS!I745=""),"",PRECIOS!I746/PRECIOS!I745-1),"")</f>
        <v>-0.006221671022</v>
      </c>
    </row>
    <row r="747" ht="15.75" customHeight="1">
      <c r="A747" s="4">
        <f>IF(PRECIOS!A747="","",PRECIOS!A747)</f>
        <v>45497</v>
      </c>
      <c r="B747" s="7">
        <f>IFERROR(IF(OR(PRECIOS!B747="",PRECIOS!B746=""),"",PRECIOS!B747/PRECIOS!B746-1),"")</f>
        <v>0.01410810334</v>
      </c>
      <c r="C747" s="7">
        <f>IFERROR(IF(OR(PRECIOS!C747="",PRECIOS!C746=""),"",PRECIOS!C747/PRECIOS!C746-1),"")</f>
        <v>0.01622618316</v>
      </c>
      <c r="D747" s="7">
        <f>IFERROR(IF(OR(PRECIOS!D747="",PRECIOS!D746=""),"",PRECIOS!D747/PRECIOS!D746-1),"")</f>
        <v>-0.09354314974</v>
      </c>
      <c r="E747" s="7">
        <f>IFERROR(IF(OR(PRECIOS!E747="",PRECIOS!E746=""),"",PRECIOS!E747/PRECIOS!E746-1),"")</f>
        <v>-0.06939181214</v>
      </c>
      <c r="F747" s="7">
        <f>IFERROR(IF(OR(PRECIOS!F747="",PRECIOS!F746=""),"",PRECIOS!F747/PRECIOS!F746-1),"")</f>
        <v>-0.03810454323</v>
      </c>
      <c r="G747" s="7">
        <f>IFERROR(IF(OR(PRECIOS!G747="",PRECIOS!G746=""),"",PRECIOS!G747/PRECIOS!G746-1),"")</f>
        <v>-0.0360707804</v>
      </c>
      <c r="H747" s="7">
        <f>IFERROR(IF(OR(PRECIOS!H747="",PRECIOS!H746=""),"",PRECIOS!H747/PRECIOS!H746-1),"")</f>
        <v>0.0001070110873</v>
      </c>
      <c r="I747" s="7">
        <f>IFERROR(IF(OR(PRECIOS!I747="",PRECIOS!I746=""),"",PRECIOS!I747/PRECIOS!I746-1),"")</f>
        <v>0.01124356704</v>
      </c>
    </row>
    <row r="748" ht="15.75" customHeight="1">
      <c r="A748" s="4">
        <f>IF(PRECIOS!A748="","",PRECIOS!A748)</f>
        <v>45498</v>
      </c>
      <c r="B748" s="7">
        <f>IFERROR(IF(OR(PRECIOS!B748="",PRECIOS!B747=""),"",PRECIOS!B748/PRECIOS!B747-1),"")</f>
        <v>0.02104164855</v>
      </c>
      <c r="C748" s="7">
        <f>IFERROR(IF(OR(PRECIOS!C748="",PRECIOS!C747=""),"",PRECIOS!C748/PRECIOS!C747-1),"")</f>
        <v>-0.0122172493</v>
      </c>
      <c r="D748" s="7">
        <f>IFERROR(IF(OR(PRECIOS!D748="",PRECIOS!D747=""),"",PRECIOS!D748/PRECIOS!D747-1),"")</f>
        <v>-0.03031138055</v>
      </c>
      <c r="E748" s="7">
        <f>IFERROR(IF(OR(PRECIOS!E748="",PRECIOS!E747=""),"",PRECIOS!E748/PRECIOS!E747-1),"")</f>
        <v>-0.02242990654</v>
      </c>
      <c r="F748" s="7">
        <f>IFERROR(IF(OR(PRECIOS!F748="",PRECIOS!F747=""),"",PRECIOS!F748/PRECIOS!F747-1),"")</f>
        <v>-0.0005078720163</v>
      </c>
      <c r="G748" s="7">
        <f>IFERROR(IF(OR(PRECIOS!G748="",PRECIOS!G747=""),"",PRECIOS!G748/PRECIOS!G747-1),"")</f>
        <v>-0.0157684161</v>
      </c>
      <c r="H748" s="7">
        <f>IFERROR(IF(OR(PRECIOS!H748="",PRECIOS!H747=""),"",PRECIOS!H748/PRECIOS!H747-1),"")</f>
        <v>0.01727113708</v>
      </c>
      <c r="I748" s="7">
        <f>IFERROR(IF(OR(PRECIOS!I748="",PRECIOS!I747=""),"",PRECIOS!I748/PRECIOS!I747-1),"")</f>
        <v>-0.008300718122</v>
      </c>
    </row>
    <row r="749" ht="15.75" customHeight="1">
      <c r="A749" s="4">
        <f>IF(PRECIOS!A749="","",PRECIOS!A749)</f>
        <v>45499</v>
      </c>
      <c r="B749" s="7">
        <f>IFERROR(IF(OR(PRECIOS!B749="",PRECIOS!B748=""),"",PRECIOS!B749/PRECIOS!B748-1),"")</f>
        <v>-0.0008515711488</v>
      </c>
      <c r="C749" s="7">
        <f>IFERROR(IF(OR(PRECIOS!C749="",PRECIOS!C748=""),"",PRECIOS!C749/PRECIOS!C748-1),"")</f>
        <v>0.006245407788</v>
      </c>
      <c r="D749" s="7">
        <f>IFERROR(IF(OR(PRECIOS!D749="",PRECIOS!D748=""),"",PRECIOS!D749/PRECIOS!D748-1),"")</f>
        <v>0.01051435067</v>
      </c>
      <c r="E749" s="7">
        <f>IFERROR(IF(OR(PRECIOS!E749="",PRECIOS!E748=""),"",PRECIOS!E749/PRECIOS!E748-1),"")</f>
        <v>0.01676454521</v>
      </c>
      <c r="F749" s="7">
        <f>IFERROR(IF(OR(PRECIOS!F749="",PRECIOS!F748=""),"",PRECIOS!F749/PRECIOS!F748-1),"")</f>
        <v>0.01524390244</v>
      </c>
      <c r="G749" s="7">
        <f>IFERROR(IF(OR(PRECIOS!G749="",PRECIOS!G748=""),"",PRECIOS!G749/PRECIOS!G748-1),"")</f>
        <v>0.01673840268</v>
      </c>
      <c r="H749" s="7">
        <f>IFERROR(IF(OR(PRECIOS!H749="",PRECIOS!H748=""),"",PRECIOS!H749/PRECIOS!H748-1),"")</f>
        <v>0.003153203623</v>
      </c>
      <c r="I749" s="7">
        <f>IFERROR(IF(OR(PRECIOS!I749="",PRECIOS!I748=""),"",PRECIOS!I749/PRECIOS!I748-1),"")</f>
        <v>0.00978942659</v>
      </c>
    </row>
    <row r="750" ht="15.75" customHeight="1">
      <c r="A750" s="4">
        <f>IF(PRECIOS!A750="","",PRECIOS!A750)</f>
        <v>45502</v>
      </c>
      <c r="B750" s="7">
        <f>IFERROR(IF(OR(PRECIOS!B750="",PRECIOS!B749=""),"",PRECIOS!B750/PRECIOS!B749-1),"")</f>
        <v>-0.01048325237</v>
      </c>
      <c r="C750" s="7">
        <f>IFERROR(IF(OR(PRECIOS!C750="",PRECIOS!C749=""),"",PRECIOS!C750/PRECIOS!C749-1),"")</f>
        <v>0.01070950469</v>
      </c>
      <c r="D750" s="7">
        <f>IFERROR(IF(OR(PRECIOS!D750="",PRECIOS!D749=""),"",PRECIOS!D750/PRECIOS!D749-1),"")</f>
        <v>0.001687289089</v>
      </c>
      <c r="E750" s="7">
        <f>IFERROR(IF(OR(PRECIOS!E750="",PRECIOS!E749=""),"",PRECIOS!E750/PRECIOS!E749-1),"")</f>
        <v>-0.003962523926</v>
      </c>
      <c r="F750" s="7">
        <f>IFERROR(IF(OR(PRECIOS!F750="",PRECIOS!F749=""),"",PRECIOS!F750/PRECIOS!F749-1),"")</f>
        <v>-0.03403403403</v>
      </c>
      <c r="G750" s="7">
        <f>IFERROR(IF(OR(PRECIOS!G750="",PRECIOS!G749=""),"",PRECIOS!G750/PRECIOS!G749-1),"")</f>
        <v>0.009642521167</v>
      </c>
      <c r="H750" s="7">
        <f>IFERROR(IF(OR(PRECIOS!H750="",PRECIOS!H749=""),"",PRECIOS!H750/PRECIOS!H749-1),"")</f>
        <v>-0.008565984062</v>
      </c>
      <c r="I750" s="7">
        <f>IFERROR(IF(OR(PRECIOS!I750="",PRECIOS!I749=""),"",PRECIOS!I750/PRECIOS!I749-1),"")</f>
        <v>0.004498094252</v>
      </c>
    </row>
    <row r="751" ht="15.75" customHeight="1">
      <c r="A751" s="4">
        <f>IF(PRECIOS!A751="","",PRECIOS!A751)</f>
        <v>45503</v>
      </c>
      <c r="B751" s="7">
        <f>IFERROR(IF(OR(PRECIOS!B751="",PRECIOS!B750=""),"",PRECIOS!B751/PRECIOS!B750-1),"")</f>
        <v>0.01782945736</v>
      </c>
      <c r="C751" s="7">
        <f>IFERROR(IF(OR(PRECIOS!C751="",PRECIOS!C750=""),"",PRECIOS!C751/PRECIOS!C750-1),"")</f>
        <v>0.003973509934</v>
      </c>
      <c r="D751" s="7">
        <f>IFERROR(IF(OR(PRECIOS!D751="",PRECIOS!D750=""),"",PRECIOS!D751/PRECIOS!D750-1),"")</f>
        <v>-0.03144300955</v>
      </c>
      <c r="E751" s="7">
        <f>IFERROR(IF(OR(PRECIOS!E751="",PRECIOS!E750=""),"",PRECIOS!E751/PRECIOS!E750-1),"")</f>
        <v>-0.03159030377</v>
      </c>
      <c r="F751" s="7">
        <f>IFERROR(IF(OR(PRECIOS!F751="",PRECIOS!F750=""),"",PRECIOS!F751/PRECIOS!F750-1),"")</f>
        <v>-0.01813471503</v>
      </c>
      <c r="G751" s="7">
        <f>IFERROR(IF(OR(PRECIOS!G751="",PRECIOS!G750=""),"",PRECIOS!G751/PRECIOS!G750-1),"")</f>
        <v>0.0004658746797</v>
      </c>
      <c r="H751" s="7">
        <f>IFERROR(IF(OR(PRECIOS!H751="",PRECIOS!H750=""),"",PRECIOS!H751/PRECIOS!H750-1),"")</f>
        <v>0.01553497611</v>
      </c>
      <c r="I751" s="7">
        <f>IFERROR(IF(OR(PRECIOS!I751="",PRECIOS!I750=""),"",PRECIOS!I751/PRECIOS!I750-1),"")</f>
        <v>0.005170238123</v>
      </c>
    </row>
    <row r="752" ht="15.75" customHeight="1">
      <c r="A752" s="4">
        <f>IF(PRECIOS!A752="","",PRECIOS!A752)</f>
        <v>45504</v>
      </c>
      <c r="B752" s="7">
        <f>IFERROR(IF(OR(PRECIOS!B752="",PRECIOS!B751=""),"",PRECIOS!B752/PRECIOS!B751-1),"")</f>
        <v>0.003554201574</v>
      </c>
      <c r="C752" s="7">
        <f>IFERROR(IF(OR(PRECIOS!C752="",PRECIOS!C751=""),"",PRECIOS!C752/PRECIOS!C751-1),"")</f>
        <v>0.001679059727</v>
      </c>
      <c r="D752" s="7">
        <f>IFERROR(IF(OR(PRECIOS!D752="",PRECIOS!D751=""),"",PRECIOS!D752/PRECIOS!D751-1),"")</f>
        <v>0.148115942</v>
      </c>
      <c r="E752" s="7">
        <f>IFERROR(IF(OR(PRECIOS!E752="",PRECIOS!E751=""),"",PRECIOS!E752/PRECIOS!E751-1),"")</f>
        <v>0.06109873277</v>
      </c>
      <c r="F752" s="7">
        <f>IFERROR(IF(OR(PRECIOS!F752="",PRECIOS!F751=""),"",PRECIOS!F752/PRECIOS!F751-1),"")</f>
        <v>0.05224274406</v>
      </c>
      <c r="G752" s="7">
        <f>IFERROR(IF(OR(PRECIOS!G752="",PRECIOS!G751=""),"",PRECIOS!G752/PRECIOS!G751-1),"")</f>
        <v>-0.0002328288708</v>
      </c>
      <c r="H752" s="7">
        <f>IFERROR(IF(OR(PRECIOS!H752="",PRECIOS!H751=""),"",PRECIOS!H752/PRECIOS!H751-1),"")</f>
        <v>0.004201842381</v>
      </c>
      <c r="I752" s="7">
        <f>IFERROR(IF(OR(PRECIOS!I752="",PRECIOS!I751=""),"",PRECIOS!I752/PRECIOS!I751-1),"")</f>
        <v>0.01294338504</v>
      </c>
    </row>
    <row r="753" ht="15.75" customHeight="1">
      <c r="A753" s="4">
        <f>IF(PRECIOS!A753="","",PRECIOS!A753)</f>
        <v>45505</v>
      </c>
      <c r="B753" s="7">
        <f>IFERROR(IF(OR(PRECIOS!B753="",PRECIOS!B752=""),"",PRECIOS!B753/PRECIOS!B752-1),"")</f>
        <v>-0.01382915929</v>
      </c>
      <c r="C753" s="7">
        <f>IFERROR(IF(OR(PRECIOS!C753="",PRECIOS!C752=""),"",PRECIOS!C753/PRECIOS!C752-1),"")</f>
        <v>0.04849137931</v>
      </c>
      <c r="D753" s="7">
        <f>IFERROR(IF(OR(PRECIOS!D753="",PRECIOS!D752=""),"",PRECIOS!D753/PRECIOS!D752-1),"")</f>
        <v>-0.04014137844</v>
      </c>
      <c r="E753" s="7">
        <f>IFERROR(IF(OR(PRECIOS!E753="",PRECIOS!E752=""),"",PRECIOS!E753/PRECIOS!E752-1),"")</f>
        <v>-0.02267134749</v>
      </c>
      <c r="F753" s="7">
        <f>IFERROR(IF(OR(PRECIOS!F753="",PRECIOS!F752=""),"",PRECIOS!F753/PRECIOS!F752-1),"")</f>
        <v>-0.02858575727</v>
      </c>
      <c r="G753" s="7">
        <f>IFERROR(IF(OR(PRECIOS!G753="",PRECIOS!G752=""),"",PRECIOS!G753/PRECIOS!G752-1),"")</f>
        <v>0.003959012576</v>
      </c>
      <c r="H753" s="7">
        <f>IFERROR(IF(OR(PRECIOS!H753="",PRECIOS!H752=""),"",PRECIOS!H753/PRECIOS!H752-1),"")</f>
        <v>-0.02649881529</v>
      </c>
      <c r="I753" s="7">
        <f>IFERROR(IF(OR(PRECIOS!I753="",PRECIOS!I752=""),"",PRECIOS!I753/PRECIOS!I752-1),"")</f>
        <v>0.01799935737</v>
      </c>
    </row>
    <row r="754" ht="15.75" customHeight="1">
      <c r="A754" s="4">
        <f>IF(PRECIOS!A754="","",PRECIOS!A754)</f>
        <v>45506</v>
      </c>
      <c r="B754" s="7">
        <f>IFERROR(IF(OR(PRECIOS!B754="",PRECIOS!B753=""),"",PRECIOS!B754/PRECIOS!B753-1),"")</f>
        <v>-0.0005985463873</v>
      </c>
      <c r="C754" s="7">
        <f>IFERROR(IF(OR(PRECIOS!C754="",PRECIOS!C753=""),"",PRECIOS!C754/PRECIOS!C753-1),"")</f>
        <v>0.01153363024</v>
      </c>
      <c r="D754" s="7">
        <f>IFERROR(IF(OR(PRECIOS!D754="",PRECIOS!D753=""),"",PRECIOS!D754/PRECIOS!D753-1),"")</f>
        <v>-0.04747501315</v>
      </c>
      <c r="E754" s="7">
        <f>IFERROR(IF(OR(PRECIOS!E754="",PRECIOS!E753=""),"",PRECIOS!E754/PRECIOS!E753-1),"")</f>
        <v>-0.05915133611</v>
      </c>
      <c r="F754" s="7">
        <f>IFERROR(IF(OR(PRECIOS!F754="",PRECIOS!F753=""),"",PRECIOS!F754/PRECIOS!F753-1),"")</f>
        <v>-0.06350025813</v>
      </c>
      <c r="G754" s="7">
        <f>IFERROR(IF(OR(PRECIOS!G754="",PRECIOS!G753=""),"",PRECIOS!G754/PRECIOS!G753-1),"")</f>
        <v>-0.02110879146</v>
      </c>
      <c r="H754" s="7">
        <f>IFERROR(IF(OR(PRECIOS!H754="",PRECIOS!H753=""),"",PRECIOS!H754/PRECIOS!H753-1),"")</f>
        <v>-0.02578662523</v>
      </c>
      <c r="I754" s="7">
        <f>IFERROR(IF(OR(PRECIOS!I754="",PRECIOS!I753=""),"",PRECIOS!I754/PRECIOS!I753-1),"")</f>
        <v>0.00162043952</v>
      </c>
    </row>
    <row r="755" ht="15.75" customHeight="1">
      <c r="A755" s="4">
        <f>IF(PRECIOS!A755="","",PRECIOS!A755)</f>
        <v>45509</v>
      </c>
      <c r="B755" s="7">
        <f>IFERROR(IF(OR(PRECIOS!B755="",PRECIOS!B754=""),"",PRECIOS!B755/PRECIOS!B754-1),"")</f>
        <v>-0.01805270363</v>
      </c>
      <c r="C755" s="7">
        <f>IFERROR(IF(OR(PRECIOS!C755="",PRECIOS!C754=""),"",PRECIOS!C755/PRECIOS!C754-1),"")</f>
        <v>-0.02269135245</v>
      </c>
      <c r="D755" s="7">
        <f>IFERROR(IF(OR(PRECIOS!D755="",PRECIOS!D754=""),"",PRECIOS!D755/PRECIOS!D754-1),"")</f>
        <v>-0.03078834737</v>
      </c>
      <c r="E755" s="7">
        <f>IFERROR(IF(OR(PRECIOS!E755="",PRECIOS!E754=""),"",PRECIOS!E755/PRECIOS!E754-1),"")</f>
        <v>-0.02761721259</v>
      </c>
      <c r="F755" s="7">
        <f>IFERROR(IF(OR(PRECIOS!F755="",PRECIOS!F754=""),"",PRECIOS!F755/PRECIOS!F754-1),"")</f>
        <v>-0.00441014333</v>
      </c>
      <c r="G755" s="7">
        <f>IFERROR(IF(OR(PRECIOS!G755="",PRECIOS!G754=""),"",PRECIOS!G755/PRECIOS!G754-1),"")</f>
        <v>-0.02274881517</v>
      </c>
      <c r="H755" s="7">
        <f>IFERROR(IF(OR(PRECIOS!H755="",PRECIOS!H754=""),"",PRECIOS!H755/PRECIOS!H754-1),"")</f>
        <v>-0.02206200467</v>
      </c>
      <c r="I755" s="7">
        <f>IFERROR(IF(OR(PRECIOS!I755="",PRECIOS!I754=""),"",PRECIOS!I755/PRECIOS!I754-1),"")</f>
        <v>-0.02641122963</v>
      </c>
    </row>
    <row r="756" ht="15.75" customHeight="1">
      <c r="A756" s="4">
        <f>IF(PRECIOS!A756="","",PRECIOS!A756)</f>
        <v>45510</v>
      </c>
      <c r="B756" s="7">
        <f>IFERROR(IF(OR(PRECIOS!B756="",PRECIOS!B755=""),"",PRECIOS!B756/PRECIOS!B755-1),"")</f>
        <v>-0.005314977782</v>
      </c>
      <c r="C756" s="7">
        <f>IFERROR(IF(OR(PRECIOS!C756="",PRECIOS!C755=""),"",PRECIOS!C756/PRECIOS!C755-1),"")</f>
        <v>-0.001386161488</v>
      </c>
      <c r="D756" s="7">
        <f>IFERROR(IF(OR(PRECIOS!D756="",PRECIOS!D755=""),"",PRECIOS!D756/PRECIOS!D755-1),"")</f>
        <v>0.05968660969</v>
      </c>
      <c r="E756" s="7">
        <f>IFERROR(IF(OR(PRECIOS!E756="",PRECIOS!E755=""),"",PRECIOS!E756/PRECIOS!E755-1),"")</f>
        <v>0.01882430647</v>
      </c>
      <c r="F756" s="7">
        <f>IFERROR(IF(OR(PRECIOS!F756="",PRECIOS!F755=""),"",PRECIOS!F756/PRECIOS!F755-1),"")</f>
        <v>0.02159468439</v>
      </c>
      <c r="G756" s="7">
        <f>IFERROR(IF(OR(PRECIOS!G756="",PRECIOS!G755=""),"",PRECIOS!G756/PRECIOS!G755-1),"")</f>
        <v>0.03855480116</v>
      </c>
      <c r="H756" s="7">
        <f>IFERROR(IF(OR(PRECIOS!H756="",PRECIOS!H755=""),"",PRECIOS!H756/PRECIOS!H755-1),"")</f>
        <v>0.006130331529</v>
      </c>
      <c r="I756" s="7">
        <f>IFERROR(IF(OR(PRECIOS!I756="",PRECIOS!I755=""),"",PRECIOS!I756/PRECIOS!I755-1),"")</f>
        <v>0.008444354536</v>
      </c>
    </row>
    <row r="757" ht="15.75" customHeight="1">
      <c r="A757" s="4">
        <f>IF(PRECIOS!A757="","",PRECIOS!A757)</f>
        <v>45511</v>
      </c>
      <c r="B757" s="7">
        <f>IFERROR(IF(OR(PRECIOS!B757="",PRECIOS!B756=""),"",PRECIOS!B757/PRECIOS!B756-1),"")</f>
        <v>0.01331464611</v>
      </c>
      <c r="C757" s="7">
        <f>IFERROR(IF(OR(PRECIOS!C757="",PRECIOS!C756=""),"",PRECIOS!C757/PRECIOS!C756-1),"")</f>
        <v>0.00971659919</v>
      </c>
      <c r="D757" s="7">
        <f>IFERROR(IF(OR(PRECIOS!D757="",PRECIOS!D756=""),"",PRECIOS!D757/PRECIOS!D756-1),"")</f>
        <v>-0.005914773491</v>
      </c>
      <c r="E757" s="7">
        <f>IFERROR(IF(OR(PRECIOS!E757="",PRECIOS!E756=""),"",PRECIOS!E757/PRECIOS!E756-1),"")</f>
        <v>0.0001080497029</v>
      </c>
      <c r="F757" s="7">
        <f>IFERROR(IF(OR(PRECIOS!F757="",PRECIOS!F756=""),"",PRECIOS!F757/PRECIOS!F756-1),"")</f>
        <v>0.03143631436</v>
      </c>
      <c r="G757" s="7">
        <f>IFERROR(IF(OR(PRECIOS!G757="",PRECIOS!G756=""),"",PRECIOS!G757/PRECIOS!G756-1),"")</f>
        <v>0.003969180481</v>
      </c>
      <c r="H757" s="7">
        <f>IFERROR(IF(OR(PRECIOS!H757="",PRECIOS!H756=""),"",PRECIOS!H757/PRECIOS!H756-1),"")</f>
        <v>0.004024942078</v>
      </c>
      <c r="I757" s="7">
        <f>IFERROR(IF(OR(PRECIOS!I757="",PRECIOS!I756=""),"",PRECIOS!I757/PRECIOS!I756-1),"")</f>
        <v>0.005622549806</v>
      </c>
    </row>
    <row r="758" ht="15.75" customHeight="1">
      <c r="A758" s="4">
        <f>IF(PRECIOS!A758="","",PRECIOS!A758)</f>
        <v>45512</v>
      </c>
      <c r="B758" s="7">
        <f>IFERROR(IF(OR(PRECIOS!B758="",PRECIOS!B757=""),"",PRECIOS!B758/PRECIOS!B757-1),"")</f>
        <v>0.019104426</v>
      </c>
      <c r="C758" s="7">
        <f>IFERROR(IF(OR(PRECIOS!C758="",PRECIOS!C757=""),"",PRECIOS!C758/PRECIOS!C757-1),"")</f>
        <v>-0.009508534769</v>
      </c>
      <c r="D758" s="7">
        <f>IFERROR(IF(OR(PRECIOS!D758="",PRECIOS!D757=""),"",PRECIOS!D758/PRECIOS!D757-1),"")</f>
        <v>0.06937119675</v>
      </c>
      <c r="E758" s="7">
        <f>IFERROR(IF(OR(PRECIOS!E758="",PRECIOS!E757=""),"",PRECIOS!E758/PRECIOS!E757-1),"")</f>
        <v>0.03529242293</v>
      </c>
      <c r="F758" s="7">
        <f>IFERROR(IF(OR(PRECIOS!F758="",PRECIOS!F757=""),"",PRECIOS!F758/PRECIOS!F757-1),"")</f>
        <v>0.0394114556</v>
      </c>
      <c r="G758" s="7">
        <f>IFERROR(IF(OR(PRECIOS!G758="",PRECIOS!G757=""),"",PRECIOS!G758/PRECIOS!G757-1),"")</f>
        <v>0.02</v>
      </c>
      <c r="H758" s="7">
        <f>IFERROR(IF(OR(PRECIOS!H758="",PRECIOS!H757=""),"",PRECIOS!H758/PRECIOS!H757-1),"")</f>
        <v>0.02152628223</v>
      </c>
      <c r="I758" s="7">
        <f>IFERROR(IF(OR(PRECIOS!I758="",PRECIOS!I757=""),"",PRECIOS!I758/PRECIOS!I757-1),"")</f>
        <v>0.001094285209</v>
      </c>
    </row>
    <row r="759" ht="15.75" customHeight="1">
      <c r="A759" s="4">
        <f>IF(PRECIOS!A759="","",PRECIOS!A759)</f>
        <v>45513</v>
      </c>
      <c r="B759" s="7">
        <f>IFERROR(IF(OR(PRECIOS!B759="",PRECIOS!B758=""),"",PRECIOS!B759/PRECIOS!B758-1),"")</f>
        <v>0.008143184324</v>
      </c>
      <c r="C759" s="7">
        <f>IFERROR(IF(OR(PRECIOS!C759="",PRECIOS!C758=""),"",PRECIOS!C759/PRECIOS!C758-1),"")</f>
        <v>0.003932454314</v>
      </c>
      <c r="D759" s="7">
        <f>IFERROR(IF(OR(PRECIOS!D759="",PRECIOS!D758=""),"",PRECIOS!D759/PRECIOS!D758-1),"")</f>
        <v>-0.005563985837</v>
      </c>
      <c r="E759" s="7">
        <f>IFERROR(IF(OR(PRECIOS!E759="",PRECIOS!E758=""),"",PRECIOS!E759/PRECIOS!E758-1),"")</f>
        <v>0.01447057187</v>
      </c>
      <c r="F759" s="7">
        <f>IFERROR(IF(OR(PRECIOS!F759="",PRECIOS!F758=""),"",PRECIOS!F759/PRECIOS!F758-1),"")</f>
        <v>0.04044489383</v>
      </c>
      <c r="G759" s="7">
        <f>IFERROR(IF(OR(PRECIOS!G759="",PRECIOS!G758=""),"",PRECIOS!G759/PRECIOS!G758-1),"")</f>
        <v>-0.01367989056</v>
      </c>
      <c r="H759" s="7">
        <f>IFERROR(IF(OR(PRECIOS!H759="",PRECIOS!H758=""),"",PRECIOS!H759/PRECIOS!H758-1),"")</f>
        <v>0.002244830177</v>
      </c>
      <c r="I759" s="7">
        <f>IFERROR(IF(OR(PRECIOS!I759="",PRECIOS!I758=""),"",PRECIOS!I759/PRECIOS!I758-1),"")</f>
        <v>0.003407363549</v>
      </c>
    </row>
    <row r="760" ht="15.75" customHeight="1">
      <c r="A760" s="4">
        <f>IF(PRECIOS!A760="","",PRECIOS!A760)</f>
        <v>45516</v>
      </c>
      <c r="B760" s="7">
        <f>IFERROR(IF(OR(PRECIOS!B760="",PRECIOS!B759=""),"",PRECIOS!B760/PRECIOS!B759-1),"")</f>
        <v>0.001262095078</v>
      </c>
      <c r="C760" s="7">
        <f>IFERROR(IF(OR(PRECIOS!C760="",PRECIOS!C759=""),"",PRECIOS!C760/PRECIOS!C759-1),"")</f>
        <v>0.004608294931</v>
      </c>
      <c r="D760" s="7">
        <f>IFERROR(IF(OR(PRECIOS!D760="",PRECIOS!D759=""),"",PRECIOS!D760/PRECIOS!D759-1),"")</f>
        <v>-0.008646998983</v>
      </c>
      <c r="E760" s="7">
        <f>IFERROR(IF(OR(PRECIOS!E760="",PRECIOS!E759=""),"",PRECIOS!E760/PRECIOS!E759-1),"")</f>
        <v>-0.01100672061</v>
      </c>
      <c r="F760" s="7">
        <f>IFERROR(IF(OR(PRECIOS!F760="",PRECIOS!F759=""),"",PRECIOS!F760/PRECIOS!F759-1),"")</f>
        <v>0.04178814383</v>
      </c>
      <c r="G760" s="7">
        <f>IFERROR(IF(OR(PRECIOS!G760="",PRECIOS!G759=""),"",PRECIOS!G760/PRECIOS!G759-1),"")</f>
        <v>0.001155802127</v>
      </c>
      <c r="H760" s="7">
        <f>IFERROR(IF(OR(PRECIOS!H760="",PRECIOS!H759=""),"",PRECIOS!H760/PRECIOS!H759-1),"")</f>
        <v>0.004919103891</v>
      </c>
      <c r="I760" s="7">
        <f>IFERROR(IF(OR(PRECIOS!I760="",PRECIOS!I759=""),"",PRECIOS!I760/PRECIOS!I759-1),"")</f>
        <v>0.001764564036</v>
      </c>
    </row>
    <row r="761" ht="15.75" customHeight="1">
      <c r="A761" s="4">
        <f>IF(PRECIOS!A761="","",PRECIOS!A761)</f>
        <v>45517</v>
      </c>
      <c r="B761" s="7">
        <f>IFERROR(IF(OR(PRECIOS!B761="",PRECIOS!B760=""),"",PRECIOS!B761/PRECIOS!B760-1),"")</f>
        <v>-0.009579831933</v>
      </c>
      <c r="C761" s="7">
        <f>IFERROR(IF(OR(PRECIOS!C761="",PRECIOS!C760=""),"",PRECIOS!C761/PRECIOS!C760-1),"")</f>
        <v>0</v>
      </c>
      <c r="D761" s="7">
        <f>IFERROR(IF(OR(PRECIOS!D761="",PRECIOS!D760=""),"",PRECIOS!D761/PRECIOS!D760-1),"")</f>
        <v>0.03193945613</v>
      </c>
      <c r="E761" s="7">
        <f>IFERROR(IF(OR(PRECIOS!E761="",PRECIOS!E760=""),"",PRECIOS!E761/PRECIOS!E760-1),"")</f>
        <v>0.02413063828</v>
      </c>
      <c r="F761" s="7">
        <f>IFERROR(IF(OR(PRECIOS!F761="",PRECIOS!F760=""),"",PRECIOS!F761/PRECIOS!F760-1),"")</f>
        <v>0.006996268657</v>
      </c>
      <c r="G761" s="7">
        <f>IFERROR(IF(OR(PRECIOS!G761="",PRECIOS!G760=""),"",PRECIOS!G761/PRECIOS!G760-1),"")</f>
        <v>-0.004386977603</v>
      </c>
      <c r="H761" s="7">
        <f>IFERROR(IF(OR(PRECIOS!H761="",PRECIOS!H760=""),"",PRECIOS!H761/PRECIOS!H760-1),"")</f>
        <v>-0.00968480531</v>
      </c>
      <c r="I761" s="7">
        <f>IFERROR(IF(OR(PRECIOS!I761="",PRECIOS!I760=""),"",PRECIOS!I761/PRECIOS!I760-1),"")</f>
        <v>0.005830928559</v>
      </c>
    </row>
    <row r="762" ht="15.75" customHeight="1">
      <c r="A762" s="4">
        <f>IF(PRECIOS!A762="","",PRECIOS!A762)</f>
        <v>45518</v>
      </c>
      <c r="B762" s="7">
        <f>IFERROR(IF(OR(PRECIOS!B762="",PRECIOS!B761=""),"",PRECIOS!B762/PRECIOS!B761-1),"")</f>
        <v>0.009248260648</v>
      </c>
      <c r="C762" s="7">
        <f>IFERROR(IF(OR(PRECIOS!C762="",PRECIOS!C761=""),"",PRECIOS!C762/PRECIOS!C761-1),"")</f>
        <v>-0.0001146788991</v>
      </c>
      <c r="D762" s="7">
        <f>IFERROR(IF(OR(PRECIOS!D762="",PRECIOS!D761=""),"",PRECIOS!D762/PRECIOS!D761-1),"")</f>
        <v>-0.01491609695</v>
      </c>
      <c r="E762" s="7">
        <f>IFERROR(IF(OR(PRECIOS!E762="",PRECIOS!E761=""),"",PRECIOS!E762/PRECIOS!E761-1),"")</f>
        <v>0.009851382917</v>
      </c>
      <c r="F762" s="7">
        <f>IFERROR(IF(OR(PRECIOS!F762="",PRECIOS!F761=""),"",PRECIOS!F762/PRECIOS!F761-1),"")</f>
        <v>0.0004631773969</v>
      </c>
      <c r="G762" s="7">
        <f>IFERROR(IF(OR(PRECIOS!G762="",PRECIOS!G761=""),"",PRECIOS!G762/PRECIOS!G761-1),"")</f>
        <v>0.006261595547</v>
      </c>
      <c r="H762" s="7">
        <f>IFERROR(IF(OR(PRECIOS!H762="",PRECIOS!H761=""),"",PRECIOS!H762/PRECIOS!H761-1),"")</f>
        <v>0.005845039156</v>
      </c>
      <c r="I762" s="7">
        <f>IFERROR(IF(OR(PRECIOS!I762="",PRECIOS!I761=""),"",PRECIOS!I762/PRECIOS!I761-1),"")</f>
        <v>-0.000672905827</v>
      </c>
    </row>
    <row r="763" ht="15.75" customHeight="1">
      <c r="A763" s="4">
        <f>IF(PRECIOS!A763="","",PRECIOS!A763)</f>
        <v>45519</v>
      </c>
      <c r="B763" s="7">
        <f>IFERROR(IF(OR(PRECIOS!B763="",PRECIOS!B762=""),"",PRECIOS!B763/PRECIOS!B762-1),"")</f>
        <v>-0.001849516604</v>
      </c>
      <c r="C763" s="7">
        <f>IFERROR(IF(OR(PRECIOS!C763="",PRECIOS!C762=""),"",PRECIOS!C763/PRECIOS!C762-1),"")</f>
        <v>-0.002064456933</v>
      </c>
      <c r="D763" s="7">
        <f>IFERROR(IF(OR(PRECIOS!D763="",PRECIOS!D762=""),"",PRECIOS!D763/PRECIOS!D762-1),"")</f>
        <v>0.02776025237</v>
      </c>
      <c r="E763" s="7">
        <f>IFERROR(IF(OR(PRECIOS!E763="",PRECIOS!E762=""),"",PRECIOS!E763/PRECIOS!E762-1),"")</f>
        <v>0.01394569226</v>
      </c>
      <c r="F763" s="7">
        <f>IFERROR(IF(OR(PRECIOS!F763="",PRECIOS!F762=""),"",PRECIOS!F763/PRECIOS!F762-1),"")</f>
        <v>0.008333333333</v>
      </c>
      <c r="G763" s="7">
        <f>IFERROR(IF(OR(PRECIOS!G763="",PRECIOS!G762=""),"",PRECIOS!G763/PRECIOS!G762-1),"")</f>
        <v>0.01129292464</v>
      </c>
      <c r="H763" s="7">
        <f>IFERROR(IF(OR(PRECIOS!H763="",PRECIOS!H762=""),"",PRECIOS!H763/PRECIOS!H762-1),"")</f>
        <v>0.01195789731</v>
      </c>
      <c r="I763" s="7">
        <f>IFERROR(IF(OR(PRECIOS!I763="",PRECIOS!I762=""),"",PRECIOS!I763/PRECIOS!I762-1),"")</f>
        <v>-0.0001352352671</v>
      </c>
    </row>
    <row r="764" ht="15.75" customHeight="1">
      <c r="A764" s="4">
        <f>IF(PRECIOS!A764="","",PRECIOS!A764)</f>
        <v>45520</v>
      </c>
      <c r="B764" s="7">
        <f>IFERROR(IF(OR(PRECIOS!B764="",PRECIOS!B763=""),"",PRECIOS!B764/PRECIOS!B763-1),"")</f>
        <v>-0.004716583846</v>
      </c>
      <c r="C764" s="7">
        <f>IFERROR(IF(OR(PRECIOS!C764="",PRECIOS!C763=""),"",PRECIOS!C764/PRECIOS!C763-1),"")</f>
        <v>0.004022526146</v>
      </c>
      <c r="D764" s="7">
        <f>IFERROR(IF(OR(PRECIOS!D764="",PRECIOS!D763=""),"",PRECIOS!D764/PRECIOS!D763-1),"")</f>
        <v>-0.02578268877</v>
      </c>
      <c r="E764" s="7">
        <f>IFERROR(IF(OR(PRECIOS!E764="",PRECIOS!E763=""),"",PRECIOS!E764/PRECIOS!E763-1),"")</f>
        <v>-0.01910996495</v>
      </c>
      <c r="F764" s="7">
        <f>IFERROR(IF(OR(PRECIOS!F764="",PRECIOS!F763=""),"",PRECIOS!F764/PRECIOS!F763-1),"")</f>
        <v>-0.005050505051</v>
      </c>
      <c r="G764" s="7">
        <f>IFERROR(IF(OR(PRECIOS!G764="",PRECIOS!G763=""),"",PRECIOS!G764/PRECIOS!G763-1),"")</f>
        <v>0.005697356427</v>
      </c>
      <c r="H764" s="7">
        <f>IFERROR(IF(OR(PRECIOS!H764="",PRECIOS!H763=""),"",PRECIOS!H764/PRECIOS!H763-1),"")</f>
        <v>-0.001104398103</v>
      </c>
      <c r="I764" s="7">
        <f>IFERROR(IF(OR(PRECIOS!I764="",PRECIOS!I763=""),"",PRECIOS!I764/PRECIOS!I763-1),"")</f>
        <v>0.004454914072</v>
      </c>
    </row>
    <row r="765" ht="15.75" customHeight="1">
      <c r="A765" s="4">
        <f>IF(PRECIOS!A765="","",PRECIOS!A765)</f>
        <v>45523</v>
      </c>
      <c r="B765" s="7">
        <f>IFERROR(IF(OR(PRECIOS!B765="",PRECIOS!B764=""),"",PRECIOS!B765/PRECIOS!B764-1),"")</f>
        <v>0.003046458492</v>
      </c>
      <c r="C765" s="7">
        <f>IFERROR(IF(OR(PRECIOS!C765="",PRECIOS!C764=""),"",PRECIOS!C765/PRECIOS!C764-1),"")</f>
        <v>-0.004807692308</v>
      </c>
      <c r="D765" s="7">
        <f>IFERROR(IF(OR(PRECIOS!D765="",PRECIOS!D764=""),"",PRECIOS!D765/PRECIOS!D764-1),"")</f>
        <v>0.01751732829</v>
      </c>
      <c r="E765" s="7">
        <f>IFERROR(IF(OR(PRECIOS!E765="",PRECIOS!E764=""),"",PRECIOS!E765/PRECIOS!E764-1),"")</f>
        <v>0.00124713496</v>
      </c>
      <c r="F765" s="7">
        <f>IFERROR(IF(OR(PRECIOS!F765="",PRECIOS!F764=""),"",PRECIOS!F765/PRECIOS!F764-1),"")</f>
        <v>0.005537609599</v>
      </c>
      <c r="G765" s="7">
        <f>IFERROR(IF(OR(PRECIOS!G765="",PRECIOS!G764=""),"",PRECIOS!G765/PRECIOS!G764-1),"")</f>
        <v>0.02016768638</v>
      </c>
      <c r="H765" s="7">
        <f>IFERROR(IF(OR(PRECIOS!H765="",PRECIOS!H764=""),"",PRECIOS!H765/PRECIOS!H764-1),"")</f>
        <v>0.006742883157</v>
      </c>
      <c r="I765" s="7">
        <f>IFERROR(IF(OR(PRECIOS!I765="",PRECIOS!I764=""),"",PRECIOS!I765/PRECIOS!I764-1),"")</f>
        <v>0.006581198979</v>
      </c>
    </row>
    <row r="766" ht="15.75" customHeight="1">
      <c r="A766" s="4">
        <f>IF(PRECIOS!A766="","",PRECIOS!A766)</f>
        <v>45524</v>
      </c>
      <c r="B766" s="7">
        <f>IFERROR(IF(OR(PRECIOS!B766="",PRECIOS!B765=""),"",PRECIOS!B766/PRECIOS!B765-1),"")</f>
        <v>-0.03332489665</v>
      </c>
      <c r="C766" s="7">
        <f>IFERROR(IF(OR(PRECIOS!C766="",PRECIOS!C765=""),"",PRECIOS!C766/PRECIOS!C765-1),"")</f>
        <v>-0.001610305958</v>
      </c>
      <c r="D766" s="7">
        <f>IFERROR(IF(OR(PRECIOS!D766="",PRECIOS!D765=""),"",PRECIOS!D766/PRECIOS!D765-1),"")</f>
        <v>-0.0136239782</v>
      </c>
      <c r="E766" s="7">
        <f>IFERROR(IF(OR(PRECIOS!E766="",PRECIOS!E765=""),"",PRECIOS!E766/PRECIOS!E765-1),"")</f>
        <v>-0.002726813668</v>
      </c>
      <c r="F766" s="7">
        <f>IFERROR(IF(OR(PRECIOS!F766="",PRECIOS!F765=""),"",PRECIOS!F766/PRECIOS!F765-1),"")</f>
        <v>-0.006883891693</v>
      </c>
      <c r="G766" s="7">
        <f>IFERROR(IF(OR(PRECIOS!G766="",PRECIOS!G765=""),"",PRECIOS!G766/PRECIOS!G765-1),"")</f>
        <v>-0.01554864505</v>
      </c>
      <c r="H766" s="7">
        <f>IFERROR(IF(OR(PRECIOS!H766="",PRECIOS!H765=""),"",PRECIOS!H766/PRECIOS!H765-1),"")</f>
        <v>-0.02635021491</v>
      </c>
      <c r="I766" s="7">
        <f>IFERROR(IF(OR(PRECIOS!I766="",PRECIOS!I765=""),"",PRECIOS!I766/PRECIOS!I765-1),"")</f>
        <v>-0.002134798894</v>
      </c>
    </row>
    <row r="767" ht="15.75" customHeight="1">
      <c r="A767" s="4">
        <f>IF(PRECIOS!A767="","",PRECIOS!A767)</f>
        <v>45525</v>
      </c>
      <c r="B767" s="7">
        <f>IFERROR(IF(OR(PRECIOS!B767="",PRECIOS!B766=""),"",PRECIOS!B767/PRECIOS!B766-1),"")</f>
        <v>-0.006371094432</v>
      </c>
      <c r="C767" s="7">
        <f>IFERROR(IF(OR(PRECIOS!C767="",PRECIOS!C766=""),"",PRECIOS!C767/PRECIOS!C766-1),"")</f>
        <v>0.008870967742</v>
      </c>
      <c r="D767" s="7">
        <f>IFERROR(IF(OR(PRECIOS!D767="",PRECIOS!D766=""),"",PRECIOS!D767/PRECIOS!D766-1),"")</f>
        <v>0.03314917127</v>
      </c>
      <c r="E767" s="7">
        <f>IFERROR(IF(OR(PRECIOS!E767="",PRECIOS!E766=""),"",PRECIOS!E767/PRECIOS!E766-1),"")</f>
        <v>0.01164596273</v>
      </c>
      <c r="F767" s="7">
        <f>IFERROR(IF(OR(PRECIOS!F767="",PRECIOS!F766=""),"",PRECIOS!F767/PRECIOS!F766-1),"")</f>
        <v>-0.02402957486</v>
      </c>
      <c r="G767" s="7">
        <f>IFERROR(IF(OR(PRECIOS!G767="",PRECIOS!G766=""),"",PRECIOS!G767/PRECIOS!G766-1),"")</f>
        <v>0.004061371841</v>
      </c>
      <c r="H767" s="7">
        <f>IFERROR(IF(OR(PRECIOS!H767="",PRECIOS!H766=""),"",PRECIOS!H767/PRECIOS!H766-1),"")</f>
        <v>0.001687163811</v>
      </c>
      <c r="I767" s="7">
        <f>IFERROR(IF(OR(PRECIOS!I767="",PRECIOS!I766=""),"",PRECIOS!I767/PRECIOS!I766-1),"")</f>
        <v>0.007091188382</v>
      </c>
    </row>
    <row r="768" ht="15.75" customHeight="1">
      <c r="A768" s="4">
        <f>IF(PRECIOS!A768="","",PRECIOS!A768)</f>
        <v>45526</v>
      </c>
      <c r="B768" s="7">
        <f>IFERROR(IF(OR(PRECIOS!B768="",PRECIOS!B767=""),"",PRECIOS!B768/PRECIOS!B767-1),"")</f>
        <v>0.007729468599</v>
      </c>
      <c r="C768" s="7">
        <f>IFERROR(IF(OR(PRECIOS!C768="",PRECIOS!C767=""),"",PRECIOS!C768/PRECIOS!C767-1),"")</f>
        <v>-0.01324654562</v>
      </c>
      <c r="D768" s="7">
        <f>IFERROR(IF(OR(PRECIOS!D768="",PRECIOS!D767=""),"",PRECIOS!D768/PRECIOS!D767-1),"")</f>
        <v>0.01239669421</v>
      </c>
      <c r="E768" s="7">
        <f>IFERROR(IF(OR(PRECIOS!E768="",PRECIOS!E767=""),"",PRECIOS!E768/PRECIOS!E767-1),"")</f>
        <v>-0.006673562681</v>
      </c>
      <c r="F768" s="7">
        <f>IFERROR(IF(OR(PRECIOS!F768="",PRECIOS!F767=""),"",PRECIOS!F768/PRECIOS!F767-1),"")</f>
        <v>-0.02083333333</v>
      </c>
      <c r="G768" s="7">
        <f>IFERROR(IF(OR(PRECIOS!G768="",PRECIOS!G767=""),"",PRECIOS!G768/PRECIOS!G767-1),"")</f>
        <v>0.003820224719</v>
      </c>
      <c r="H768" s="7">
        <f>IFERROR(IF(OR(PRECIOS!H768="",PRECIOS!H767=""),"",PRECIOS!H768/PRECIOS!H767-1),"")</f>
        <v>0.002592720511</v>
      </c>
      <c r="I768" s="7">
        <f>IFERROR(IF(OR(PRECIOS!I768="",PRECIOS!I767=""),"",PRECIOS!I768/PRECIOS!I767-1),"")</f>
        <v>-0.001198039874</v>
      </c>
    </row>
    <row r="769" ht="15.75" customHeight="1">
      <c r="A769" s="4">
        <f>IF(PRECIOS!A769="","",PRECIOS!A769)</f>
        <v>45527</v>
      </c>
      <c r="B769" s="7">
        <f>IFERROR(IF(OR(PRECIOS!B769="",PRECIOS!B768=""),"",PRECIOS!B769/PRECIOS!B768-1),"")</f>
        <v>0.0138586246</v>
      </c>
      <c r="C769" s="7">
        <f>IFERROR(IF(OR(PRECIOS!C769="",PRECIOS!C768=""),"",PRECIOS!C769/PRECIOS!C768-1),"")</f>
        <v>-0.003356093045</v>
      </c>
      <c r="D769" s="7">
        <f>IFERROR(IF(OR(PRECIOS!D769="",PRECIOS!D768=""),"",PRECIOS!D769/PRECIOS!D768-1),"")</f>
        <v>0.02965186074</v>
      </c>
      <c r="E769" s="7">
        <f>IFERROR(IF(OR(PRECIOS!E769="",PRECIOS!E768=""),"",PRECIOS!E769/PRECIOS!E768-1),"")</f>
        <v>0.007759750076</v>
      </c>
      <c r="F769" s="7">
        <f>IFERROR(IF(OR(PRECIOS!F769="",PRECIOS!F768=""),"",PRECIOS!F769/PRECIOS!F768-1),"")</f>
        <v>0.01885880077</v>
      </c>
      <c r="G769" s="7">
        <f>IFERROR(IF(OR(PRECIOS!G769="",PRECIOS!G768=""),"",PRECIOS!G769/PRECIOS!G768-1),"")</f>
        <v>0.01387956123</v>
      </c>
      <c r="H769" s="7">
        <f>IFERROR(IF(OR(PRECIOS!H769="",PRECIOS!H768=""),"",PRECIOS!H769/PRECIOS!H768-1),"")</f>
        <v>0.01493329684</v>
      </c>
      <c r="I769" s="7">
        <f>IFERROR(IF(OR(PRECIOS!I769="",PRECIOS!I768=""),"",PRECIOS!I769/PRECIOS!I768-1),"")</f>
        <v>0.002790449721</v>
      </c>
    </row>
    <row r="770" ht="15.75" customHeight="1">
      <c r="A770" s="4">
        <f>IF(PRECIOS!A770="","",PRECIOS!A770)</f>
        <v>45530</v>
      </c>
      <c r="B770" s="7">
        <f>IFERROR(IF(OR(PRECIOS!B770="",PRECIOS!B769=""),"",PRECIOS!B770/PRECIOS!B769-1),"")</f>
        <v>0.02140646492</v>
      </c>
      <c r="C770" s="7">
        <f>IFERROR(IF(OR(PRECIOS!C770="",PRECIOS!C769=""),"",PRECIOS!C770/PRECIOS!C769-1),"")</f>
        <v>0.004296330701</v>
      </c>
      <c r="D770" s="7">
        <f>IFERROR(IF(OR(PRECIOS!D770="",PRECIOS!D769=""),"",PRECIOS!D770/PRECIOS!D769-1),"")</f>
        <v>-0.01037658855</v>
      </c>
      <c r="E770" s="7">
        <f>IFERROR(IF(OR(PRECIOS!E770="",PRECIOS!E769=""),"",PRECIOS!E770/PRECIOS!E769-1),"")</f>
        <v>-0.0103</v>
      </c>
      <c r="F770" s="7">
        <f>IFERROR(IF(OR(PRECIOS!F770="",PRECIOS!F769=""),"",PRECIOS!F770/PRECIOS!F769-1),"")</f>
        <v>0.0118652112</v>
      </c>
      <c r="G770" s="7">
        <f>IFERROR(IF(OR(PRECIOS!G770="",PRECIOS!G769=""),"",PRECIOS!G770/PRECIOS!G769-1),"")</f>
        <v>0.004415985869</v>
      </c>
      <c r="H770" s="7">
        <f>IFERROR(IF(OR(PRECIOS!H770="",PRECIOS!H769=""),"",PRECIOS!H770/PRECIOS!H769-1),"")</f>
        <v>0.008959727721</v>
      </c>
      <c r="I770" s="7">
        <f>IFERROR(IF(OR(PRECIOS!I770="",PRECIOS!I769=""),"",PRECIOS!I770/PRECIOS!I769-1),"")</f>
        <v>0.006498468831</v>
      </c>
    </row>
    <row r="771" ht="15.75" customHeight="1">
      <c r="A771" s="4">
        <f>IF(PRECIOS!A771="","",PRECIOS!A771)</f>
        <v>45531</v>
      </c>
      <c r="B771" s="7">
        <f>IFERROR(IF(OR(PRECIOS!B771="",PRECIOS!B770=""),"",PRECIOS!B771/PRECIOS!B770-1),"")</f>
        <v>-0.009510983924</v>
      </c>
      <c r="C771" s="7">
        <f>IFERROR(IF(OR(PRECIOS!C771="",PRECIOS!C770=""),"",PRECIOS!C771/PRECIOS!C770-1),"")</f>
        <v>-0.008671522719</v>
      </c>
      <c r="D771" s="7">
        <f>IFERROR(IF(OR(PRECIOS!D771="",PRECIOS!D770=""),"",PRECIOS!D771/PRECIOS!D770-1),"")</f>
        <v>-0.003416588124</v>
      </c>
      <c r="E771" s="7">
        <f>IFERROR(IF(OR(PRECIOS!E771="",PRECIOS!E770=""),"",PRECIOS!E771/PRECIOS!E770-1),"")</f>
        <v>-0.002963861103</v>
      </c>
      <c r="F771" s="7">
        <f>IFERROR(IF(OR(PRECIOS!F771="",PRECIOS!F770=""),"",PRECIOS!F771/PRECIOS!F770-1),"")</f>
        <v>0.0126641651</v>
      </c>
      <c r="G771" s="7">
        <f>IFERROR(IF(OR(PRECIOS!G771="",PRECIOS!G770=""),"",PRECIOS!G771/PRECIOS!G770-1),"")</f>
        <v>-0.002418113871</v>
      </c>
      <c r="H771" s="7">
        <f>IFERROR(IF(OR(PRECIOS!H771="",PRECIOS!H770=""),"",PRECIOS!H771/PRECIOS!H770-1),"")</f>
        <v>-0.00931795088</v>
      </c>
      <c r="I771" s="7">
        <f>IFERROR(IF(OR(PRECIOS!I771="",PRECIOS!I770=""),"",PRECIOS!I771/PRECIOS!I770-1),"")</f>
        <v>-0.007906269171</v>
      </c>
    </row>
    <row r="772" ht="15.75" customHeight="1">
      <c r="A772" s="4">
        <f>IF(PRECIOS!A772="","",PRECIOS!A772)</f>
        <v>45532</v>
      </c>
      <c r="B772" s="7">
        <f>IFERROR(IF(OR(PRECIOS!B772="",PRECIOS!B771=""),"",PRECIOS!B772/PRECIOS!B771-1),"")</f>
        <v>-0.009857239973</v>
      </c>
      <c r="C772" s="7">
        <f>IFERROR(IF(OR(PRECIOS!C772="",PRECIOS!C771=""),"",PRECIOS!C772/PRECIOS!C771-1),"")</f>
        <v>0.0001166316772</v>
      </c>
      <c r="D772" s="7">
        <f>IFERROR(IF(OR(PRECIOS!D772="",PRECIOS!D771=""),"",PRECIOS!D772/PRECIOS!D771-1),"")</f>
        <v>-0.02470741222</v>
      </c>
      <c r="E772" s="7">
        <f>IFERROR(IF(OR(PRECIOS!E772="",PRECIOS!E771=""),"",PRECIOS!E772/PRECIOS!E771-1),"")</f>
        <v>-0.008208627504</v>
      </c>
      <c r="F772" s="7">
        <f>IFERROR(IF(OR(PRECIOS!F772="",PRECIOS!F771=""),"",PRECIOS!F772/PRECIOS!F771-1),"")</f>
        <v>0.006484483557</v>
      </c>
      <c r="G772" s="7">
        <f>IFERROR(IF(OR(PRECIOS!G772="",PRECIOS!G771=""),"",PRECIOS!G772/PRECIOS!G771-1),"")</f>
        <v>-0.009916262671</v>
      </c>
      <c r="H772" s="7">
        <f>IFERROR(IF(OR(PRECIOS!H772="",PRECIOS!H771=""),"",PRECIOS!H772/PRECIOS!H771-1),"")</f>
        <v>-0.00642157239</v>
      </c>
      <c r="I772" s="7">
        <f>IFERROR(IF(OR(PRECIOS!I772="",PRECIOS!I771=""),"",PRECIOS!I772/PRECIOS!I771-1),"")</f>
        <v>0</v>
      </c>
    </row>
    <row r="773" ht="15.75" customHeight="1">
      <c r="A773" s="4">
        <f>IF(PRECIOS!A773="","",PRECIOS!A773)</f>
        <v>45533</v>
      </c>
      <c r="B773" s="7">
        <f>IFERROR(IF(OR(PRECIOS!B773="",PRECIOS!B772=""),"",PRECIOS!B773/PRECIOS!B772-1),"")</f>
        <v>0.01381737041</v>
      </c>
      <c r="C773" s="7">
        <f>IFERROR(IF(OR(PRECIOS!C773="",PRECIOS!C772=""),"",PRECIOS!C773/PRECIOS!C772-1),"")</f>
        <v>0.000583090379</v>
      </c>
      <c r="D773" s="7">
        <f>IFERROR(IF(OR(PRECIOS!D773="",PRECIOS!D772=""),"",PRECIOS!D773/PRECIOS!D772-1),"")</f>
        <v>0.0263030303</v>
      </c>
      <c r="E773" s="7">
        <f>IFERROR(IF(OR(PRECIOS!E773="",PRECIOS!E772=""),"",PRECIOS!E773/PRECIOS!E772-1),"")</f>
        <v>0.02551089918</v>
      </c>
      <c r="F773" s="7">
        <f>IFERROR(IF(OR(PRECIOS!F773="",PRECIOS!F772=""),"",PRECIOS!F773/PRECIOS!F772-1),"")</f>
        <v>0.03267372296</v>
      </c>
      <c r="G773" s="7">
        <f>IFERROR(IF(OR(PRECIOS!G773="",PRECIOS!G772=""),"",PRECIOS!G773/PRECIOS!G772-1),"")</f>
        <v>0.01246383263</v>
      </c>
      <c r="H773" s="7">
        <f>IFERROR(IF(OR(PRECIOS!H773="",PRECIOS!H772=""),"",PRECIOS!H773/PRECIOS!H772-1),"")</f>
        <v>0.01303617075</v>
      </c>
      <c r="I773" s="7">
        <f>IFERROR(IF(OR(PRECIOS!I773="",PRECIOS!I772=""),"",PRECIOS!I773/PRECIOS!I772-1),"")</f>
        <v>0.005445949506</v>
      </c>
    </row>
    <row r="774" ht="15.75" customHeight="1">
      <c r="A774" s="4">
        <f>IF(PRECIOS!A774="","",PRECIOS!A774)</f>
        <v>45534</v>
      </c>
      <c r="B774" s="7">
        <f>IFERROR(IF(OR(PRECIOS!B774="",PRECIOS!B773=""),"",PRECIOS!B774/PRECIOS!B773-1),"")</f>
        <v>-0.001608397528</v>
      </c>
      <c r="C774" s="7">
        <f>IFERROR(IF(OR(PRECIOS!C774="",PRECIOS!C773=""),"",PRECIOS!C774/PRECIOS!C773-1),"")</f>
        <v>0.006993006993</v>
      </c>
      <c r="D774" s="7">
        <f>IFERROR(IF(OR(PRECIOS!D774="",PRECIOS!D773=""),"",PRECIOS!D774/PRECIOS!D773-1),"")</f>
        <v>0.008976024566</v>
      </c>
      <c r="E774" s="7">
        <f>IFERROR(IF(OR(PRECIOS!E774="",PRECIOS!E773=""),"",PRECIOS!E774/PRECIOS!E773-1),"")</f>
        <v>0.01939619383</v>
      </c>
      <c r="F774" s="7">
        <f>IFERROR(IF(OR(PRECIOS!F774="",PRECIOS!F773=""),"",PRECIOS!F774/PRECIOS!F773-1),"")</f>
        <v>0.05614973262</v>
      </c>
      <c r="G774" s="7">
        <f>IFERROR(IF(OR(PRECIOS!G774="",PRECIOS!G773=""),"",PRECIOS!G774/PRECIOS!G773-1),"")</f>
        <v>0.006155198945</v>
      </c>
      <c r="H774" s="7">
        <f>IFERROR(IF(OR(PRECIOS!H774="",PRECIOS!H773=""),"",PRECIOS!H774/PRECIOS!H773-1),"")</f>
        <v>0.003736438945</v>
      </c>
      <c r="I774" s="7">
        <f>IFERROR(IF(OR(PRECIOS!I774="",PRECIOS!I773=""),"",PRECIOS!I774/PRECIOS!I773-1),"")</f>
        <v>0.007526220425</v>
      </c>
    </row>
    <row r="775" ht="15.75" customHeight="1">
      <c r="A775" s="4">
        <f>IF(PRECIOS!A775="","",PRECIOS!A775)</f>
        <v>45538</v>
      </c>
      <c r="B775" s="7">
        <f>IFERROR(IF(OR(PRECIOS!B775="",PRECIOS!B774=""),"",PRECIOS!B775/PRECIOS!B774-1),"")</f>
        <v>-0.0209428523</v>
      </c>
      <c r="C775" s="7">
        <f>IFERROR(IF(OR(PRECIOS!C775="",PRECIOS!C774=""),"",PRECIOS!C775/PRECIOS!C774-1),"")</f>
        <v>0.02905092593</v>
      </c>
      <c r="D775" s="7">
        <f>IFERROR(IF(OR(PRECIOS!D775="",PRECIOS!D774=""),"",PRECIOS!D775/PRECIOS!D774-1),"")</f>
        <v>-0.1134261969</v>
      </c>
      <c r="E775" s="7">
        <f>IFERROR(IF(OR(PRECIOS!E775="",PRECIOS!E774=""),"",PRECIOS!E775/PRECIOS!E774-1),"")</f>
        <v>-0.05603883622</v>
      </c>
      <c r="F775" s="7">
        <f>IFERROR(IF(OR(PRECIOS!F775="",PRECIOS!F774=""),"",PRECIOS!F775/PRECIOS!F774-1),"")</f>
        <v>-0.01898734177</v>
      </c>
      <c r="G775" s="7">
        <f>IFERROR(IF(OR(PRECIOS!G775="",PRECIOS!G774=""),"",PRECIOS!G775/PRECIOS!G774-1),"")</f>
        <v>-0.004806641905</v>
      </c>
      <c r="H775" s="7">
        <f>IFERROR(IF(OR(PRECIOS!H775="",PRECIOS!H774=""),"",PRECIOS!H775/PRECIOS!H774-1),"")</f>
        <v>-0.02486521081</v>
      </c>
      <c r="I775" s="7">
        <f>IFERROR(IF(OR(PRECIOS!I775="",PRECIOS!I774=""),"",PRECIOS!I775/PRECIOS!I774-1),"")</f>
        <v>-0.001439802041</v>
      </c>
    </row>
    <row r="776" ht="15.75" customHeight="1">
      <c r="A776" s="4">
        <f>IF(PRECIOS!A776="","",PRECIOS!A776)</f>
        <v>45539</v>
      </c>
      <c r="B776" s="7">
        <f>IFERROR(IF(OR(PRECIOS!B776="",PRECIOS!B775=""),"",PRECIOS!B776/PRECIOS!B775-1),"")</f>
        <v>-0.01221096389</v>
      </c>
      <c r="C776" s="7">
        <f>IFERROR(IF(OR(PRECIOS!C776="",PRECIOS!C775=""),"",PRECIOS!C776/PRECIOS!C775-1),"")</f>
        <v>0.002474412327</v>
      </c>
      <c r="D776" s="7">
        <f>IFERROR(IF(OR(PRECIOS!D776="",PRECIOS!D775=""),"",PRECIOS!D776/PRECIOS!D775-1),"")</f>
        <v>0.01241087932</v>
      </c>
      <c r="E776" s="7">
        <f>IFERROR(IF(OR(PRECIOS!E776="",PRECIOS!E775=""),"",PRECIOS!E776/PRECIOS!E775-1),"")</f>
        <v>-0.003313429745</v>
      </c>
      <c r="F776" s="7">
        <f>IFERROR(IF(OR(PRECIOS!F776="",PRECIOS!F775=""),"",PRECIOS!F776/PRECIOS!F775-1),"")</f>
        <v>0.03397849462</v>
      </c>
      <c r="G776" s="7">
        <f>IFERROR(IF(OR(PRECIOS!G776="",PRECIOS!G775=""),"",PRECIOS!G776/PRECIOS!G775-1),"")</f>
        <v>-0.0241492865</v>
      </c>
      <c r="H776" s="7">
        <f>IFERROR(IF(OR(PRECIOS!H776="",PRECIOS!H775=""),"",PRECIOS!H776/PRECIOS!H775-1),"")</f>
        <v>-0.01382262188</v>
      </c>
      <c r="I776" s="7">
        <f>IFERROR(IF(OR(PRECIOS!I776="",PRECIOS!I775=""),"",PRECIOS!I776/PRECIOS!I775-1),"")</f>
        <v>0.008530654985</v>
      </c>
    </row>
    <row r="777" ht="15.75" customHeight="1">
      <c r="A777" s="4">
        <f>IF(PRECIOS!A777="","",PRECIOS!A777)</f>
        <v>45540</v>
      </c>
      <c r="B777" s="7">
        <f>IFERROR(IF(OR(PRECIOS!B777="",PRECIOS!B776=""),"",PRECIOS!B777/PRECIOS!B776-1),"")</f>
        <v>-0.007802910749</v>
      </c>
      <c r="C777" s="7">
        <f>IFERROR(IF(OR(PRECIOS!C777="",PRECIOS!C776=""),"",PRECIOS!C777/PRECIOS!C776-1),"")</f>
        <v>0.004263435431</v>
      </c>
      <c r="D777" s="7">
        <f>IFERROR(IF(OR(PRECIOS!D777="",PRECIOS!D776=""),"",PRECIOS!D777/PRECIOS!D776-1),"")</f>
        <v>-0.01108502869</v>
      </c>
      <c r="E777" s="7">
        <f>IFERROR(IF(OR(PRECIOS!E777="",PRECIOS!E776=""),"",PRECIOS!E777/PRECIOS!E776-1),"")</f>
        <v>-0.01056203899</v>
      </c>
      <c r="F777" s="7">
        <f>IFERROR(IF(OR(PRECIOS!F777="",PRECIOS!F776=""),"",PRECIOS!F777/PRECIOS!F776-1),"")</f>
        <v>-0.004991680532</v>
      </c>
      <c r="G777" s="7">
        <f>IFERROR(IF(OR(PRECIOS!G777="",PRECIOS!G776=""),"",PRECIOS!G777/PRECIOS!G776-1),"")</f>
        <v>0.008548931384</v>
      </c>
      <c r="H777" s="7">
        <f>IFERROR(IF(OR(PRECIOS!H777="",PRECIOS!H776=""),"",PRECIOS!H777/PRECIOS!H776-1),"")</f>
        <v>-0.007746704778</v>
      </c>
      <c r="I777" s="7">
        <f>IFERROR(IF(OR(PRECIOS!I777="",PRECIOS!I776=""),"",PRECIOS!I777/PRECIOS!I776-1),"")</f>
        <v>-0.002470686084</v>
      </c>
    </row>
    <row r="778" ht="15.75" customHeight="1">
      <c r="A778" s="4">
        <f>IF(PRECIOS!A778="","",PRECIOS!A778)</f>
        <v>45541</v>
      </c>
      <c r="B778" s="7">
        <f>IFERROR(IF(OR(PRECIOS!B778="",PRECIOS!B777=""),"",PRECIOS!B778/PRECIOS!B777-1),"")</f>
        <v>-0.004683219935</v>
      </c>
      <c r="C778" s="7">
        <f>IFERROR(IF(OR(PRECIOS!C778="",PRECIOS!C777=""),"",PRECIOS!C778/PRECIOS!C777-1),"")</f>
        <v>-0.01228912971</v>
      </c>
      <c r="D778" s="7">
        <f>IFERROR(IF(OR(PRECIOS!D778="",PRECIOS!D777=""),"",PRECIOS!D778/PRECIOS!D777-1),"")</f>
        <v>-0.02808914678</v>
      </c>
      <c r="E778" s="7">
        <f>IFERROR(IF(OR(PRECIOS!E778="",PRECIOS!E777=""),"",PRECIOS!E778/PRECIOS!E777-1),"")</f>
        <v>-0.002624947501</v>
      </c>
      <c r="F778" s="7">
        <f>IFERROR(IF(OR(PRECIOS!F778="",PRECIOS!F777=""),"",PRECIOS!F778/PRECIOS!F777-1),"")</f>
        <v>-0.02382943144</v>
      </c>
      <c r="G778" s="7">
        <f>IFERROR(IF(OR(PRECIOS!G778="",PRECIOS!G777=""),"",PRECIOS!G778/PRECIOS!G777-1),"")</f>
        <v>-0.01271469998</v>
      </c>
      <c r="H778" s="7">
        <f>IFERROR(IF(OR(PRECIOS!H778="",PRECIOS!H777=""),"",PRECIOS!H778/PRECIOS!H777-1),"")</f>
        <v>-0.01251417405</v>
      </c>
      <c r="I778" s="7">
        <f>IFERROR(IF(OR(PRECIOS!I778="",PRECIOS!I777=""),"",PRECIOS!I778/PRECIOS!I777-1),"")</f>
        <v>-0.00952575578</v>
      </c>
    </row>
    <row r="779" ht="15.75" customHeight="1">
      <c r="A779" s="4">
        <f>IF(PRECIOS!A779="","",PRECIOS!A779)</f>
        <v>45544</v>
      </c>
      <c r="B779" s="7">
        <f>IFERROR(IF(OR(PRECIOS!B779="",PRECIOS!B778=""),"",PRECIOS!B779/PRECIOS!B778-1),"")</f>
        <v>0.02104048295</v>
      </c>
      <c r="C779" s="7">
        <f>IFERROR(IF(OR(PRECIOS!C779="",PRECIOS!C778=""),"",PRECIOS!C779/PRECIOS!C778-1),"")</f>
        <v>0.01029295329</v>
      </c>
      <c r="D779" s="7">
        <f>IFERROR(IF(OR(PRECIOS!D779="",PRECIOS!D778=""),"",PRECIOS!D779/PRECIOS!D778-1),"")</f>
        <v>0.01696065129</v>
      </c>
      <c r="E779" s="7">
        <f>IFERROR(IF(OR(PRECIOS!E779="",PRECIOS!E778=""),"",PRECIOS!E779/PRECIOS!E778-1),"")</f>
        <v>0.01547531319</v>
      </c>
      <c r="F779" s="7">
        <f>IFERROR(IF(OR(PRECIOS!F779="",PRECIOS!F778=""),"",PRECIOS!F779/PRECIOS!F778-1),"")</f>
        <v>-0.003426124197</v>
      </c>
      <c r="G779" s="7">
        <f>IFERROR(IF(OR(PRECIOS!G779="",PRECIOS!G778=""),"",PRECIOS!G779/PRECIOS!G778-1),"")</f>
        <v>0.005874378671</v>
      </c>
      <c r="H779" s="7">
        <f>IFERROR(IF(OR(PRECIOS!H779="",PRECIOS!H778=""),"",PRECIOS!H779/PRECIOS!H778-1),"")</f>
        <v>0.007209817666</v>
      </c>
      <c r="I779" s="7">
        <f>IFERROR(IF(OR(PRECIOS!I779="",PRECIOS!I778=""),"",PRECIOS!I779/PRECIOS!I778-1),"")</f>
        <v>0.01014005155</v>
      </c>
    </row>
    <row r="780" ht="15.75" customHeight="1">
      <c r="A780" s="4">
        <f>IF(PRECIOS!A780="","",PRECIOS!A780)</f>
        <v>45545</v>
      </c>
      <c r="B780" s="7">
        <f>IFERROR(IF(OR(PRECIOS!B780="",PRECIOS!B779=""),"",PRECIOS!B780/PRECIOS!B779-1),"")</f>
        <v>-0.03643161464</v>
      </c>
      <c r="C780" s="7">
        <f>IFERROR(IF(OR(PRECIOS!C780="",PRECIOS!C779=""),"",PRECIOS!C780/PRECIOS!C779-1),"")</f>
        <v>0.003582624272</v>
      </c>
      <c r="D780" s="7">
        <f>IFERROR(IF(OR(PRECIOS!D780="",PRECIOS!D779=""),"",PRECIOS!D780/PRECIOS!D779-1),"")</f>
        <v>0.01507671781</v>
      </c>
      <c r="E780" s="7">
        <f>IFERROR(IF(OR(PRECIOS!E780="",PRECIOS!E779=""),"",PRECIOS!E780/PRECIOS!E779-1),"")</f>
        <v>-0.00373211694</v>
      </c>
      <c r="F780" s="7">
        <f>IFERROR(IF(OR(PRECIOS!F780="",PRECIOS!F779=""),"",PRECIOS!F780/PRECIOS!F779-1),"")</f>
        <v>-0.02363558229</v>
      </c>
      <c r="G780" s="7">
        <f>IFERROR(IF(OR(PRECIOS!G780="",PRECIOS!G779=""),"",PRECIOS!G780/PRECIOS!G779-1),"")</f>
        <v>0.006064690027</v>
      </c>
      <c r="H780" s="7">
        <f>IFERROR(IF(OR(PRECIOS!H780="",PRECIOS!H779=""),"",PRECIOS!H780/PRECIOS!H779-1),"")</f>
        <v>-0.01719813513</v>
      </c>
      <c r="I780" s="7">
        <f>IFERROR(IF(OR(PRECIOS!I780="",PRECIOS!I779=""),"",PRECIOS!I780/PRECIOS!I779-1),"")</f>
        <v>0.004697776386</v>
      </c>
    </row>
    <row r="781" ht="15.75" customHeight="1">
      <c r="A781" s="4">
        <f>IF(PRECIOS!A781="","",PRECIOS!A781)</f>
        <v>45546</v>
      </c>
      <c r="B781" s="7">
        <f>IFERROR(IF(OR(PRECIOS!B781="",PRECIOS!B780=""),"",PRECIOS!B781/PRECIOS!B780-1),"")</f>
        <v>-0.009926006136</v>
      </c>
      <c r="C781" s="7">
        <f>IFERROR(IF(OR(PRECIOS!C781="",PRECIOS!C780=""),"",PRECIOS!C781/PRECIOS!C780-1),"")</f>
        <v>-0.009705488621</v>
      </c>
      <c r="D781" s="7">
        <f>IFERROR(IF(OR(PRECIOS!D781="",PRECIOS!D780=""),"",PRECIOS!D781/PRECIOS!D780-1),"")</f>
        <v>0.05231335436</v>
      </c>
      <c r="E781" s="7">
        <f>IFERROR(IF(OR(PRECIOS!E781="",PRECIOS!E780=""),"",PRECIOS!E781/PRECIOS!E780-1),"")</f>
        <v>0.03066250434</v>
      </c>
      <c r="F781" s="7">
        <f>IFERROR(IF(OR(PRECIOS!F781="",PRECIOS!F780=""),"",PRECIOS!F781/PRECIOS!F780-1),"")</f>
        <v>0.004401408451</v>
      </c>
      <c r="G781" s="7">
        <f>IFERROR(IF(OR(PRECIOS!G781="",PRECIOS!G780=""),"",PRECIOS!G781/PRECIOS!G780-1),"")</f>
        <v>-0.004688546551</v>
      </c>
      <c r="H781" s="7">
        <f>IFERROR(IF(OR(PRECIOS!H781="",PRECIOS!H780=""),"",PRECIOS!H781/PRECIOS!H780-1),"")</f>
        <v>-0.009280192712</v>
      </c>
      <c r="I781" s="7">
        <f>IFERROR(IF(OR(PRECIOS!I781="",PRECIOS!I780=""),"",PRECIOS!I781/PRECIOS!I780-1),"")</f>
        <v>0.003117206983</v>
      </c>
    </row>
    <row r="782" ht="15.75" customHeight="1">
      <c r="A782" s="4">
        <f>IF(PRECIOS!A782="","",PRECIOS!A782)</f>
        <v>45547</v>
      </c>
      <c r="B782" s="7">
        <f>IFERROR(IF(OR(PRECIOS!B782="",PRECIOS!B781=""),"",PRECIOS!B782/PRECIOS!B781-1),"")</f>
        <v>0.01376230405</v>
      </c>
      <c r="C782" s="7">
        <f>IFERROR(IF(OR(PRECIOS!C782="",PRECIOS!C781=""),"",PRECIOS!C782/PRECIOS!C781-1),"")</f>
        <v>-0.003154218768</v>
      </c>
      <c r="D782" s="7">
        <f>IFERROR(IF(OR(PRECIOS!D782="",PRECIOS!D781=""),"",PRECIOS!D782/PRECIOS!D781-1),"")</f>
        <v>0.005121159131</v>
      </c>
      <c r="E782" s="7">
        <f>IFERROR(IF(OR(PRECIOS!E782="",PRECIOS!E781=""),"",PRECIOS!E782/PRECIOS!E781-1),"")</f>
        <v>0.02100020193</v>
      </c>
      <c r="F782" s="7">
        <f>IFERROR(IF(OR(PRECIOS!F782="",PRECIOS!F781=""),"",PRECIOS!F782/PRECIOS!F781-1),"")</f>
        <v>0.01270815074</v>
      </c>
      <c r="G782" s="7">
        <f>IFERROR(IF(OR(PRECIOS!G782="",PRECIOS!G781=""),"",PRECIOS!G782/PRECIOS!G781-1),"")</f>
        <v>0.01144010767</v>
      </c>
      <c r="H782" s="7">
        <f>IFERROR(IF(OR(PRECIOS!H782="",PRECIOS!H781=""),"",PRECIOS!H782/PRECIOS!H781-1),"")</f>
        <v>0.00901087184</v>
      </c>
      <c r="I782" s="7">
        <f>IFERROR(IF(OR(PRECIOS!I782="",PRECIOS!I781=""),"",PRECIOS!I782/PRECIOS!I781-1),"")</f>
        <v>0.002199583863</v>
      </c>
    </row>
    <row r="783" ht="15.75" customHeight="1">
      <c r="A783" s="4">
        <f>IF(PRECIOS!A783="","",PRECIOS!A783)</f>
        <v>45548</v>
      </c>
      <c r="B783" s="7">
        <f>IFERROR(IF(OR(PRECIOS!B783="",PRECIOS!B782=""),"",PRECIOS!B783/PRECIOS!B782-1),"")</f>
        <v>-0.0007192304234</v>
      </c>
      <c r="C783" s="7">
        <f>IFERROR(IF(OR(PRECIOS!C783="",PRECIOS!C782=""),"",PRECIOS!C783/PRECIOS!C782-1),"")</f>
        <v>0.01073567635</v>
      </c>
      <c r="D783" s="7">
        <f>IFERROR(IF(OR(PRECIOS!D783="",PRECIOS!D782=""),"",PRECIOS!D783/PRECIOS!D782-1),"")</f>
        <v>0.06312911644</v>
      </c>
      <c r="E783" s="7">
        <f>IFERROR(IF(OR(PRECIOS!E783="",PRECIOS!E782=""),"",PRECIOS!E783/PRECIOS!E782-1),"")</f>
        <v>0.007976794779</v>
      </c>
      <c r="F783" s="7">
        <f>IFERROR(IF(OR(PRECIOS!F783="",PRECIOS!F782=""),"",PRECIOS!F783/PRECIOS!F782-1),"")</f>
        <v>0.008654262224</v>
      </c>
      <c r="G783" s="7">
        <f>IFERROR(IF(OR(PRECIOS!G783="",PRECIOS!G782=""),"",PRECIOS!G783/PRECIOS!G782-1),"")</f>
        <v>-0.001330671989</v>
      </c>
      <c r="H783" s="7">
        <f>IFERROR(IF(OR(PRECIOS!H783="",PRECIOS!H782=""),"",PRECIOS!H783/PRECIOS!H782-1),"")</f>
        <v>0.005639213769</v>
      </c>
      <c r="I783" s="7">
        <f>IFERROR(IF(OR(PRECIOS!I783="",PRECIOS!I782=""),"",PRECIOS!I783/PRECIOS!I782-1),"")</f>
        <v>0.01406908899</v>
      </c>
    </row>
    <row r="784" ht="15.75" customHeight="1">
      <c r="A784" s="4">
        <f>IF(PRECIOS!A784="","",PRECIOS!A784)</f>
        <v>45551</v>
      </c>
      <c r="B784" s="7">
        <f>IFERROR(IF(OR(PRECIOS!B784="",PRECIOS!B783=""),"",PRECIOS!B784/PRECIOS!B783-1),"")</f>
        <v>0.01403508772</v>
      </c>
      <c r="C784" s="7">
        <f>IFERROR(IF(OR(PRECIOS!C784="",PRECIOS!C783=""),"",PRECIOS!C784/PRECIOS!C783-1),"")</f>
        <v>0.005031305903</v>
      </c>
      <c r="D784" s="7">
        <f>IFERROR(IF(OR(PRECIOS!D784="",PRECIOS!D783=""),"",PRECIOS!D784/PRECIOS!D783-1),"")</f>
        <v>0.04500292227</v>
      </c>
      <c r="E784" s="7">
        <f>IFERROR(IF(OR(PRECIOS!E784="",PRECIOS!E783=""),"",PRECIOS!E784/PRECIOS!E783-1),"")</f>
        <v>0.002452583388</v>
      </c>
      <c r="F784" s="7">
        <f>IFERROR(IF(OR(PRECIOS!F784="",PRECIOS!F783=""),"",PRECIOS!F784/PRECIOS!F783-1),"")</f>
        <v>0.02402402402</v>
      </c>
      <c r="G784" s="7">
        <f>IFERROR(IF(OR(PRECIOS!G784="",PRECIOS!G783=""),"",PRECIOS!G784/PRECIOS!G783-1),"")</f>
        <v>0.009105041084</v>
      </c>
      <c r="H784" s="7">
        <f>IFERROR(IF(OR(PRECIOS!H784="",PRECIOS!H783=""),"",PRECIOS!H784/PRECIOS!H783-1),"")</f>
        <v>0.01144842317</v>
      </c>
      <c r="I784" s="7">
        <f>IFERROR(IF(OR(PRECIOS!I784="",PRECIOS!I783=""),"",PRECIOS!I784/PRECIOS!I783-1),"")</f>
        <v>0.007638885196</v>
      </c>
    </row>
    <row r="785" ht="15.75" customHeight="1">
      <c r="A785" s="4">
        <f>IF(PRECIOS!A785="","",PRECIOS!A785)</f>
        <v>45552</v>
      </c>
      <c r="B785" s="7">
        <f>IFERROR(IF(OR(PRECIOS!B785="",PRECIOS!B784=""),"",PRECIOS!B785/PRECIOS!B784-1),"")</f>
        <v>0.013042321</v>
      </c>
      <c r="C785" s="7">
        <f>IFERROR(IF(OR(PRECIOS!C785="",PRECIOS!C784=""),"",PRECIOS!C785/PRECIOS!C784-1),"")</f>
        <v>-0.002669929914</v>
      </c>
      <c r="D785" s="7">
        <f>IFERROR(IF(OR(PRECIOS!D785="",PRECIOS!D784=""),"",PRECIOS!D785/PRECIOS!D784-1),"")</f>
        <v>0.01957494407</v>
      </c>
      <c r="E785" s="7">
        <f>IFERROR(IF(OR(PRECIOS!E785="",PRECIOS!E784=""),"",PRECIOS!E785/PRECIOS!E784-1),"")</f>
        <v>0.01689773283</v>
      </c>
      <c r="F785" s="7">
        <f>IFERROR(IF(OR(PRECIOS!F785="",PRECIOS!F784=""),"",PRECIOS!F785/PRECIOS!F784-1),"")</f>
        <v>-0.009216589862</v>
      </c>
      <c r="G785" s="7">
        <f>IFERROR(IF(OR(PRECIOS!G785="",PRECIOS!G784=""),"",PRECIOS!G785/PRECIOS!G784-1),"")</f>
        <v>0.001980633803</v>
      </c>
      <c r="H785" s="7">
        <f>IFERROR(IF(OR(PRECIOS!H785="",PRECIOS!H784=""),"",PRECIOS!H785/PRECIOS!H784-1),"")</f>
        <v>0.01351804024</v>
      </c>
      <c r="I785" s="7">
        <f>IFERROR(IF(OR(PRECIOS!I785="",PRECIOS!I784=""),"",PRECIOS!I785/PRECIOS!I784-1),"")</f>
        <v>-0.0007573058909</v>
      </c>
    </row>
    <row r="786" ht="15.75" customHeight="1">
      <c r="A786" s="4">
        <f>IF(PRECIOS!A786="","",PRECIOS!A786)</f>
        <v>45553</v>
      </c>
      <c r="B786" s="7">
        <f>IFERROR(IF(OR(PRECIOS!B786="",PRECIOS!B785=""),"",PRECIOS!B786/PRECIOS!B785-1),"")</f>
        <v>0.003503240497</v>
      </c>
      <c r="C786" s="7">
        <f>IFERROR(IF(OR(PRECIOS!C786="",PRECIOS!C785=""),"",PRECIOS!C786/PRECIOS!C785-1),"")</f>
        <v>-0.007138873397</v>
      </c>
      <c r="D786" s="7">
        <f>IFERROR(IF(OR(PRECIOS!D786="",PRECIOS!D785=""),"",PRECIOS!D786/PRECIOS!D785-1),"")</f>
        <v>0.0004388370817</v>
      </c>
      <c r="E786" s="7">
        <f>IFERROR(IF(OR(PRECIOS!E786="",PRECIOS!E785=""),"",PRECIOS!E786/PRECIOS!E785-1),"")</f>
        <v>0.009367080486</v>
      </c>
      <c r="F786" s="7">
        <f>IFERROR(IF(OR(PRECIOS!F786="",PRECIOS!F785=""),"",PRECIOS!F786/PRECIOS!F785-1),"")</f>
        <v>-0.003805496829</v>
      </c>
      <c r="G786" s="7">
        <f>IFERROR(IF(OR(PRECIOS!G786="",PRECIOS!G785=""),"",PRECIOS!G786/PRECIOS!G785-1),"")</f>
        <v>-0.007687239183</v>
      </c>
      <c r="H786" s="7">
        <f>IFERROR(IF(OR(PRECIOS!H786="",PRECIOS!H785=""),"",PRECIOS!H786/PRECIOS!H785-1),"")</f>
        <v>0.00193755284</v>
      </c>
      <c r="I786" s="7">
        <f>IFERROR(IF(OR(PRECIOS!I786="",PRECIOS!I785=""),"",PRECIOS!I786/PRECIOS!I785-1),"")</f>
        <v>-0.00758407977</v>
      </c>
    </row>
    <row r="787" ht="15.75" customHeight="1">
      <c r="A787" s="4">
        <f>IF(PRECIOS!A787="","",PRECIOS!A787)</f>
        <v>45554</v>
      </c>
      <c r="B787" s="7">
        <f>IFERROR(IF(OR(PRECIOS!B787="",PRECIOS!B786=""),"",PRECIOS!B787/PRECIOS!B786-1),"")</f>
        <v>0.0123930878</v>
      </c>
      <c r="C787" s="7">
        <f>IFERROR(IF(OR(PRECIOS!C787="",PRECIOS!C786=""),"",PRECIOS!C787/PRECIOS!C786-1),"")</f>
        <v>-0.00168520391</v>
      </c>
      <c r="D787" s="7">
        <f>IFERROR(IF(OR(PRECIOS!D787="",PRECIOS!D786=""),"",PRECIOS!D787/PRECIOS!D786-1),"")</f>
        <v>0.01699747779</v>
      </c>
      <c r="E787" s="7">
        <f>IFERROR(IF(OR(PRECIOS!E787="",PRECIOS!E786=""),"",PRECIOS!E787/PRECIOS!E786-1),"")</f>
        <v>0.04535197839</v>
      </c>
      <c r="F787" s="7">
        <f>IFERROR(IF(OR(PRECIOS!F787="",PRECIOS!F786=""),"",PRECIOS!F787/PRECIOS!F786-1),"")</f>
        <v>0.02971137521</v>
      </c>
      <c r="G787" s="7">
        <f>IFERROR(IF(OR(PRECIOS!G787="",PRECIOS!G786=""),"",PRECIOS!G787/PRECIOS!G786-1),"")</f>
        <v>-0.006418769367</v>
      </c>
      <c r="H787" s="7">
        <f>IFERROR(IF(OR(PRECIOS!H787="",PRECIOS!H786=""),"",PRECIOS!H787/PRECIOS!H786-1),"")</f>
        <v>0.01194465825</v>
      </c>
      <c r="I787" s="7">
        <f>IFERROR(IF(OR(PRECIOS!I787="",PRECIOS!I786=""),"",PRECIOS!I787/PRECIOS!I786-1),"")</f>
        <v>-0.005861911148</v>
      </c>
    </row>
    <row r="788" ht="15.75" customHeight="1">
      <c r="A788" s="4">
        <f>IF(PRECIOS!A788="","",PRECIOS!A788)</f>
        <v>45555</v>
      </c>
      <c r="B788" s="7">
        <f>IFERROR(IF(OR(PRECIOS!B788="",PRECIOS!B787=""),"",PRECIOS!B788/PRECIOS!B787-1),"")</f>
        <v>-0.006293103448</v>
      </c>
      <c r="C788" s="7">
        <f>IFERROR(IF(OR(PRECIOS!C788="",PRECIOS!C787=""),"",PRECIOS!C788/PRECIOS!C787-1),"")</f>
        <v>0.009453072248</v>
      </c>
      <c r="D788" s="7">
        <f>IFERROR(IF(OR(PRECIOS!D788="",PRECIOS!D787=""),"",PRECIOS!D788/PRECIOS!D787-1),"")</f>
        <v>0.1632521027</v>
      </c>
      <c r="E788" s="7">
        <f>IFERROR(IF(OR(PRECIOS!E788="",PRECIOS!E787=""),"",PRECIOS!E788/PRECIOS!E787-1),"")</f>
        <v>0.005107624954</v>
      </c>
      <c r="F788" s="7">
        <f>IFERROR(IF(OR(PRECIOS!F788="",PRECIOS!F787=""),"",PRECIOS!F788/PRECIOS!F787-1),"")</f>
        <v>-0.0251442704</v>
      </c>
      <c r="G788" s="7">
        <f>IFERROR(IF(OR(PRECIOS!G788="",PRECIOS!G787=""),"",PRECIOS!G788/PRECIOS!G787-1),"")</f>
        <v>0.0109155714</v>
      </c>
      <c r="H788" s="7">
        <f>IFERROR(IF(OR(PRECIOS!H788="",PRECIOS!H787=""),"",PRECIOS!H788/PRECIOS!H787-1),"")</f>
        <v>-0.002251129699</v>
      </c>
      <c r="I788" s="7">
        <f>IFERROR(IF(OR(PRECIOS!I788="",PRECIOS!I787=""),"",PRECIOS!I788/PRECIOS!I787-1),"")</f>
        <v>0.02640165091</v>
      </c>
    </row>
    <row r="789" ht="15.75" customHeight="1">
      <c r="A789" s="4">
        <f>IF(PRECIOS!A789="","",PRECIOS!A789)</f>
        <v>45558</v>
      </c>
      <c r="B789" s="7">
        <f>IFERROR(IF(OR(PRECIOS!B789="",PRECIOS!B788=""),"",PRECIOS!B789/PRECIOS!B788-1),"")</f>
        <v>0.0181313438</v>
      </c>
      <c r="C789" s="7">
        <f>IFERROR(IF(OR(PRECIOS!C789="",PRECIOS!C788=""),"",PRECIOS!C789/PRECIOS!C788-1),"")</f>
        <v>0.009141583055</v>
      </c>
      <c r="D789" s="7">
        <f>IFERROR(IF(OR(PRECIOS!D789="",PRECIOS!D788=""),"",PRECIOS!D789/PRECIOS!D788-1),"")</f>
        <v>0.03476084538</v>
      </c>
      <c r="E789" s="7">
        <f>IFERROR(IF(OR(PRECIOS!E789="",PRECIOS!E788=""),"",PRECIOS!E789/PRECIOS!E788-1),"")</f>
        <v>-0.002450090744</v>
      </c>
      <c r="F789" s="7">
        <f>IFERROR(IF(OR(PRECIOS!F789="",PRECIOS!F788=""),"",PRECIOS!F789/PRECIOS!F788-1),"")</f>
        <v>-0.03255813953</v>
      </c>
      <c r="G789" s="7">
        <f>IFERROR(IF(OR(PRECIOS!G789="",PRECIOS!G788=""),"",PRECIOS!G789/PRECIOS!G788-1),"")</f>
        <v>0.01851035699</v>
      </c>
      <c r="H789" s="7">
        <f>IFERROR(IF(OR(PRECIOS!H789="",PRECIOS!H788=""),"",PRECIOS!H789/PRECIOS!H788-1),"")</f>
        <v>0.01235351216</v>
      </c>
      <c r="I789" s="7">
        <f>IFERROR(IF(OR(PRECIOS!I789="",PRECIOS!I788=""),"",PRECIOS!I789/PRECIOS!I788-1),"")</f>
        <v>0.00993019138</v>
      </c>
    </row>
    <row r="790" ht="15.75" customHeight="1">
      <c r="A790" s="4">
        <f>IF(PRECIOS!A790="","",PRECIOS!A790)</f>
        <v>45559</v>
      </c>
      <c r="B790" s="7">
        <f>IFERROR(IF(OR(PRECIOS!B790="",PRECIOS!B789=""),"",PRECIOS!B790/PRECIOS!B789-1),"")</f>
        <v>-0.002641445126</v>
      </c>
      <c r="C790" s="7">
        <f>IFERROR(IF(OR(PRECIOS!C790="",PRECIOS!C789=""),"",PRECIOS!C790/PRECIOS!C789-1),"")</f>
        <v>-0.008727353071</v>
      </c>
      <c r="D790" s="7">
        <f>IFERROR(IF(OR(PRECIOS!D790="",PRECIOS!D789=""),"",PRECIOS!D790/PRECIOS!D789-1),"")</f>
        <v>0.006897787333</v>
      </c>
      <c r="E790" s="7">
        <f>IFERROR(IF(OR(PRECIOS!E790="",PRECIOS!E789=""),"",PRECIOS!E790/PRECIOS!E789-1),"")</f>
        <v>-0.007277358319</v>
      </c>
      <c r="F790" s="7">
        <f>IFERROR(IF(OR(PRECIOS!F790="",PRECIOS!F789=""),"",PRECIOS!F790/PRECIOS!F789-1),"")</f>
        <v>-0.005681818182</v>
      </c>
      <c r="G790" s="7">
        <f>IFERROR(IF(OR(PRECIOS!G790="",PRECIOS!G789=""),"",PRECIOS!G790/PRECIOS!G789-1),"")</f>
        <v>-0.004110774556</v>
      </c>
      <c r="H790" s="7">
        <f>IFERROR(IF(OR(PRECIOS!H790="",PRECIOS!H789=""),"",PRECIOS!H790/PRECIOS!H789-1),"")</f>
        <v>-0.002469551552</v>
      </c>
      <c r="I790" s="7">
        <f>IFERROR(IF(OR(PRECIOS!I790="",PRECIOS!I789=""),"",PRECIOS!I790/PRECIOS!I789-1),"")</f>
        <v>-0.007100713945</v>
      </c>
    </row>
    <row r="791" ht="15.75" customHeight="1">
      <c r="A791" s="4">
        <f>IF(PRECIOS!A791="","",PRECIOS!A791)</f>
        <v>45560</v>
      </c>
      <c r="B791" s="7">
        <f>IFERROR(IF(OR(PRECIOS!B791="",PRECIOS!B790=""),"",PRECIOS!B791/PRECIOS!B790-1),"")</f>
        <v>-0.01947885519</v>
      </c>
      <c r="C791" s="7">
        <f>IFERROR(IF(OR(PRECIOS!C791="",PRECIOS!C790=""),"",PRECIOS!C791/PRECIOS!C790-1),"")</f>
        <v>-0.004234927003</v>
      </c>
      <c r="D791" s="7">
        <f>IFERROR(IF(OR(PRECIOS!D791="",PRECIOS!D790=""),"",PRECIOS!D791/PRECIOS!D790-1),"")</f>
        <v>0.05943060498</v>
      </c>
      <c r="E791" s="7">
        <f>IFERROR(IF(OR(PRECIOS!E791="",PRECIOS!E790=""),"",PRECIOS!E791/PRECIOS!E790-1),"")</f>
        <v>0.003543174807</v>
      </c>
      <c r="F791" s="7">
        <f>IFERROR(IF(OR(PRECIOS!F791="",PRECIOS!F790=""),"",PRECIOS!F791/PRECIOS!F790-1),"")</f>
        <v>-0.01758241758</v>
      </c>
      <c r="G791" s="7">
        <f>IFERROR(IF(OR(PRECIOS!G791="",PRECIOS!G790=""),"",PRECIOS!G791/PRECIOS!G790-1),"")</f>
        <v>-0.01151422985</v>
      </c>
      <c r="H791" s="7">
        <f>IFERROR(IF(OR(PRECIOS!H791="",PRECIOS!H790=""),"",PRECIOS!H791/PRECIOS!H790-1),"")</f>
        <v>-0.01957088468</v>
      </c>
      <c r="I791" s="7">
        <f>IFERROR(IF(OR(PRECIOS!I791="",PRECIOS!I790=""),"",PRECIOS!I791/PRECIOS!I790-1),"")</f>
        <v>0.005268701159</v>
      </c>
    </row>
    <row r="792" ht="15.75" customHeight="1">
      <c r="A792" s="4">
        <f>IF(PRECIOS!A792="","",PRECIOS!A792)</f>
        <v>45561</v>
      </c>
      <c r="B792" s="7">
        <f>IFERROR(IF(OR(PRECIOS!B792="",PRECIOS!B791=""),"",PRECIOS!B792/PRECIOS!B791-1),"")</f>
        <v>-0.01716476431</v>
      </c>
      <c r="C792" s="7">
        <f>IFERROR(IF(OR(PRECIOS!C792="",PRECIOS!C791=""),"",PRECIOS!C792/PRECIOS!C791-1),"")</f>
        <v>-0.004476776721</v>
      </c>
      <c r="D792" s="7">
        <f>IFERROR(IF(OR(PRECIOS!D792="",PRECIOS!D791=""),"",PRECIOS!D792/PRECIOS!D791-1),"")</f>
        <v>-0.04131676184</v>
      </c>
      <c r="E792" s="7">
        <f>IFERROR(IF(OR(PRECIOS!E792="",PRECIOS!E791=""),"",PRECIOS!E792/PRECIOS!E791-1),"")</f>
        <v>0.01360523512</v>
      </c>
      <c r="F792" s="7">
        <f>IFERROR(IF(OR(PRECIOS!F792="",PRECIOS!F791=""),"",PRECIOS!F792/PRECIOS!F791-1),"")</f>
        <v>-0.0129753915</v>
      </c>
      <c r="G792" s="7">
        <f>IFERROR(IF(OR(PRECIOS!G792="",PRECIOS!G791=""),"",PRECIOS!G792/PRECIOS!G791-1),"")</f>
        <v>-0.0167032967</v>
      </c>
      <c r="H792" s="7">
        <f>IFERROR(IF(OR(PRECIOS!H792="",PRECIOS!H791=""),"",PRECIOS!H792/PRECIOS!H791-1),"")</f>
        <v>-0.01961961148</v>
      </c>
      <c r="I792" s="7">
        <f>IFERROR(IF(OR(PRECIOS!I792="",PRECIOS!I791=""),"",PRECIOS!I792/PRECIOS!I791-1),"")</f>
        <v>-0.006857908584</v>
      </c>
    </row>
    <row r="793" ht="15.75" customHeight="1">
      <c r="A793" s="4">
        <f>IF(PRECIOS!A793="","",PRECIOS!A793)</f>
        <v>45562</v>
      </c>
      <c r="B793" s="7">
        <f>IFERROR(IF(OR(PRECIOS!B793="",PRECIOS!B792=""),"",PRECIOS!B793/PRECIOS!B792-1),"")</f>
        <v>0.02677304965</v>
      </c>
      <c r="C793" s="7">
        <f>IFERROR(IF(OR(PRECIOS!C793="",PRECIOS!C792=""),"",PRECIOS!C793/PRECIOS!C792-1),"")</f>
        <v>0.01292861158</v>
      </c>
      <c r="D793" s="7">
        <f>IFERROR(IF(OR(PRECIOS!D793="",PRECIOS!D792=""),"",PRECIOS!D793/PRECIOS!D792-1),"")</f>
        <v>0.03118430273</v>
      </c>
      <c r="E793" s="7">
        <f>IFERROR(IF(OR(PRECIOS!E793="",PRECIOS!E792=""),"",PRECIOS!E793/PRECIOS!E792-1),"")</f>
        <v>-0.01372289953</v>
      </c>
      <c r="F793" s="7">
        <f>IFERROR(IF(OR(PRECIOS!F793="",PRECIOS!F792=""),"",PRECIOS!F793/PRECIOS!F792-1),"")</f>
        <v>-0.01722574796</v>
      </c>
      <c r="G793" s="7">
        <f>IFERROR(IF(OR(PRECIOS!G793="",PRECIOS!G792=""),"",PRECIOS!G793/PRECIOS!G792-1),"")</f>
        <v>0.009387572642</v>
      </c>
      <c r="H793" s="7">
        <f>IFERROR(IF(OR(PRECIOS!H793="",PRECIOS!H792=""),"",PRECIOS!H793/PRECIOS!H792-1),"")</f>
        <v>0.0203634643</v>
      </c>
      <c r="I793" s="7">
        <f>IFERROR(IF(OR(PRECIOS!I793="",PRECIOS!I792=""),"",PRECIOS!I793/PRECIOS!I792-1),"")</f>
        <v>0.009916386653</v>
      </c>
    </row>
    <row r="794" ht="15.75" customHeight="1">
      <c r="A794" s="4">
        <f>IF(PRECIOS!A794="","",PRECIOS!A794)</f>
        <v>45565</v>
      </c>
      <c r="B794" s="7">
        <f>IFERROR(IF(OR(PRECIOS!B794="",PRECIOS!B793=""),"",PRECIOS!B794/PRECIOS!B793-1),"")</f>
        <v>0.01208772233</v>
      </c>
      <c r="C794" s="7">
        <f>IFERROR(IF(OR(PRECIOS!C794="",PRECIOS!C793=""),"",PRECIOS!C794/PRECIOS!C793-1),"")</f>
        <v>0.0008879023307</v>
      </c>
      <c r="D794" s="7">
        <f>IFERROR(IF(OR(PRECIOS!D794="",PRECIOS!D793=""),"",PRECIOS!D794/PRECIOS!D793-1),"")</f>
        <v>0.006965681278</v>
      </c>
      <c r="E794" s="7">
        <f>IFERROR(IF(OR(PRECIOS!E794="",PRECIOS!E793=""),"",PRECIOS!E794/PRECIOS!E793-1),"")</f>
        <v>0.009103364287</v>
      </c>
      <c r="F794" s="7">
        <f>IFERROR(IF(OR(PRECIOS!F794="",PRECIOS!F793=""),"",PRECIOS!F794/PRECIOS!F793-1),"")</f>
        <v>-0.02167896679</v>
      </c>
      <c r="G794" s="7">
        <f>IFERROR(IF(OR(PRECIOS!G794="",PRECIOS!G793=""),"",PRECIOS!G794/PRECIOS!G793-1),"")</f>
        <v>0.01085031001</v>
      </c>
      <c r="H794" s="7">
        <f>IFERROR(IF(OR(PRECIOS!H794="",PRECIOS!H793=""),"",PRECIOS!H794/PRECIOS!H793-1),"")</f>
        <v>0.006996567451</v>
      </c>
      <c r="I794" s="7">
        <f>IFERROR(IF(OR(PRECIOS!I794="",PRECIOS!I793=""),"",PRECIOS!I794/PRECIOS!I793-1),"")</f>
        <v>0.004477492604</v>
      </c>
    </row>
    <row r="795" ht="15.75" customHeight="1">
      <c r="A795" s="4">
        <f>IF(PRECIOS!A795="","",PRECIOS!A795)</f>
        <v>45566</v>
      </c>
      <c r="B795" s="7">
        <f>IFERROR(IF(OR(PRECIOS!B795="",PRECIOS!B794=""),"",PRECIOS!B795/PRECIOS!B794-1),"")</f>
        <v>0.02311892169</v>
      </c>
      <c r="C795" s="7">
        <f>IFERROR(IF(OR(PRECIOS!C795="",PRECIOS!C794=""),"",PRECIOS!C795/PRECIOS!C794-1),"")</f>
        <v>0.007762253271</v>
      </c>
      <c r="D795" s="7">
        <f>IFERROR(IF(OR(PRECIOS!D795="",PRECIOS!D794=""),"",PRECIOS!D795/PRECIOS!D794-1),"")</f>
        <v>0.03382824363</v>
      </c>
      <c r="E795" s="7">
        <f>IFERROR(IF(OR(PRECIOS!E795="",PRECIOS!E794=""),"",PRECIOS!E795/PRECIOS!E794-1),"")</f>
        <v>-0.01164615013</v>
      </c>
      <c r="F795" s="7">
        <f>IFERROR(IF(OR(PRECIOS!F795="",PRECIOS!F794=""),"",PRECIOS!F795/PRECIOS!F794-1),"")</f>
        <v>0.02168788307</v>
      </c>
      <c r="G795" s="7">
        <f>IFERROR(IF(OR(PRECIOS!G795="",PRECIOS!G794=""),"",PRECIOS!G795/PRECIOS!G794-1),"")</f>
        <v>0.01555312158</v>
      </c>
      <c r="H795" s="7">
        <f>IFERROR(IF(OR(PRECIOS!H795="",PRECIOS!H794=""),"",PRECIOS!H795/PRECIOS!H794-1),"")</f>
        <v>0.02277847012</v>
      </c>
      <c r="I795" s="7">
        <f>IFERROR(IF(OR(PRECIOS!I795="",PRECIOS!I794=""),"",PRECIOS!I795/PRECIOS!I794-1),"")</f>
        <v>0.008047184127</v>
      </c>
    </row>
    <row r="796" ht="15.75" customHeight="1">
      <c r="A796" s="4">
        <f>IF(PRECIOS!A796="","",PRECIOS!A796)</f>
        <v>45567</v>
      </c>
      <c r="B796" s="7">
        <f>IFERROR(IF(OR(PRECIOS!B796="",PRECIOS!B795=""),"",PRECIOS!B796/PRECIOS!B795-1),"")</f>
        <v>0.01325773368</v>
      </c>
      <c r="C796" s="7">
        <f>IFERROR(IF(OR(PRECIOS!C796="",PRECIOS!C795=""),"",PRECIOS!C796/PRECIOS!C795-1),"")</f>
        <v>0.0078125</v>
      </c>
      <c r="D796" s="7">
        <f>IFERROR(IF(OR(PRECIOS!D796="",PRECIOS!D795=""),"",PRECIOS!D796/PRECIOS!D795-1),"")</f>
        <v>0.02301101591</v>
      </c>
      <c r="E796" s="7">
        <f>IFERROR(IF(OR(PRECIOS!E796="",PRECIOS!E795=""),"",PRECIOS!E796/PRECIOS!E795-1),"")</f>
        <v>0.001251602662</v>
      </c>
      <c r="F796" s="7">
        <f>IFERROR(IF(OR(PRECIOS!F796="",PRECIOS!F795=""),"",PRECIOS!F796/PRECIOS!F795-1),"")</f>
        <v>0.0009229349331</v>
      </c>
      <c r="G796" s="7">
        <f>IFERROR(IF(OR(PRECIOS!G796="",PRECIOS!G795=""),"",PRECIOS!G796/PRECIOS!G795-1),"")</f>
        <v>0.02761000863</v>
      </c>
      <c r="H796" s="7">
        <f>IFERROR(IF(OR(PRECIOS!H796="",PRECIOS!H795=""),"",PRECIOS!H796/PRECIOS!H795-1),"")</f>
        <v>0.01024436548</v>
      </c>
      <c r="I796" s="7">
        <f>IFERROR(IF(OR(PRECIOS!I796="",PRECIOS!I795=""),"",PRECIOS!I796/PRECIOS!I795-1),"")</f>
        <v>0.0004916107767</v>
      </c>
    </row>
    <row r="797" ht="15.75" customHeight="1">
      <c r="A797" s="4">
        <f>IF(PRECIOS!A797="","",PRECIOS!A797)</f>
        <v>45568</v>
      </c>
      <c r="B797" s="7">
        <f>IFERROR(IF(OR(PRECIOS!B797="",PRECIOS!B796=""),"",PRECIOS!B797/PRECIOS!B796-1),"")</f>
        <v>0.008722843976</v>
      </c>
      <c r="C797" s="7">
        <f>IFERROR(IF(OR(PRECIOS!C797="",PRECIOS!C796=""),"",PRECIOS!C797/PRECIOS!C796-1),"")</f>
        <v>-0.009717218037</v>
      </c>
      <c r="D797" s="7">
        <f>IFERROR(IF(OR(PRECIOS!D797="",PRECIOS!D796=""),"",PRECIOS!D797/PRECIOS!D796-1),"")</f>
        <v>0.05647284039</v>
      </c>
      <c r="E797" s="7">
        <f>IFERROR(IF(OR(PRECIOS!E797="",PRECIOS!E796=""),"",PRECIOS!E797/PRECIOS!E796-1),"")</f>
        <v>-0.003140339645</v>
      </c>
      <c r="F797" s="7">
        <f>IFERROR(IF(OR(PRECIOS!F797="",PRECIOS!F796=""),"",PRECIOS!F797/PRECIOS!F796-1),"")</f>
        <v>0.03088981097</v>
      </c>
      <c r="G797" s="7">
        <f>IFERROR(IF(OR(PRECIOS!G797="",PRECIOS!G796=""),"",PRECIOS!G797/PRECIOS!G796-1),"")</f>
        <v>0.01196473552</v>
      </c>
      <c r="H797" s="7">
        <f>IFERROR(IF(OR(PRECIOS!H797="",PRECIOS!H796=""),"",PRECIOS!H797/PRECIOS!H796-1),"")</f>
        <v>0.01763672077</v>
      </c>
      <c r="I797" s="7">
        <f>IFERROR(IF(OR(PRECIOS!I797="",PRECIOS!I796=""),"",PRECIOS!I797/PRECIOS!I796-1),"")</f>
        <v>-0.0003691633994</v>
      </c>
    </row>
    <row r="798" ht="15.75" customHeight="1">
      <c r="A798" s="4">
        <f>IF(PRECIOS!A798="","",PRECIOS!A798)</f>
        <v>45569</v>
      </c>
      <c r="B798" s="7">
        <f>IFERROR(IF(OR(PRECIOS!B798="",PRECIOS!B797=""),"",PRECIOS!B798/PRECIOS!B797-1),"")</f>
        <v>0.01835535977</v>
      </c>
      <c r="C798" s="7">
        <f>IFERROR(IF(OR(PRECIOS!C798="",PRECIOS!C797=""),"",PRECIOS!C798/PRECIOS!C797-1),"")</f>
        <v>-0.004299889746</v>
      </c>
      <c r="D798" s="7">
        <f>IFERROR(IF(OR(PRECIOS!D798="",PRECIOS!D797=""),"",PRECIOS!D798/PRECIOS!D797-1),"")</f>
        <v>0.0449981125</v>
      </c>
      <c r="E798" s="7">
        <f>IFERROR(IF(OR(PRECIOS!E798="",PRECIOS!E797=""),"",PRECIOS!E798/PRECIOS!E797-1),"")</f>
        <v>0.01862613164</v>
      </c>
      <c r="F798" s="7">
        <f>IFERROR(IF(OR(PRECIOS!F798="",PRECIOS!F797=""),"",PRECIOS!F798/PRECIOS!F797-1),"")</f>
        <v>-0.005366726297</v>
      </c>
      <c r="G798" s="7">
        <f>IFERROR(IF(OR(PRECIOS!G798="",PRECIOS!G797=""),"",PRECIOS!G798/PRECIOS!G797-1),"")</f>
        <v>0.02945447003</v>
      </c>
      <c r="H798" s="7">
        <f>IFERROR(IF(OR(PRECIOS!H798="",PRECIOS!H797=""),"",PRECIOS!H798/PRECIOS!H797-1),"")</f>
        <v>0.009316826274</v>
      </c>
      <c r="I798" s="7">
        <f>IFERROR(IF(OR(PRECIOS!I798="",PRECIOS!I797=""),"",PRECIOS!I798/PRECIOS!I797-1),"")</f>
        <v>-0.001594356081</v>
      </c>
    </row>
    <row r="799" ht="15.75" customHeight="1">
      <c r="A799" s="4">
        <f>IF(PRECIOS!A799="","",PRECIOS!A799)</f>
        <v>45572</v>
      </c>
      <c r="B799" s="7">
        <f>IFERROR(IF(OR(PRECIOS!B799="",PRECIOS!B798=""),"",PRECIOS!B799/PRECIOS!B798-1),"")</f>
        <v>0.004325883201</v>
      </c>
      <c r="C799" s="7">
        <f>IFERROR(IF(OR(PRECIOS!C799="",PRECIOS!C798=""),"",PRECIOS!C799/PRECIOS!C798-1),"")</f>
        <v>-0.01572361865</v>
      </c>
      <c r="D799" s="7">
        <f>IFERROR(IF(OR(PRECIOS!D799="",PRECIOS!D798=""),"",PRECIOS!D799/PRECIOS!D798-1),"")</f>
        <v>-0.05158586807</v>
      </c>
      <c r="E799" s="7">
        <f>IFERROR(IF(OR(PRECIOS!E799="",PRECIOS!E798=""),"",PRECIOS!E799/PRECIOS!E798-1),"")</f>
        <v>0.004744032428</v>
      </c>
      <c r="F799" s="7">
        <f>IFERROR(IF(OR(PRECIOS!F799="",PRECIOS!F798=""),"",PRECIOS!F799/PRECIOS!F798-1),"")</f>
        <v>-0.01169064748</v>
      </c>
      <c r="G799" s="7">
        <f>IFERROR(IF(OR(PRECIOS!G799="",PRECIOS!G798=""),"",PRECIOS!G799/PRECIOS!G798-1),"")</f>
        <v>0.001007455168</v>
      </c>
      <c r="H799" s="7">
        <f>IFERROR(IF(OR(PRECIOS!H799="",PRECIOS!H798=""),"",PRECIOS!H799/PRECIOS!H798-1),"")</f>
        <v>0.003538445365</v>
      </c>
      <c r="I799" s="7">
        <f>IFERROR(IF(OR(PRECIOS!I799="",PRECIOS!I798=""),"",PRECIOS!I799/PRECIOS!I798-1),"")</f>
        <v>-0.02299947195</v>
      </c>
    </row>
    <row r="800" ht="15.75" customHeight="1">
      <c r="A800" s="4">
        <f>IF(PRECIOS!A800="","",PRECIOS!A800)</f>
        <v>45573</v>
      </c>
      <c r="B800" s="7">
        <f>IFERROR(IF(OR(PRECIOS!B800="",PRECIOS!B799=""),"",PRECIOS!B800/PRECIOS!B799-1),"")</f>
        <v>-0.02656137832</v>
      </c>
      <c r="C800" s="7">
        <f>IFERROR(IF(OR(PRECIOS!C800="",PRECIOS!C799=""),"",PRECIOS!C800/PRECIOS!C799-1),"")</f>
        <v>0.004499943751</v>
      </c>
      <c r="D800" s="7">
        <f>IFERROR(IF(OR(PRECIOS!D800="",PRECIOS!D799=""),"",PRECIOS!D800/PRECIOS!D799-1),"")</f>
        <v>-0.0252152053</v>
      </c>
      <c r="E800" s="7">
        <f>IFERROR(IF(OR(PRECIOS!E800="",PRECIOS!E799=""),"",PRECIOS!E800/PRECIOS!E799-1),"")</f>
        <v>0.002838956459</v>
      </c>
      <c r="F800" s="7">
        <f>IFERROR(IF(OR(PRECIOS!F800="",PRECIOS!F799=""),"",PRECIOS!F800/PRECIOS!F799-1),"")</f>
        <v>0.005459508644</v>
      </c>
      <c r="G800" s="7">
        <f>IFERROR(IF(OR(PRECIOS!G800="",PRECIOS!G799=""),"",PRECIOS!G800/PRECIOS!G799-1),"")</f>
        <v>-0.01489533011</v>
      </c>
      <c r="H800" s="7">
        <f>IFERROR(IF(OR(PRECIOS!H800="",PRECIOS!H799=""),"",PRECIOS!H800/PRECIOS!H799-1),"")</f>
        <v>-0.02609038694</v>
      </c>
      <c r="I800" s="7">
        <f>IFERROR(IF(OR(PRECIOS!I800="",PRECIOS!I799=""),"",PRECIOS!I800/PRECIOS!I799-1),"")</f>
        <v>0.0005013146454</v>
      </c>
    </row>
    <row r="801" ht="15.75" customHeight="1">
      <c r="A801" s="4">
        <f>IF(PRECIOS!A801="","",PRECIOS!A801)</f>
        <v>45574</v>
      </c>
      <c r="B801" s="7">
        <f>IFERROR(IF(OR(PRECIOS!B801="",PRECIOS!B800=""),"",PRECIOS!B801/PRECIOS!B800-1),"")</f>
        <v>0.0004097017371</v>
      </c>
      <c r="C801" s="7">
        <f>IFERROR(IF(OR(PRECIOS!C801="",PRECIOS!C800=""),"",PRECIOS!C801/PRECIOS!C800-1),"")</f>
        <v>-0.004031806473</v>
      </c>
      <c r="D801" s="7">
        <f>IFERROR(IF(OR(PRECIOS!D801="",PRECIOS!D800=""),"",PRECIOS!D801/PRECIOS!D800-1),"")</f>
        <v>-0.0295404814</v>
      </c>
      <c r="E801" s="7">
        <f>IFERROR(IF(OR(PRECIOS!E801="",PRECIOS!E800=""),"",PRECIOS!E801/PRECIOS!E800-1),"")</f>
        <v>0.007956374039</v>
      </c>
      <c r="F801" s="7">
        <f>IFERROR(IF(OR(PRECIOS!F801="",PRECIOS!F800=""),"",PRECIOS!F801/PRECIOS!F800-1),"")</f>
        <v>0.06742081448</v>
      </c>
      <c r="G801" s="7">
        <f>IFERROR(IF(OR(PRECIOS!G801="",PRECIOS!G800=""),"",PRECIOS!G801/PRECIOS!G800-1),"")</f>
        <v>0.01307723743</v>
      </c>
      <c r="H801" s="7">
        <f>IFERROR(IF(OR(PRECIOS!H801="",PRECIOS!H800=""),"",PRECIOS!H801/PRECIOS!H800-1),"")</f>
        <v>0.006037096793</v>
      </c>
      <c r="I801" s="7">
        <f>IFERROR(IF(OR(PRECIOS!I801="",PRECIOS!I800=""),"",PRECIOS!I801/PRECIOS!I800-1),"")</f>
        <v>-0.008552004906</v>
      </c>
    </row>
    <row r="802" ht="15.75" customHeight="1">
      <c r="A802" s="4">
        <f>IF(PRECIOS!A802="","",PRECIOS!A802)</f>
        <v>45575</v>
      </c>
      <c r="B802" s="7">
        <f>IFERROR(IF(OR(PRECIOS!B802="",PRECIOS!B801=""),"",PRECIOS!B802/PRECIOS!B801-1),"")</f>
        <v>0.008600212958</v>
      </c>
      <c r="C802" s="7">
        <f>IFERROR(IF(OR(PRECIOS!C802="",PRECIOS!C801=""),"",PRECIOS!C802/PRECIOS!C801-1),"")</f>
        <v>-0.007534015518</v>
      </c>
      <c r="D802" s="7">
        <f>IFERROR(IF(OR(PRECIOS!D802="",PRECIOS!D801=""),"",PRECIOS!D802/PRECIOS!D801-1),"")</f>
        <v>-0.0005636978579</v>
      </c>
      <c r="E802" s="7">
        <f>IFERROR(IF(OR(PRECIOS!E802="",PRECIOS!E801=""),"",PRECIOS!E802/PRECIOS!E801-1),"")</f>
        <v>-0.003872875092</v>
      </c>
      <c r="F802" s="7">
        <f>IFERROR(IF(OR(PRECIOS!F802="",PRECIOS!F801=""),"",PRECIOS!F802/PRECIOS!F801-1),"")</f>
        <v>0.02797795676</v>
      </c>
      <c r="G802" s="7">
        <f>IFERROR(IF(OR(PRECIOS!G802="",PRECIOS!G801=""),"",PRECIOS!G802/PRECIOS!G801-1),"")</f>
        <v>-0.002218636547</v>
      </c>
      <c r="H802" s="7">
        <f>IFERROR(IF(OR(PRECIOS!H802="",PRECIOS!H801=""),"",PRECIOS!H802/PRECIOS!H801-1),"")</f>
        <v>0.00676746974</v>
      </c>
      <c r="I802" s="7">
        <f>IFERROR(IF(OR(PRECIOS!I802="",PRECIOS!I801=""),"",PRECIOS!I802/PRECIOS!I801-1),"")</f>
        <v>-0.003045474167</v>
      </c>
    </row>
    <row r="803" ht="15.75" customHeight="1">
      <c r="A803" s="4">
        <f>IF(PRECIOS!A803="","",PRECIOS!A803)</f>
        <v>45576</v>
      </c>
      <c r="B803" s="7">
        <f>IFERROR(IF(OR(PRECIOS!B803="",PRECIOS!B802=""),"",PRECIOS!B803/PRECIOS!B802-1),"")</f>
        <v>0.003816793893</v>
      </c>
      <c r="C803" s="7">
        <f>IFERROR(IF(OR(PRECIOS!C803="",PRECIOS!C802=""),"",PRECIOS!C803/PRECIOS!C802-1),"")</f>
        <v>0.007931112622</v>
      </c>
      <c r="D803" s="7">
        <f>IFERROR(IF(OR(PRECIOS!D803="",PRECIOS!D802=""),"",PRECIOS!D803/PRECIOS!D802-1),"")</f>
        <v>0.009507694787</v>
      </c>
      <c r="E803" s="7">
        <f>IFERROR(IF(OR(PRECIOS!E803="",PRECIOS!E802=""),"",PRECIOS!E803/PRECIOS!E802-1),"")</f>
        <v>0.01320709919</v>
      </c>
      <c r="F803" s="7">
        <f>IFERROR(IF(OR(PRECIOS!F803="",PRECIOS!F802=""),"",PRECIOS!F803/PRECIOS!F802-1),"")</f>
        <v>0.02597938144</v>
      </c>
      <c r="G803" s="7">
        <f>IFERROR(IF(OR(PRECIOS!G803="",PRECIOS!G802=""),"",PRECIOS!G803/PRECIOS!G802-1),"")</f>
        <v>0.02041641399</v>
      </c>
      <c r="H803" s="7">
        <f>IFERROR(IF(OR(PRECIOS!H803="",PRECIOS!H802=""),"",PRECIOS!H803/PRECIOS!H802-1),"")</f>
        <v>0.006181961146</v>
      </c>
      <c r="I803" s="7">
        <f>IFERROR(IF(OR(PRECIOS!I803="",PRECIOS!I802=""),"",PRECIOS!I803/PRECIOS!I802-1),"")</f>
        <v>0.008781494966</v>
      </c>
    </row>
    <row r="804" ht="15.75" customHeight="1">
      <c r="A804" s="4">
        <f>IF(PRECIOS!A804="","",PRECIOS!A804)</f>
        <v>45579</v>
      </c>
      <c r="B804" s="7">
        <f>IFERROR(IF(OR(PRECIOS!B804="",PRECIOS!B803=""),"",PRECIOS!B804/PRECIOS!B803-1),"")</f>
        <v>0.003802281369</v>
      </c>
      <c r="C804" s="7">
        <f>IFERROR(IF(OR(PRECIOS!C804="",PRECIOS!C803=""),"",PRECIOS!C804/PRECIOS!C803-1),"")</f>
        <v>0.009892086331</v>
      </c>
      <c r="D804" s="7">
        <f>IFERROR(IF(OR(PRECIOS!D804="",PRECIOS!D803=""),"",PRECIOS!D804/PRECIOS!D803-1),"")</f>
        <v>0.05563093623</v>
      </c>
      <c r="E804" s="7">
        <f>IFERROR(IF(OR(PRECIOS!E804="",PRECIOS!E803=""),"",PRECIOS!E804/PRECIOS!E803-1),"")</f>
        <v>0.01236122909</v>
      </c>
      <c r="F804" s="7">
        <f>IFERROR(IF(OR(PRECIOS!F804="",PRECIOS!F803=""),"",PRECIOS!F804/PRECIOS!F803-1),"")</f>
        <v>0.01487138264</v>
      </c>
      <c r="G804" s="7">
        <f>IFERROR(IF(OR(PRECIOS!G804="",PRECIOS!G803=""),"",PRECIOS!G804/PRECIOS!G803-1),"")</f>
        <v>0.01069730586</v>
      </c>
      <c r="H804" s="7">
        <f>IFERROR(IF(OR(PRECIOS!H804="",PRECIOS!H803=""),"",PRECIOS!H804/PRECIOS!H803-1),"")</f>
        <v>-0.0004334020489</v>
      </c>
      <c r="I804" s="7">
        <f>IFERROR(IF(OR(PRECIOS!I804="",PRECIOS!I803=""),"",PRECIOS!I804/PRECIOS!I803-1),"")</f>
        <v>0.01261787545</v>
      </c>
    </row>
    <row r="805" ht="15.75" customHeight="1">
      <c r="A805" s="4">
        <f>IF(PRECIOS!A805="","",PRECIOS!A805)</f>
        <v>45580</v>
      </c>
      <c r="B805" s="7">
        <f>IFERROR(IF(OR(PRECIOS!B805="",PRECIOS!B804=""),"",PRECIOS!B805/PRECIOS!B804-1),"")</f>
        <v>-0.03006125081</v>
      </c>
      <c r="C805" s="7">
        <f>IFERROR(IF(OR(PRECIOS!C805="",PRECIOS!C804=""),"",PRECIOS!C805/PRECIOS!C804-1),"")</f>
        <v>0.009683882458</v>
      </c>
      <c r="D805" s="7">
        <f>IFERROR(IF(OR(PRECIOS!D805="",PRECIOS!D804=""),"",PRECIOS!D805/PRECIOS!D804-1),"")</f>
        <v>-0.0300166339</v>
      </c>
      <c r="E805" s="7">
        <f>IFERROR(IF(OR(PRECIOS!E805="",PRECIOS!E804=""),"",PRECIOS!E805/PRECIOS!E804-1),"")</f>
        <v>-0.02190330141</v>
      </c>
      <c r="F805" s="7">
        <f>IFERROR(IF(OR(PRECIOS!F805="",PRECIOS!F804=""),"",PRECIOS!F805/PRECIOS!F804-1),"")</f>
        <v>0.01940594059</v>
      </c>
      <c r="G805" s="7">
        <f>IFERROR(IF(OR(PRECIOS!G805="",PRECIOS!G804=""),"",PRECIOS!G805/PRECIOS!G804-1),"")</f>
        <v>-0.002352018816</v>
      </c>
      <c r="H805" s="7">
        <f>IFERROR(IF(OR(PRECIOS!H805="",PRECIOS!H804=""),"",PRECIOS!H805/PRECIOS!H804-1),"")</f>
        <v>-0.03222719216</v>
      </c>
      <c r="I805" s="7">
        <f>IFERROR(IF(OR(PRECIOS!I805="",PRECIOS!I804=""),"",PRECIOS!I805/PRECIOS!I804-1),"")</f>
        <v>0.004484386066</v>
      </c>
    </row>
    <row r="806" ht="15.75" customHeight="1">
      <c r="A806" s="4">
        <f>IF(PRECIOS!A806="","",PRECIOS!A806)</f>
        <v>45581</v>
      </c>
      <c r="B806" s="7">
        <f>IFERROR(IF(OR(PRECIOS!B806="",PRECIOS!B805=""),"",PRECIOS!B806/PRECIOS!B805-1),"")</f>
        <v>0.002575820523</v>
      </c>
      <c r="C806" s="7">
        <f>IFERROR(IF(OR(PRECIOS!C806="",PRECIOS!C805=""),"",PRECIOS!C806/PRECIOS!C805-1),"")</f>
        <v>0.01741814574</v>
      </c>
      <c r="D806" s="7">
        <f>IFERROR(IF(OR(PRECIOS!D806="",PRECIOS!D805=""),"",PRECIOS!D806/PRECIOS!D805-1),"")</f>
        <v>0.05768181464</v>
      </c>
      <c r="E806" s="7">
        <f>IFERROR(IF(OR(PRECIOS!E806="",PRECIOS!E805=""),"",PRECIOS!E806/PRECIOS!E805-1),"")</f>
        <v>0.009052183174</v>
      </c>
      <c r="F806" s="7">
        <f>IFERROR(IF(OR(PRECIOS!F806="",PRECIOS!F805=""),"",PRECIOS!F806/PRECIOS!F805-1),"")</f>
        <v>-0.03341103341</v>
      </c>
      <c r="G806" s="7">
        <f>IFERROR(IF(OR(PRECIOS!G806="",PRECIOS!G805=""),"",PRECIOS!G806/PRECIOS!G805-1),"")</f>
        <v>0.009233791749</v>
      </c>
      <c r="H806" s="7">
        <f>IFERROR(IF(OR(PRECIOS!H806="",PRECIOS!H805=""),"",PRECIOS!H806/PRECIOS!H805-1),"")</f>
        <v>0.004786710495</v>
      </c>
      <c r="I806" s="7">
        <f>IFERROR(IF(OR(PRECIOS!I806="",PRECIOS!I805=""),"",PRECIOS!I806/PRECIOS!I805-1),"")</f>
        <v>0.0198516338</v>
      </c>
    </row>
    <row r="807" ht="15.75" customHeight="1">
      <c r="A807" s="4">
        <f>IF(PRECIOS!A807="","",PRECIOS!A807)</f>
        <v>45582</v>
      </c>
      <c r="B807" s="7">
        <f>IFERROR(IF(OR(PRECIOS!B807="",PRECIOS!B806=""),"",PRECIOS!B807/PRECIOS!B806-1),"")</f>
        <v>-0.002569202718</v>
      </c>
      <c r="C807" s="7">
        <f>IFERROR(IF(OR(PRECIOS!C807="",PRECIOS!C806=""),"",PRECIOS!C807/PRECIOS!C806-1),"")</f>
        <v>0.004442518149</v>
      </c>
      <c r="D807" s="7">
        <f>IFERROR(IF(OR(PRECIOS!D807="",PRECIOS!D806=""),"",PRECIOS!D807/PRECIOS!D806-1),"")</f>
        <v>-0.06205320952</v>
      </c>
      <c r="E807" s="7">
        <f>IFERROR(IF(OR(PRECIOS!E807="",PRECIOS!E806=""),"",PRECIOS!E807/PRECIOS!E806-1),"")</f>
        <v>0.02166520082</v>
      </c>
      <c r="F807" s="7">
        <f>IFERROR(IF(OR(PRECIOS!F807="",PRECIOS!F806=""),"",PRECIOS!F807/PRECIOS!F806-1),"")</f>
        <v>0.005627009646</v>
      </c>
      <c r="G807" s="7">
        <f>IFERROR(IF(OR(PRECIOS!G807="",PRECIOS!G806=""),"",PRECIOS!G807/PRECIOS!G806-1),"")</f>
        <v>0.003309324508</v>
      </c>
      <c r="H807" s="7">
        <f>IFERROR(IF(OR(PRECIOS!H807="",PRECIOS!H806=""),"",PRECIOS!H807/PRECIOS!H806-1),"")</f>
        <v>0.004766217384</v>
      </c>
      <c r="I807" s="7">
        <f>IFERROR(IF(OR(PRECIOS!I807="",PRECIOS!I806=""),"",PRECIOS!I807/PRECIOS!I806-1),"")</f>
        <v>-0.0088810843</v>
      </c>
    </row>
    <row r="808" ht="15.75" customHeight="1">
      <c r="A808" s="4">
        <f>IF(PRECIOS!A808="","",PRECIOS!A808)</f>
        <v>45583</v>
      </c>
      <c r="B808" s="7">
        <f>IFERROR(IF(OR(PRECIOS!B808="",PRECIOS!B807=""),"",PRECIOS!B808/PRECIOS!B807-1),"")</f>
        <v>-0.002825093477</v>
      </c>
      <c r="C808" s="7">
        <f>IFERROR(IF(OR(PRECIOS!C808="",PRECIOS!C807=""),"",PRECIOS!C808/PRECIOS!C807-1),"")</f>
        <v>0.005825242718</v>
      </c>
      <c r="D808" s="7">
        <f>IFERROR(IF(OR(PRECIOS!D808="",PRECIOS!D807=""),"",PRECIOS!D808/PRECIOS!D807-1),"")</f>
        <v>0.03056494068</v>
      </c>
      <c r="E808" s="7">
        <f>IFERROR(IF(OR(PRECIOS!E808="",PRECIOS!E807=""),"",PRECIOS!E808/PRECIOS!E807-1),"")</f>
        <v>-0.0008895520675</v>
      </c>
      <c r="F808" s="7">
        <f>IFERROR(IF(OR(PRECIOS!F808="",PRECIOS!F807=""),"",PRECIOS!F808/PRECIOS!F807-1),"")</f>
        <v>-0.0007993605116</v>
      </c>
      <c r="G808" s="7">
        <f>IFERROR(IF(OR(PRECIOS!G808="",PRECIOS!G807=""),"",PRECIOS!G808/PRECIOS!G807-1),"")</f>
        <v>0.01590997284</v>
      </c>
      <c r="H808" s="7">
        <f>IFERROR(IF(OR(PRECIOS!H808="",PRECIOS!H807=""),"",PRECIOS!H808/PRECIOS!H807-1),"")</f>
        <v>-0.003308799014</v>
      </c>
      <c r="I808" s="7">
        <f>IFERROR(IF(OR(PRECIOS!I808="",PRECIOS!I807=""),"",PRECIOS!I808/PRECIOS!I807-1),"")</f>
        <v>0.005768427912</v>
      </c>
    </row>
    <row r="809" ht="15.75" customHeight="1">
      <c r="A809" s="4">
        <f>IF(PRECIOS!A809="","",PRECIOS!A809)</f>
        <v>45586</v>
      </c>
      <c r="B809" s="7">
        <f>IFERROR(IF(OR(PRECIOS!B809="",PRECIOS!B808=""),"",PRECIOS!B809/PRECIOS!B808-1),"")</f>
        <v>0.0005832847263</v>
      </c>
      <c r="C809" s="7">
        <f>IFERROR(IF(OR(PRECIOS!C809="",PRECIOS!C808=""),"",PRECIOS!C809/PRECIOS!C808-1),"")</f>
        <v>-0.00546975547</v>
      </c>
      <c r="D809" s="7">
        <f>IFERROR(IF(OR(PRECIOS!D809="",PRECIOS!D808=""),"",PRECIOS!D809/PRECIOS!D808-1),"")</f>
        <v>-0.005946935041</v>
      </c>
      <c r="E809" s="7">
        <f>IFERROR(IF(OR(PRECIOS!E809="",PRECIOS!E808=""),"",PRECIOS!E809/PRECIOS!E808-1),"")</f>
        <v>-0.003188006204</v>
      </c>
      <c r="F809" s="7">
        <f>IFERROR(IF(OR(PRECIOS!F809="",PRECIOS!F808=""),"",PRECIOS!F809/PRECIOS!F808-1),"")</f>
        <v>-0.0052</v>
      </c>
      <c r="G809" s="7">
        <f>IFERROR(IF(OR(PRECIOS!G809="",PRECIOS!G808=""),"",PRECIOS!G809/PRECIOS!G808-1),"")</f>
        <v>-0.006875477464</v>
      </c>
      <c r="H809" s="7">
        <f>IFERROR(IF(OR(PRECIOS!H809="",PRECIOS!H808=""),"",PRECIOS!H809/PRECIOS!H808-1),"")</f>
        <v>-0.002989881466</v>
      </c>
      <c r="I809" s="7">
        <f>IFERROR(IF(OR(PRECIOS!I809="",PRECIOS!I808=""),"",PRECIOS!I809/PRECIOS!I808-1),"")</f>
        <v>-0.003902868684</v>
      </c>
    </row>
    <row r="810" ht="15.75" customHeight="1">
      <c r="A810" s="4">
        <f>IF(PRECIOS!A810="","",PRECIOS!A810)</f>
        <v>45587</v>
      </c>
      <c r="B810" s="7">
        <f>IFERROR(IF(OR(PRECIOS!B810="",PRECIOS!B809=""),"",PRECIOS!B810/PRECIOS!B809-1),"")</f>
        <v>0.005163224517</v>
      </c>
      <c r="C810" s="7">
        <f>IFERROR(IF(OR(PRECIOS!C810="",PRECIOS!C809=""),"",PRECIOS!C810/PRECIOS!C809-1),"")</f>
        <v>0.003774398792</v>
      </c>
      <c r="D810" s="7">
        <f>IFERROR(IF(OR(PRECIOS!D810="",PRECIOS!D809=""),"",PRECIOS!D810/PRECIOS!D809-1),"")</f>
        <v>-0.04095720202</v>
      </c>
      <c r="E810" s="7">
        <f>IFERROR(IF(OR(PRECIOS!E810="",PRECIOS!E809=""),"",PRECIOS!E810/PRECIOS!E809-1),"")</f>
        <v>-0.01014204627</v>
      </c>
      <c r="F810" s="7">
        <f>IFERROR(IF(OR(PRECIOS!F810="",PRECIOS!F809=""),"",PRECIOS!F810/PRECIOS!F809-1),"")</f>
        <v>-0.002010454363</v>
      </c>
      <c r="G810" s="7">
        <f>IFERROR(IF(OR(PRECIOS!G810="",PRECIOS!G809=""),"",PRECIOS!G810/PRECIOS!G809-1),"")</f>
        <v>0.005769230769</v>
      </c>
      <c r="H810" s="7">
        <f>IFERROR(IF(OR(PRECIOS!H810="",PRECIOS!H809=""),"",PRECIOS!H810/PRECIOS!H809-1),"")</f>
        <v>0.002330123147</v>
      </c>
      <c r="I810" s="7">
        <f>IFERROR(IF(OR(PRECIOS!I810="",PRECIOS!I809=""),"",PRECIOS!I810/PRECIOS!I809-1),"")</f>
        <v>-0.003552262471</v>
      </c>
    </row>
    <row r="811" ht="15.75" customHeight="1">
      <c r="A811" s="4">
        <f>IF(PRECIOS!A811="","",PRECIOS!A811)</f>
        <v>45588</v>
      </c>
      <c r="B811" s="7">
        <f>IFERROR(IF(OR(PRECIOS!B811="",PRECIOS!B810=""),"",PRECIOS!B811/PRECIOS!B810-1),"")</f>
        <v>-0.003562551781</v>
      </c>
      <c r="C811" s="7">
        <f>IFERROR(IF(OR(PRECIOS!C811="",PRECIOS!C810=""),"",PRECIOS!C811/PRECIOS!C810-1),"")</f>
        <v>0.01149548775</v>
      </c>
      <c r="D811" s="7">
        <f>IFERROR(IF(OR(PRECIOS!D811="",PRECIOS!D810=""),"",PRECIOS!D811/PRECIOS!D810-1),"")</f>
        <v>0.008557261676</v>
      </c>
      <c r="E811" s="7">
        <f>IFERROR(IF(OR(PRECIOS!E811="",PRECIOS!E810=""),"",PRECIOS!E811/PRECIOS!E810-1),"")</f>
        <v>0.004104206084</v>
      </c>
      <c r="F811" s="7">
        <f>IFERROR(IF(OR(PRECIOS!F811="",PRECIOS!F810=""),"",PRECIOS!F811/PRECIOS!F810-1),"")</f>
        <v>-0.02095084609</v>
      </c>
      <c r="G811" s="7">
        <f>IFERROR(IF(OR(PRECIOS!G811="",PRECIOS!G810=""),"",PRECIOS!G811/PRECIOS!G810-1),"")</f>
        <v>-0.0009560229446</v>
      </c>
      <c r="H811" s="7">
        <f>IFERROR(IF(OR(PRECIOS!H811="",PRECIOS!H810=""),"",PRECIOS!H811/PRECIOS!H810-1),"")</f>
        <v>-0.005203463743</v>
      </c>
      <c r="I811" s="7">
        <f>IFERROR(IF(OR(PRECIOS!I811="",PRECIOS!I810=""),"",PRECIOS!I811/PRECIOS!I810-1),"")</f>
        <v>0.009588069993</v>
      </c>
    </row>
    <row r="812" ht="15.75" customHeight="1">
      <c r="A812" s="4">
        <f>IF(PRECIOS!A812="","",PRECIOS!A812)</f>
        <v>45589</v>
      </c>
      <c r="B812" s="7">
        <f>IFERROR(IF(OR(PRECIOS!B812="",PRECIOS!B811=""),"",PRECIOS!B812/PRECIOS!B811-1),"")</f>
        <v>-0.00565394529</v>
      </c>
      <c r="C812" s="7">
        <f>IFERROR(IF(OR(PRECIOS!C812="",PRECIOS!C811=""),"",PRECIOS!C812/PRECIOS!C811-1),"")</f>
        <v>-0.005735528412</v>
      </c>
      <c r="D812" s="7">
        <f>IFERROR(IF(OR(PRECIOS!D812="",PRECIOS!D811=""),"",PRECIOS!D812/PRECIOS!D811-1),"")</f>
        <v>-0.0042026802</v>
      </c>
      <c r="E812" s="7">
        <f>IFERROR(IF(OR(PRECIOS!E812="",PRECIOS!E811=""),"",PRECIOS!E812/PRECIOS!E811-1),"")</f>
        <v>0.0009566326531</v>
      </c>
      <c r="F812" s="7">
        <f>IFERROR(IF(OR(PRECIOS!F812="",PRECIOS!F811=""),"",PRECIOS!F812/PRECIOS!F811-1),"")</f>
        <v>0.03333333333</v>
      </c>
      <c r="G812" s="7">
        <f>IFERROR(IF(OR(PRECIOS!G812="",PRECIOS!G811=""),"",PRECIOS!G812/PRECIOS!G811-1),"")</f>
        <v>0.007081339713</v>
      </c>
      <c r="H812" s="7">
        <f>IFERROR(IF(OR(PRECIOS!H812="",PRECIOS!H811=""),"",PRECIOS!H812/PRECIOS!H811-1),"")</f>
        <v>-0.0001113898436</v>
      </c>
      <c r="I812" s="7">
        <f>IFERROR(IF(OR(PRECIOS!I812="",PRECIOS!I811=""),"",PRECIOS!I812/PRECIOS!I811-1),"")</f>
        <v>-0.006453421703</v>
      </c>
    </row>
    <row r="813" ht="15.75" customHeight="1">
      <c r="A813" s="4">
        <f>IF(PRECIOS!A813="","",PRECIOS!A813)</f>
        <v>45590</v>
      </c>
      <c r="B813" s="7">
        <f>IFERROR(IF(OR(PRECIOS!B813="",PRECIOS!B812=""),"",PRECIOS!B813/PRECIOS!B812-1),"")</f>
        <v>-0.0008361903169</v>
      </c>
      <c r="C813" s="7">
        <f>IFERROR(IF(OR(PRECIOS!C813="",PRECIOS!C812=""),"",PRECIOS!C813/PRECIOS!C812-1),"")</f>
        <v>-0.01848093152</v>
      </c>
      <c r="D813" s="7">
        <f>IFERROR(IF(OR(PRECIOS!D813="",PRECIOS!D812=""),"",PRECIOS!D813/PRECIOS!D812-1),"")</f>
        <v>-0.01234272973</v>
      </c>
      <c r="E813" s="7">
        <f>IFERROR(IF(OR(PRECIOS!E813="",PRECIOS!E812=""),"",PRECIOS!E813/PRECIOS!E812-1),"")</f>
        <v>-0.002316893046</v>
      </c>
      <c r="F813" s="7">
        <f>IFERROR(IF(OR(PRECIOS!F813="",PRECIOS!F812=""),"",PRECIOS!F813/PRECIOS!F812-1),"")</f>
        <v>0.02150537634</v>
      </c>
      <c r="G813" s="7">
        <f>IFERROR(IF(OR(PRECIOS!G813="",PRECIOS!G812=""),"",PRECIOS!G813/PRECIOS!G812-1),"")</f>
        <v>-0.00228050171</v>
      </c>
      <c r="H813" s="7">
        <f>IFERROR(IF(OR(PRECIOS!H813="",PRECIOS!H812=""),"",PRECIOS!H813/PRECIOS!H812-1),"")</f>
        <v>-0.0003342067579</v>
      </c>
      <c r="I813" s="7">
        <f>IFERROR(IF(OR(PRECIOS!I813="",PRECIOS!I812=""),"",PRECIOS!I813/PRECIOS!I812-1),"")</f>
        <v>-0.01483123559</v>
      </c>
    </row>
    <row r="814" ht="15.75" customHeight="1">
      <c r="A814" s="4">
        <f>IF(PRECIOS!A814="","",PRECIOS!A814)</f>
        <v>45593</v>
      </c>
      <c r="B814" s="7">
        <f>IFERROR(IF(OR(PRECIOS!B814="",PRECIOS!B813=""),"",PRECIOS!B814/PRECIOS!B813-1),"")</f>
        <v>-0.004937651686</v>
      </c>
      <c r="C814" s="7">
        <f>IFERROR(IF(OR(PRECIOS!C814="",PRECIOS!C813=""),"",PRECIOS!C814/PRECIOS!C813-1),"")</f>
        <v>-0.0009795385285</v>
      </c>
      <c r="D814" s="7">
        <f>IFERROR(IF(OR(PRECIOS!D814="",PRECIOS!D813=""),"",PRECIOS!D814/PRECIOS!D813-1),"")</f>
        <v>0.03023462066</v>
      </c>
      <c r="E814" s="7">
        <f>IFERROR(IF(OR(PRECIOS!E814="",PRECIOS!E813=""),"",PRECIOS!E814/PRECIOS!E813-1),"")</f>
        <v>0.00296089872</v>
      </c>
      <c r="F814" s="7">
        <f>IFERROR(IF(OR(PRECIOS!F814="",PRECIOS!F813=""),"",PRECIOS!F814/PRECIOS!F813-1),"")</f>
        <v>-0.005458089669</v>
      </c>
      <c r="G814" s="7">
        <f>IFERROR(IF(OR(PRECIOS!G814="",PRECIOS!G813=""),"",PRECIOS!G814/PRECIOS!G813-1),"")</f>
        <v>-0.004</v>
      </c>
      <c r="H814" s="7">
        <f>IFERROR(IF(OR(PRECIOS!H814="",PRECIOS!H813=""),"",PRECIOS!H814/PRECIOS!H813-1),"")</f>
        <v>-0.006349729643</v>
      </c>
      <c r="I814" s="7">
        <f>IFERROR(IF(OR(PRECIOS!I814="",PRECIOS!I813=""),"",PRECIOS!I814/PRECIOS!I813-1),"")</f>
        <v>0.007836913748</v>
      </c>
    </row>
    <row r="815" ht="15.75" customHeight="1">
      <c r="A815" s="4">
        <f>IF(PRECIOS!A815="","",PRECIOS!A815)</f>
        <v>45594</v>
      </c>
      <c r="B815" s="7">
        <f>IFERROR(IF(OR(PRECIOS!B815="",PRECIOS!B814=""),"",PRECIOS!B815/PRECIOS!B814-1),"")</f>
        <v>-0.01362489487</v>
      </c>
      <c r="C815" s="7">
        <f>IFERROR(IF(OR(PRECIOS!C815="",PRECIOS!C814=""),"",PRECIOS!C815/PRECIOS!C814-1),"")</f>
        <v>-0.0214620329</v>
      </c>
      <c r="D815" s="7">
        <f>IFERROR(IF(OR(PRECIOS!D815="",PRECIOS!D814=""),"",PRECIOS!D815/PRECIOS!D814-1),"")</f>
        <v>-0.008765064955</v>
      </c>
      <c r="E815" s="7">
        <f>IFERROR(IF(OR(PRECIOS!E815="",PRECIOS!E814=""),"",PRECIOS!E815/PRECIOS!E814-1),"")</f>
        <v>0.0001157708894</v>
      </c>
      <c r="F815" s="7">
        <f>IFERROR(IF(OR(PRECIOS!F815="",PRECIOS!F814=""),"",PRECIOS!F815/PRECIOS!F814-1),"")</f>
        <v>-0.02626421011</v>
      </c>
      <c r="G815" s="7">
        <f>IFERROR(IF(OR(PRECIOS!G815="",PRECIOS!G814=""),"",PRECIOS!G815/PRECIOS!G814-1),"")</f>
        <v>-0.008605851979</v>
      </c>
      <c r="H815" s="7">
        <f>IFERROR(IF(OR(PRECIOS!H815="",PRECIOS!H814=""),"",PRECIOS!H815/PRECIOS!H814-1),"")</f>
        <v>-0.01524561207</v>
      </c>
      <c r="I815" s="7">
        <f>IFERROR(IF(OR(PRECIOS!I815="",PRECIOS!I814=""),"",PRECIOS!I815/PRECIOS!I814-1),"")</f>
        <v>-0.02135384395</v>
      </c>
    </row>
    <row r="816" ht="15.75" customHeight="1">
      <c r="A816" s="4">
        <f>IF(PRECIOS!A816="","",PRECIOS!A816)</f>
        <v>45595</v>
      </c>
      <c r="B816" s="7">
        <f>IFERROR(IF(OR(PRECIOS!B816="",PRECIOS!B815=""),"",PRECIOS!B816/PRECIOS!B815-1),"")</f>
        <v>-0.005030695771</v>
      </c>
      <c r="C816" s="7">
        <f>IFERROR(IF(OR(PRECIOS!C816="",PRECIOS!C815=""),"",PRECIOS!C816/PRECIOS!C815-1),"")</f>
        <v>-0.005121353819</v>
      </c>
      <c r="D816" s="7">
        <f>IFERROR(IF(OR(PRECIOS!D816="",PRECIOS!D815=""),"",PRECIOS!D816/PRECIOS!D815-1),"")</f>
        <v>-0.02013263856</v>
      </c>
      <c r="E816" s="7">
        <f>IFERROR(IF(OR(PRECIOS!E816="",PRECIOS!E815=""),"",PRECIOS!E816/PRECIOS!E815-1),"")</f>
        <v>-0.007929387932</v>
      </c>
      <c r="F816" s="7">
        <f>IFERROR(IF(OR(PRECIOS!F816="",PRECIOS!F815=""),"",PRECIOS!F816/PRECIOS!F815-1),"")</f>
        <v>-0.0116747182</v>
      </c>
      <c r="G816" s="7">
        <f>IFERROR(IF(OR(PRECIOS!G816="",PRECIOS!G815=""),"",PRECIOS!G816/PRECIOS!G815-1),"")</f>
        <v>0.01253858025</v>
      </c>
      <c r="H816" s="7">
        <f>IFERROR(IF(OR(PRECIOS!H816="",PRECIOS!H815=""),"",PRECIOS!H816/PRECIOS!H815-1),"")</f>
        <v>0.002275385736</v>
      </c>
      <c r="I816" s="7">
        <f>IFERROR(IF(OR(PRECIOS!I816="",PRECIOS!I815=""),"",PRECIOS!I816/PRECIOS!I815-1),"")</f>
        <v>-0.002396513021</v>
      </c>
    </row>
    <row r="817" ht="15.75" customHeight="1">
      <c r="A817" s="4">
        <f>IF(PRECIOS!A817="","",PRECIOS!A817)</f>
        <v>45596</v>
      </c>
      <c r="B817" s="7">
        <f>IFERROR(IF(OR(PRECIOS!B817="",PRECIOS!B816=""),"",PRECIOS!B817/PRECIOS!B816-1),"")</f>
        <v>0.0007712743166</v>
      </c>
      <c r="C817" s="7">
        <f>IFERROR(IF(OR(PRECIOS!C817="",PRECIOS!C816=""),"",PRECIOS!C817/PRECIOS!C816-1),"")</f>
        <v>0.01868845121</v>
      </c>
      <c r="D817" s="7">
        <f>IFERROR(IF(OR(PRECIOS!D817="",PRECIOS!D816=""),"",PRECIOS!D817/PRECIOS!D816-1),"")</f>
        <v>0.006848763194</v>
      </c>
      <c r="E817" s="7">
        <f>IFERROR(IF(OR(PRECIOS!E817="",PRECIOS!E816=""),"",PRECIOS!E817/PRECIOS!E816-1),"")</f>
        <v>-0.03275867098</v>
      </c>
      <c r="F817" s="7">
        <f>IFERROR(IF(OR(PRECIOS!F817="",PRECIOS!F816=""),"",PRECIOS!F817/PRECIOS!F816-1),"")</f>
        <v>-0.001629327902</v>
      </c>
      <c r="G817" s="7">
        <f>IFERROR(IF(OR(PRECIOS!G817="",PRECIOS!G816=""),"",PRECIOS!G817/PRECIOS!G816-1),"")</f>
        <v>-0.002286149743</v>
      </c>
      <c r="H817" s="7">
        <f>IFERROR(IF(OR(PRECIOS!H817="",PRECIOS!H816=""),"",PRECIOS!H817/PRECIOS!H816-1),"")</f>
        <v>0.00624488076</v>
      </c>
      <c r="I817" s="7">
        <f>IFERROR(IF(OR(PRECIOS!I817="",PRECIOS!I816=""),"",PRECIOS!I817/PRECIOS!I816-1),"")</f>
        <v>0.01036700183</v>
      </c>
    </row>
    <row r="818" ht="15.75" customHeight="1">
      <c r="A818" s="4">
        <f>IF(PRECIOS!A818="","",PRECIOS!A818)</f>
        <v>45597</v>
      </c>
      <c r="B818" s="7">
        <f>IFERROR(IF(OR(PRECIOS!B818="",PRECIOS!B817=""),"",PRECIOS!B818/PRECIOS!B817-1),"")</f>
        <v>-0.01567049152</v>
      </c>
      <c r="C818" s="7">
        <f>IFERROR(IF(OR(PRECIOS!C818="",PRECIOS!C817=""),"",PRECIOS!C818/PRECIOS!C817-1),"")</f>
        <v>-0.02735361969</v>
      </c>
      <c r="D818" s="7">
        <f>IFERROR(IF(OR(PRECIOS!D818="",PRECIOS!D817=""),"",PRECIOS!D818/PRECIOS!D817-1),"")</f>
        <v>-0.04361395647</v>
      </c>
      <c r="E818" s="7">
        <f>IFERROR(IF(OR(PRECIOS!E818="",PRECIOS!E817=""),"",PRECIOS!E818/PRECIOS!E817-1),"")</f>
        <v>0.01031425297</v>
      </c>
      <c r="F818" s="7">
        <f>IFERROR(IF(OR(PRECIOS!F818="",PRECIOS!F817=""),"",PRECIOS!F818/PRECIOS!F817-1),"")</f>
        <v>0.0350877193</v>
      </c>
      <c r="G818" s="7">
        <f>IFERROR(IF(OR(PRECIOS!G818="",PRECIOS!G817=""),"",PRECIOS!G818/PRECIOS!G817-1),"")</f>
        <v>-0.01546687035</v>
      </c>
      <c r="H818" s="7">
        <f>IFERROR(IF(OR(PRECIOS!H818="",PRECIOS!H817=""),"",PRECIOS!H818/PRECIOS!H817-1),"")</f>
        <v>-0.006768392524</v>
      </c>
      <c r="I818" s="7">
        <f>IFERROR(IF(OR(PRECIOS!I818="",PRECIOS!I817=""),"",PRECIOS!I818/PRECIOS!I817-1),"")</f>
        <v>-0.02227332781</v>
      </c>
    </row>
    <row r="819" ht="15.75" customHeight="1">
      <c r="A819" s="4">
        <f>IF(PRECIOS!A819="","",PRECIOS!A819)</f>
        <v>45600</v>
      </c>
      <c r="B819" s="7">
        <f>IFERROR(IF(OR(PRECIOS!B819="",PRECIOS!B818=""),"",PRECIOS!B819/PRECIOS!B818-1),"")</f>
        <v>0.0318399304</v>
      </c>
      <c r="C819" s="7">
        <f>IFERROR(IF(OR(PRECIOS!C819="",PRECIOS!C818=""),"",PRECIOS!C819/PRECIOS!C818-1),"")</f>
        <v>-0.004743618703</v>
      </c>
      <c r="D819" s="7">
        <f>IFERROR(IF(OR(PRECIOS!D819="",PRECIOS!D818=""),"",PRECIOS!D819/PRECIOS!D818-1),"")</f>
        <v>-0.03154547737</v>
      </c>
      <c r="E819" s="7">
        <f>IFERROR(IF(OR(PRECIOS!E819="",PRECIOS!E818=""),"",PRECIOS!E819/PRECIOS!E818-1),"")</f>
        <v>-0.01155223881</v>
      </c>
      <c r="F819" s="7">
        <f>IFERROR(IF(OR(PRECIOS!F819="",PRECIOS!F818=""),"",PRECIOS!F819/PRECIOS!F818-1),"")</f>
        <v>0.04808829326</v>
      </c>
      <c r="G819" s="7">
        <f>IFERROR(IF(OR(PRECIOS!G819="",PRECIOS!G818=""),"",PRECIOS!G819/PRECIOS!G818-1),"")</f>
        <v>0.01124903026</v>
      </c>
      <c r="H819" s="7">
        <f>IFERROR(IF(OR(PRECIOS!H819="",PRECIOS!H818=""),"",PRECIOS!H819/PRECIOS!H818-1),"")</f>
        <v>0.01795176071</v>
      </c>
      <c r="I819" s="7">
        <f>IFERROR(IF(OR(PRECIOS!I819="",PRECIOS!I818=""),"",PRECIOS!I819/PRECIOS!I818-1),"")</f>
        <v>-0.0119040666</v>
      </c>
    </row>
    <row r="820" ht="15.75" customHeight="1">
      <c r="A820" s="4">
        <f>IF(PRECIOS!A820="","",PRECIOS!A820)</f>
        <v>45601</v>
      </c>
      <c r="B820" s="7">
        <f>IFERROR(IF(OR(PRECIOS!B820="",PRECIOS!B819=""),"",PRECIOS!B820/PRECIOS!B819-1),"")</f>
        <v>0.002950847315</v>
      </c>
      <c r="C820" s="7">
        <f>IFERROR(IF(OR(PRECIOS!C820="",PRECIOS!C819=""),"",PRECIOS!C820/PRECIOS!C819-1),"")</f>
        <v>0.006581933727</v>
      </c>
      <c r="D820" s="7">
        <f>IFERROR(IF(OR(PRECIOS!D820="",PRECIOS!D819=""),"",PRECIOS!D820/PRECIOS!D819-1),"")</f>
        <v>0.05322274063</v>
      </c>
      <c r="E820" s="7">
        <f>IFERROR(IF(OR(PRECIOS!E820="",PRECIOS!E819=""),"",PRECIOS!E820/PRECIOS!E819-1),"")</f>
        <v>0.01917675837</v>
      </c>
      <c r="F820" s="7">
        <f>IFERROR(IF(OR(PRECIOS!F820="",PRECIOS!F819=""),"",PRECIOS!F820/PRECIOS!F819-1),"")</f>
        <v>0.03384731102</v>
      </c>
      <c r="G820" s="7">
        <f>IFERROR(IF(OR(PRECIOS!G820="",PRECIOS!G819=""),"",PRECIOS!G820/PRECIOS!G819-1),"")</f>
        <v>0.01745301112</v>
      </c>
      <c r="H820" s="7">
        <f>IFERROR(IF(OR(PRECIOS!H820="",PRECIOS!H819=""),"",PRECIOS!H820/PRECIOS!H819-1),"")</f>
        <v>0.006703648032</v>
      </c>
      <c r="I820" s="7">
        <f>IFERROR(IF(OR(PRECIOS!I820="",PRECIOS!I819=""),"",PRECIOS!I820/PRECIOS!I819-1),"")</f>
        <v>0.01502710952</v>
      </c>
    </row>
    <row r="821" ht="15.75" customHeight="1">
      <c r="A821" s="4">
        <f>IF(PRECIOS!A821="","",PRECIOS!A821)</f>
        <v>45602</v>
      </c>
      <c r="B821" s="7">
        <f>IFERROR(IF(OR(PRECIOS!B821="",PRECIOS!B820=""),"",PRECIOS!B821/PRECIOS!B820-1),"")</f>
        <v>0.01714862139</v>
      </c>
      <c r="C821" s="7">
        <f>IFERROR(IF(OR(PRECIOS!C821="",PRECIOS!C820=""),"",PRECIOS!C821/PRECIOS!C820-1),"")</f>
        <v>-0.01443066516</v>
      </c>
      <c r="D821" s="7">
        <f>IFERROR(IF(OR(PRECIOS!D821="",PRECIOS!D820=""),"",PRECIOS!D821/PRECIOS!D820-1),"")</f>
        <v>0.03437243642</v>
      </c>
      <c r="E821" s="7">
        <f>IFERROR(IF(OR(PRECIOS!E821="",PRECIOS!E820=""),"",PRECIOS!E821/PRECIOS!E820-1),"")</f>
        <v>0.06430010667</v>
      </c>
      <c r="F821" s="7">
        <f>IFERROR(IF(OR(PRECIOS!F821="",PRECIOS!F820=""),"",PRECIOS!F821/PRECIOS!F820-1),"")</f>
        <v>0.02764641688</v>
      </c>
      <c r="G821" s="7">
        <f>IFERROR(IF(OR(PRECIOS!G821="",PRECIOS!G820=""),"",PRECIOS!G821/PRECIOS!G820-1),"")</f>
        <v>0.04297832234</v>
      </c>
      <c r="H821" s="7">
        <f>IFERROR(IF(OR(PRECIOS!H821="",PRECIOS!H820=""),"",PRECIOS!H821/PRECIOS!H820-1),"")</f>
        <v>0.03759415875</v>
      </c>
      <c r="I821" s="7">
        <f>IFERROR(IF(OR(PRECIOS!I821="",PRECIOS!I820=""),"",PRECIOS!I821/PRECIOS!I820-1),"")</f>
        <v>-0.01034180636</v>
      </c>
    </row>
    <row r="822" ht="15.75" customHeight="1">
      <c r="A822" s="4">
        <f>IF(PRECIOS!A822="","",PRECIOS!A822)</f>
        <v>45603</v>
      </c>
      <c r="B822" s="7">
        <f>IFERROR(IF(OR(PRECIOS!B822="",PRECIOS!B821=""),"",PRECIOS!B822/PRECIOS!B821-1),"")</f>
        <v>0.001239669421</v>
      </c>
      <c r="C822" s="7">
        <f>IFERROR(IF(OR(PRECIOS!C822="",PRECIOS!C821=""),"",PRECIOS!C822/PRECIOS!C821-1),"")</f>
        <v>-0.005605124685</v>
      </c>
      <c r="D822" s="7">
        <f>IFERROR(IF(OR(PRECIOS!D822="",PRECIOS!D821=""),"",PRECIOS!D822/PRECIOS!D821-1),"")</f>
        <v>0.07645332699</v>
      </c>
      <c r="E822" s="7">
        <f>IFERROR(IF(OR(PRECIOS!E822="",PRECIOS!E821=""),"",PRECIOS!E822/PRECIOS!E821-1),"")</f>
        <v>0.003842084749</v>
      </c>
      <c r="F822" s="7">
        <f>IFERROR(IF(OR(PRECIOS!F822="",PRECIOS!F821=""),"",PRECIOS!F822/PRECIOS!F821-1),"")</f>
        <v>0.03787610619</v>
      </c>
      <c r="G822" s="7">
        <f>IFERROR(IF(OR(PRECIOS!G822="",PRECIOS!G821=""),"",PRECIOS!G822/PRECIOS!G821-1),"")</f>
        <v>0.001988071571</v>
      </c>
      <c r="H822" s="7">
        <f>IFERROR(IF(OR(PRECIOS!H822="",PRECIOS!H821=""),"",PRECIOS!H822/PRECIOS!H821-1),"")</f>
        <v>-0.004595555476</v>
      </c>
      <c r="I822" s="7">
        <f>IFERROR(IF(OR(PRECIOS!I822="",PRECIOS!I821=""),"",PRECIOS!I822/PRECIOS!I821-1),"")</f>
        <v>0.001808066759</v>
      </c>
    </row>
    <row r="823" ht="15.75" customHeight="1">
      <c r="A823" s="4">
        <f>IF(PRECIOS!A823="","",PRECIOS!A823)</f>
        <v>45604</v>
      </c>
      <c r="B823" s="7">
        <f>IFERROR(IF(OR(PRECIOS!B823="",PRECIOS!B822=""),"",PRECIOS!B823/PRECIOS!B822-1),"")</f>
        <v>-0.0003301692117</v>
      </c>
      <c r="C823" s="7">
        <f>IFERROR(IF(OR(PRECIOS!C823="",PRECIOS!C822=""),"",PRECIOS!C823/PRECIOS!C822-1),"")</f>
        <v>0.01967099965</v>
      </c>
      <c r="D823" s="7">
        <f>IFERROR(IF(OR(PRECIOS!D823="",PRECIOS!D822=""),"",PRECIOS!D823/PRECIOS!D822-1),"")</f>
        <v>0.04545789435</v>
      </c>
      <c r="E823" s="7">
        <f>IFERROR(IF(OR(PRECIOS!E823="",PRECIOS!E822=""),"",PRECIOS!E823/PRECIOS!E822-1),"")</f>
        <v>0.01694586199</v>
      </c>
      <c r="F823" s="7">
        <f>IFERROR(IF(OR(PRECIOS!F823="",PRECIOS!F822=""),"",PRECIOS!F823/PRECIOS!F822-1),"")</f>
        <v>-0.00272851296</v>
      </c>
      <c r="G823" s="7">
        <f>IFERROR(IF(OR(PRECIOS!G823="",PRECIOS!G822=""),"",PRECIOS!G823/PRECIOS!G822-1),"")</f>
        <v>0.01569264069</v>
      </c>
      <c r="H823" s="7">
        <f>IFERROR(IF(OR(PRECIOS!H823="",PRECIOS!H822=""),"",PRECIOS!H823/PRECIOS!H822-1),"")</f>
        <v>0.006655492124</v>
      </c>
      <c r="I823" s="7">
        <f>IFERROR(IF(OR(PRECIOS!I823="",PRECIOS!I822=""),"",PRECIOS!I823/PRECIOS!I822-1),"")</f>
        <v>0.01917737268</v>
      </c>
    </row>
    <row r="824" ht="15.75" customHeight="1">
      <c r="A824" s="4">
        <f>IF(PRECIOS!A824="","",PRECIOS!A824)</f>
        <v>45607</v>
      </c>
      <c r="B824" s="7">
        <f>IFERROR(IF(OR(PRECIOS!B824="",PRECIOS!B823=""),"",PRECIOS!B824/PRECIOS!B823-1),"")</f>
        <v>-0.005284452151</v>
      </c>
      <c r="C824" s="7">
        <f>IFERROR(IF(OR(PRECIOS!C824="",PRECIOS!C823=""),"",PRECIOS!C824/PRECIOS!C823-1),"")</f>
        <v>-0.003497292419</v>
      </c>
      <c r="D824" s="7">
        <f>IFERROR(IF(OR(PRECIOS!D824="",PRECIOS!D823=""),"",PRECIOS!D824/PRECIOS!D823-1),"")</f>
        <v>0.02748414376</v>
      </c>
      <c r="E824" s="7">
        <f>IFERROR(IF(OR(PRECIOS!E824="",PRECIOS!E823=""),"",PRECIOS!E824/PRECIOS!E823-1),"")</f>
        <v>0.01439986909</v>
      </c>
      <c r="F824" s="7">
        <f>IFERROR(IF(OR(PRECIOS!F824="",PRECIOS!F823=""),"",PRECIOS!F824/PRECIOS!F823-1),"")</f>
        <v>0.02051983584</v>
      </c>
      <c r="G824" s="7">
        <f>IFERROR(IF(OR(PRECIOS!G824="",PRECIOS!G823=""),"",PRECIOS!G824/PRECIOS!G823-1),"")</f>
        <v>0.01047771266</v>
      </c>
      <c r="H824" s="7">
        <f>IFERROR(IF(OR(PRECIOS!H824="",PRECIOS!H823=""),"",PRECIOS!H824/PRECIOS!H823-1),"")</f>
        <v>0.005653334756</v>
      </c>
      <c r="I824" s="7">
        <f>IFERROR(IF(OR(PRECIOS!I824="",PRECIOS!I823=""),"",PRECIOS!I824/PRECIOS!I823-1),"")</f>
        <v>0.002779385916</v>
      </c>
    </row>
    <row r="825" ht="15.75" customHeight="1">
      <c r="A825" s="4">
        <f>IF(PRECIOS!A825="","",PRECIOS!A825)</f>
        <v>45608</v>
      </c>
      <c r="B825" s="7">
        <f>IFERROR(IF(OR(PRECIOS!B825="",PRECIOS!B824=""),"",PRECIOS!B825/PRECIOS!B824-1),"")</f>
        <v>-0.0009960986138</v>
      </c>
      <c r="C825" s="7">
        <f>IFERROR(IF(OR(PRECIOS!C825="",PRECIOS!C824=""),"",PRECIOS!C825/PRECIOS!C824-1),"")</f>
        <v>-0.007019132797</v>
      </c>
      <c r="D825" s="7">
        <f>IFERROR(IF(OR(PRECIOS!D825="",PRECIOS!D824=""),"",PRECIOS!D825/PRECIOS!D824-1),"")</f>
        <v>-0.02496570645</v>
      </c>
      <c r="E825" s="7">
        <f>IFERROR(IF(OR(PRECIOS!E825="",PRECIOS!E824=""),"",PRECIOS!E825/PRECIOS!E824-1),"")</f>
        <v>-0.007958058879</v>
      </c>
      <c r="F825" s="7">
        <f>IFERROR(IF(OR(PRECIOS!F825="",PRECIOS!F824=""),"",PRECIOS!F825/PRECIOS!F824-1),"")</f>
        <v>-0.001675603217</v>
      </c>
      <c r="G825" s="7">
        <f>IFERROR(IF(OR(PRECIOS!G825="",PRECIOS!G824=""),"",PRECIOS!G825/PRECIOS!G824-1),"")</f>
        <v>-0.002811950791</v>
      </c>
      <c r="H825" s="7">
        <f>IFERROR(IF(OR(PRECIOS!H825="",PRECIOS!H824=""),"",PRECIOS!H825/PRECIOS!H824-1),"")</f>
        <v>-0.005303227917</v>
      </c>
      <c r="I825" s="7">
        <f>IFERROR(IF(OR(PRECIOS!I825="",PRECIOS!I824=""),"",PRECIOS!I825/PRECIOS!I824-1),"")</f>
        <v>-0.01146029258</v>
      </c>
    </row>
    <row r="826" ht="15.75" customHeight="1">
      <c r="A826" s="4">
        <f>IF(PRECIOS!A826="","",PRECIOS!A826)</f>
        <v>45609</v>
      </c>
      <c r="B826" s="7">
        <f>IFERROR(IF(OR(PRECIOS!B826="",PRECIOS!B825=""),"",PRECIOS!B826/PRECIOS!B825-1),"")</f>
        <v>0.009306190278</v>
      </c>
      <c r="C826" s="7">
        <f>IFERROR(IF(OR(PRECIOS!C826="",PRECIOS!C825=""),"",PRECIOS!C826/PRECIOS!C825-1),"")</f>
        <v>-0.00216622962</v>
      </c>
      <c r="D826" s="7">
        <f>IFERROR(IF(OR(PRECIOS!D826="",PRECIOS!D825=""),"",PRECIOS!D826/PRECIOS!D825-1),"")</f>
        <v>-0.0002813731007</v>
      </c>
      <c r="E826" s="7">
        <f>IFERROR(IF(OR(PRECIOS!E826="",PRECIOS!E825=""),"",PRECIOS!E826/PRECIOS!E825-1),"")</f>
        <v>0.001815767365</v>
      </c>
      <c r="F826" s="7">
        <f>IFERROR(IF(OR(PRECIOS!F826="",PRECIOS!F825=""),"",PRECIOS!F826/PRECIOS!F825-1),"")</f>
        <v>0.0375965089</v>
      </c>
      <c r="G826" s="7">
        <f>IFERROR(IF(OR(PRECIOS!G826="",PRECIOS!G825=""),"",PRECIOS!G826/PRECIOS!G825-1),"")</f>
        <v>-0.02009164611</v>
      </c>
      <c r="H826" s="7">
        <f>IFERROR(IF(OR(PRECIOS!H826="",PRECIOS!H825=""),"",PRECIOS!H826/PRECIOS!H825-1),"")</f>
        <v>0.00778279296</v>
      </c>
      <c r="I826" s="7">
        <f>IFERROR(IF(OR(PRECIOS!I826="",PRECIOS!I825=""),"",PRECIOS!I826/PRECIOS!I825-1),"")</f>
        <v>-0.001783765357</v>
      </c>
    </row>
    <row r="827" ht="15.75" customHeight="1">
      <c r="A827" s="4">
        <f>IF(PRECIOS!A827="","",PRECIOS!A827)</f>
        <v>45610</v>
      </c>
      <c r="B827" s="7">
        <f>IFERROR(IF(OR(PRECIOS!B827="",PRECIOS!B826=""),"",PRECIOS!B827/PRECIOS!B826-1),"")</f>
        <v>-0.007491561702</v>
      </c>
      <c r="C827" s="7">
        <f>IFERROR(IF(OR(PRECIOS!C827="",PRECIOS!C826=""),"",PRECIOS!C827/PRECIOS!C826-1),"")</f>
        <v>-0.008455210238</v>
      </c>
      <c r="D827" s="7">
        <f>IFERROR(IF(OR(PRECIOS!D827="",PRECIOS!D826=""),"",PRECIOS!D827/PRECIOS!D826-1),"")</f>
        <v>-0.02575288489</v>
      </c>
      <c r="E827" s="7">
        <f>IFERROR(IF(OR(PRECIOS!E827="",PRECIOS!E826=""),"",PRECIOS!E827/PRECIOS!E826-1),"")</f>
        <v>-0.0211004707</v>
      </c>
      <c r="F827" s="7">
        <f>IFERROR(IF(OR(PRECIOS!F827="",PRECIOS!F826=""),"",PRECIOS!F827/PRECIOS!F826-1),"")</f>
        <v>0.04367518602</v>
      </c>
      <c r="G827" s="7">
        <f>IFERROR(IF(OR(PRECIOS!G827="",PRECIOS!G826=""),"",PRECIOS!G827/PRECIOS!G826-1),"")</f>
        <v>-0.0003597122302</v>
      </c>
      <c r="H827" s="7">
        <f>IFERROR(IF(OR(PRECIOS!H827="",PRECIOS!H826=""),"",PRECIOS!H827/PRECIOS!H826-1),"")</f>
        <v>0.003812829543</v>
      </c>
      <c r="I827" s="7">
        <f>IFERROR(IF(OR(PRECIOS!I827="",PRECIOS!I826=""),"",PRECIOS!I827/PRECIOS!I826-1),"")</f>
        <v>-0.00344683352</v>
      </c>
    </row>
    <row r="828" ht="15.75" customHeight="1">
      <c r="A828" s="4">
        <f>IF(PRECIOS!A828="","",PRECIOS!A828)</f>
        <v>45611</v>
      </c>
      <c r="B828" s="7">
        <f>IFERROR(IF(OR(PRECIOS!B828="",PRECIOS!B827=""),"",PRECIOS!B828/PRECIOS!B827-1),"")</f>
        <v>-0.01036828135</v>
      </c>
      <c r="C828" s="7">
        <f>IFERROR(IF(OR(PRECIOS!C828="",PRECIOS!C827=""),"",PRECIOS!C828/PRECIOS!C827-1),"")</f>
        <v>0.01325190136</v>
      </c>
      <c r="D828" s="7">
        <f>IFERROR(IF(OR(PRECIOS!D828="",PRECIOS!D827=""),"",PRECIOS!D828/PRECIOS!D827-1),"")</f>
        <v>0.02665029611</v>
      </c>
      <c r="E828" s="7">
        <f>IFERROR(IF(OR(PRECIOS!E828="",PRECIOS!E827=""),"",PRECIOS!E828/PRECIOS!E827-1),"")</f>
        <v>-0.007931244128</v>
      </c>
      <c r="F828" s="7">
        <f>IFERROR(IF(OR(PRECIOS!F828="",PRECIOS!F827=""),"",PRECIOS!F828/PRECIOS!F827-1),"")</f>
        <v>0.004029758215</v>
      </c>
      <c r="G828" s="7">
        <f>IFERROR(IF(OR(PRECIOS!G828="",PRECIOS!G827=""),"",PRECIOS!G828/PRECIOS!G827-1),"")</f>
        <v>0.01745232098</v>
      </c>
      <c r="H828" s="7">
        <f>IFERROR(IF(OR(PRECIOS!H828="",PRECIOS!H827=""),"",PRECIOS!H828/PRECIOS!H827-1),"")</f>
        <v>-0.001478477498</v>
      </c>
      <c r="I828" s="7">
        <f>IFERROR(IF(OR(PRECIOS!I828="",PRECIOS!I827=""),"",PRECIOS!I828/PRECIOS!I827-1),"")</f>
        <v>0.01498528302</v>
      </c>
    </row>
    <row r="829" ht="15.75" customHeight="1">
      <c r="A829" s="4">
        <f>IF(PRECIOS!A829="","",PRECIOS!A829)</f>
        <v>45614</v>
      </c>
      <c r="B829" s="7">
        <f>IFERROR(IF(OR(PRECIOS!B829="",PRECIOS!B828=""),"",PRECIOS!B829/PRECIOS!B828-1),"")</f>
        <v>0.008381527114</v>
      </c>
      <c r="C829" s="7">
        <f>IFERROR(IF(OR(PRECIOS!C829="",PRECIOS!C828=""),"",PRECIOS!C829/PRECIOS!C828-1),"")</f>
        <v>0.00125099511</v>
      </c>
      <c r="D829" s="7">
        <f>IFERROR(IF(OR(PRECIOS!D829="",PRECIOS!D828=""),"",PRECIOS!D829/PRECIOS!D828-1),"")</f>
        <v>0.03151600422</v>
      </c>
      <c r="E829" s="7">
        <f>IFERROR(IF(OR(PRECIOS!E829="",PRECIOS!E828=""),"",PRECIOS!E829/PRECIOS!E828-1),"")</f>
        <v>-0.00323128778</v>
      </c>
      <c r="F829" s="7">
        <f>IFERROR(IF(OR(PRECIOS!F829="",PRECIOS!F828=""),"",PRECIOS!F829/PRECIOS!F828-1),"")</f>
        <v>0.07872800247</v>
      </c>
      <c r="G829" s="7">
        <f>IFERROR(IF(OR(PRECIOS!G829="",PRECIOS!G828=""),"",PRECIOS!G829/PRECIOS!G828-1),"")</f>
        <v>0.02316534041</v>
      </c>
      <c r="H829" s="7">
        <f>IFERROR(IF(OR(PRECIOS!H829="",PRECIOS!H828=""),"",PRECIOS!H829/PRECIOS!H828-1),"")</f>
        <v>0.01330179858</v>
      </c>
      <c r="I829" s="7">
        <f>IFERROR(IF(OR(PRECIOS!I829="",PRECIOS!I828=""),"",PRECIOS!I829/PRECIOS!I828-1),"")</f>
        <v>0.008707668873</v>
      </c>
    </row>
    <row r="830" ht="15.75" customHeight="1">
      <c r="A830" s="4">
        <f>IF(PRECIOS!A830="","",PRECIOS!A830)</f>
        <v>45615</v>
      </c>
      <c r="B830" s="7">
        <f>IFERROR(IF(OR(PRECIOS!B830="",PRECIOS!B829=""),"",PRECIOS!B830/PRECIOS!B829-1),"")</f>
        <v>-0.01396392652</v>
      </c>
      <c r="C830" s="7">
        <f>IFERROR(IF(OR(PRECIOS!C830="",PRECIOS!C829=""),"",PRECIOS!C830/PRECIOS!C829-1),"")</f>
        <v>0.002839618355</v>
      </c>
      <c r="D830" s="7">
        <f>IFERROR(IF(OR(PRECIOS!D830="",PRECIOS!D829=""),"",PRECIOS!D830/PRECIOS!D829-1),"")</f>
        <v>0.05612766828</v>
      </c>
      <c r="E830" s="7">
        <f>IFERROR(IF(OR(PRECIOS!E830="",PRECIOS!E829=""),"",PRECIOS!E830/PRECIOS!E829-1),"")</f>
        <v>0.01637649163</v>
      </c>
      <c r="F830" s="7">
        <f>IFERROR(IF(OR(PRECIOS!F830="",PRECIOS!F829=""),"",PRECIOS!F830/PRECIOS!F829-1),"")</f>
        <v>0.01745850029</v>
      </c>
      <c r="G830" s="7">
        <f>IFERROR(IF(OR(PRECIOS!G830="",PRECIOS!G829=""),"",PRECIOS!G830/PRECIOS!G829-1),"")</f>
        <v>0.01278949188</v>
      </c>
      <c r="H830" s="7">
        <f>IFERROR(IF(OR(PRECIOS!H830="",PRECIOS!H829=""),"",PRECIOS!H830/PRECIOS!H829-1),"")</f>
        <v>-0.006352983579</v>
      </c>
      <c r="I830" s="7">
        <f>IFERROR(IF(OR(PRECIOS!I830="",PRECIOS!I829=""),"",PRECIOS!I830/PRECIOS!I829-1),"")</f>
        <v>0.006377723117</v>
      </c>
    </row>
    <row r="831" ht="15.75" customHeight="1">
      <c r="A831" s="4">
        <f>IF(PRECIOS!A831="","",PRECIOS!A831)</f>
        <v>45616</v>
      </c>
      <c r="B831" s="7">
        <f>IFERROR(IF(OR(PRECIOS!B831="",PRECIOS!B830=""),"",PRECIOS!B831/PRECIOS!B830-1),"")</f>
        <v>0.01424597488</v>
      </c>
      <c r="C831" s="7">
        <f>IFERROR(IF(OR(PRECIOS!C831="",PRECIOS!C830=""),"",PRECIOS!C831/PRECIOS!C830-1),"")</f>
        <v>-0.003624419527</v>
      </c>
      <c r="D831" s="7">
        <f>IFERROR(IF(OR(PRECIOS!D831="",PRECIOS!D830=""),"",PRECIOS!D831/PRECIOS!D830-1),"")</f>
        <v>-0.00148521245</v>
      </c>
      <c r="E831" s="7">
        <f>IFERROR(IF(OR(PRECIOS!E831="",PRECIOS!E830=""),"",PRECIOS!E831/PRECIOS!E830-1),"")</f>
        <v>-0.008881190024</v>
      </c>
      <c r="F831" s="7">
        <f>IFERROR(IF(OR(PRECIOS!F831="",PRECIOS!F830=""),"",PRECIOS!F831/PRECIOS!F830-1),"")</f>
        <v>0.04556962025</v>
      </c>
      <c r="G831" s="7">
        <f>IFERROR(IF(OR(PRECIOS!G831="",PRECIOS!G830=""),"",PRECIOS!G831/PRECIOS!G830-1),"")</f>
        <v>0.001706484642</v>
      </c>
      <c r="H831" s="7">
        <f>IFERROR(IF(OR(PRECIOS!H831="",PRECIOS!H830=""),"",PRECIOS!H831/PRECIOS!H830-1),"")</f>
        <v>0.0100623846</v>
      </c>
      <c r="I831" s="7">
        <f>IFERROR(IF(OR(PRECIOS!I831="",PRECIOS!I830=""),"",PRECIOS!I831/PRECIOS!I830-1),"")</f>
        <v>0.0004975996617</v>
      </c>
    </row>
    <row r="832" ht="15.75" customHeight="1">
      <c r="A832" s="4">
        <f>IF(PRECIOS!A832="","",PRECIOS!A832)</f>
        <v>45617</v>
      </c>
      <c r="B832" s="7">
        <f>IFERROR(IF(OR(PRECIOS!B832="",PRECIOS!B831=""),"",PRECIOS!B832/PRECIOS!B831-1),"")</f>
        <v>0.01338098404</v>
      </c>
      <c r="C832" s="7">
        <f>IFERROR(IF(OR(PRECIOS!C832="",PRECIOS!C831=""),"",PRECIOS!C832/PRECIOS!C831-1),"")</f>
        <v>0.001932476981</v>
      </c>
      <c r="D832" s="7">
        <f>IFERROR(IF(OR(PRECIOS!D832="",PRECIOS!D831=""),"",PRECIOS!D832/PRECIOS!D831-1),"")</f>
        <v>0.07747526353</v>
      </c>
      <c r="E832" s="7">
        <f>IFERROR(IF(OR(PRECIOS!E832="",PRECIOS!E831=""),"",PRECIOS!E832/PRECIOS!E831-1),"")</f>
        <v>0.02910170338</v>
      </c>
      <c r="F832" s="7">
        <f>IFERROR(IF(OR(PRECIOS!F832="",PRECIOS!F831=""),"",PRECIOS!F832/PRECIOS!F831-1),"")</f>
        <v>0.00807102502</v>
      </c>
      <c r="G832" s="7">
        <f>IFERROR(IF(OR(PRECIOS!G832="",PRECIOS!G831=""),"",PRECIOS!G832/PRECIOS!G831-1),"")</f>
        <v>0.01771720613</v>
      </c>
      <c r="H832" s="7">
        <f>IFERROR(IF(OR(PRECIOS!H832="",PRECIOS!H831=""),"",PRECIOS!H832/PRECIOS!H831-1),"")</f>
        <v>0.008097349919</v>
      </c>
      <c r="I832" s="7">
        <f>IFERROR(IF(OR(PRECIOS!I832="",PRECIOS!I831=""),"",PRECIOS!I832/PRECIOS!I831-1),"")</f>
        <v>0.01739186456</v>
      </c>
    </row>
    <row r="833" ht="15.75" customHeight="1">
      <c r="A833" s="4">
        <f>IF(PRECIOS!A833="","",PRECIOS!A833)</f>
        <v>45618</v>
      </c>
      <c r="B833" s="7">
        <f>IFERROR(IF(OR(PRECIOS!B833="",PRECIOS!B832=""),"",PRECIOS!B833/PRECIOS!B832-1),"")</f>
        <v>-0.001148199787</v>
      </c>
      <c r="C833" s="7">
        <f>IFERROR(IF(OR(PRECIOS!C833="",PRECIOS!C832=""),"",PRECIOS!C833/PRECIOS!C832-1),"")</f>
        <v>-0.006126616746</v>
      </c>
      <c r="D833" s="7">
        <f>IFERROR(IF(OR(PRECIOS!D833="",PRECIOS!D832=""),"",PRECIOS!D833/PRECIOS!D832-1),"")</f>
        <v>-0.02814957085</v>
      </c>
      <c r="E833" s="7">
        <f>IFERROR(IF(OR(PRECIOS!E833="",PRECIOS!E832=""),"",PRECIOS!E833/PRECIOS!E832-1),"")</f>
        <v>0.01741474592</v>
      </c>
      <c r="F833" s="7">
        <f>IFERROR(IF(OR(PRECIOS!F833="",PRECIOS!F832=""),"",PRECIOS!F833/PRECIOS!F832-1),"")</f>
        <v>0.06832132373</v>
      </c>
      <c r="G833" s="7">
        <f>IFERROR(IF(OR(PRECIOS!G833="",PRECIOS!G832=""),"",PRECIOS!G833/PRECIOS!G832-1),"")</f>
        <v>-0.001506528289</v>
      </c>
      <c r="H833" s="7">
        <f>IFERROR(IF(OR(PRECIOS!H833="",PRECIOS!H832=""),"",PRECIOS!H833/PRECIOS!H832-1),"")</f>
        <v>0.001542941632</v>
      </c>
      <c r="I833" s="7">
        <f>IFERROR(IF(OR(PRECIOS!I833="",PRECIOS!I832=""),"",PRECIOS!I833/PRECIOS!I832-1),"")</f>
        <v>-0.005369753093</v>
      </c>
    </row>
    <row r="834" ht="15.75" customHeight="1">
      <c r="A834" s="4">
        <f>IF(PRECIOS!A834="","",PRECIOS!A834)</f>
        <v>45621</v>
      </c>
      <c r="B834" s="7">
        <f>IFERROR(IF(OR(PRECIOS!B834="",PRECIOS!B833=""),"",PRECIOS!B834/PRECIOS!B833-1),"")</f>
        <v>-0.01494375564</v>
      </c>
      <c r="C834" s="7">
        <f>IFERROR(IF(OR(PRECIOS!C834="",PRECIOS!C833=""),"",PRECIOS!C834/PRECIOS!C833-1),"")</f>
        <v>0.009360730594</v>
      </c>
      <c r="D834" s="7">
        <f>IFERROR(IF(OR(PRECIOS!D834="",PRECIOS!D833=""),"",PRECIOS!D834/PRECIOS!D833-1),"")</f>
        <v>-0.04804841897</v>
      </c>
      <c r="E834" s="7">
        <f>IFERROR(IF(OR(PRECIOS!E834="",PRECIOS!E833=""),"",PRECIOS!E834/PRECIOS!E833-1),"")</f>
        <v>-0.001934235977</v>
      </c>
      <c r="F834" s="7">
        <f>IFERROR(IF(OR(PRECIOS!F834="",PRECIOS!F833=""),"",PRECIOS!F834/PRECIOS!F833-1),"")</f>
        <v>-0.01923557332</v>
      </c>
      <c r="G834" s="7">
        <f>IFERROR(IF(OR(PRECIOS!G834="",PRECIOS!G833=""),"",PRECIOS!G834/PRECIOS!G833-1),"")</f>
        <v>-0.02447611065</v>
      </c>
      <c r="H834" s="7">
        <f>IFERROR(IF(OR(PRECIOS!H834="",PRECIOS!H833=""),"",PRECIOS!H834/PRECIOS!H833-1),"")</f>
        <v>-0.01973808259</v>
      </c>
      <c r="I834" s="7">
        <f>IFERROR(IF(OR(PRECIOS!I834="",PRECIOS!I833=""),"",PRECIOS!I834/PRECIOS!I833-1),"")</f>
        <v>0.001841175092</v>
      </c>
    </row>
    <row r="835" ht="15.75" customHeight="1">
      <c r="A835" s="4">
        <f>IF(PRECIOS!A835="","",PRECIOS!A835)</f>
        <v>45622</v>
      </c>
      <c r="B835" s="7">
        <f>IFERROR(IF(OR(PRECIOS!B835="",PRECIOS!B834=""),"",PRECIOS!B835/PRECIOS!B834-1),"")</f>
        <v>-0.01667083438</v>
      </c>
      <c r="C835" s="7">
        <f>IFERROR(IF(OR(PRECIOS!C835="",PRECIOS!C834=""),"",PRECIOS!C835/PRECIOS!C834-1),"")</f>
        <v>0.01029178919</v>
      </c>
      <c r="D835" s="7">
        <f>IFERROR(IF(OR(PRECIOS!D835="",PRECIOS!D834=""),"",PRECIOS!D835/PRECIOS!D834-1),"")</f>
        <v>0.05527442585</v>
      </c>
      <c r="E835" s="7">
        <f>IFERROR(IF(OR(PRECIOS!E835="",PRECIOS!E834=""),"",PRECIOS!E835/PRECIOS!E834-1),"")</f>
        <v>0.001619411702</v>
      </c>
      <c r="F835" s="7">
        <f>IFERROR(IF(OR(PRECIOS!F835="",PRECIOS!F834=""),"",PRECIOS!F835/PRECIOS!F834-1),"")</f>
        <v>0.01961283749</v>
      </c>
      <c r="G835" s="7">
        <f>IFERROR(IF(OR(PRECIOS!G835="",PRECIOS!G834=""),"",PRECIOS!G835/PRECIOS!G834-1),"")</f>
        <v>0.003093315003</v>
      </c>
      <c r="H835" s="7">
        <f>IFERROR(IF(OR(PRECIOS!H835="",PRECIOS!H834=""),"",PRECIOS!H835/PRECIOS!H834-1),"")</f>
        <v>-0.001361748634</v>
      </c>
      <c r="I835" s="7">
        <f>IFERROR(IF(OR(PRECIOS!I835="",PRECIOS!I834=""),"",PRECIOS!I835/PRECIOS!I834-1),"")</f>
        <v>0.01593006733</v>
      </c>
    </row>
    <row r="836" ht="15.75" customHeight="1">
      <c r="A836" s="4">
        <f>IF(PRECIOS!A836="","",PRECIOS!A836)</f>
        <v>45623</v>
      </c>
      <c r="B836" s="7">
        <f>IFERROR(IF(OR(PRECIOS!B836="",PRECIOS!B835=""),"",PRECIOS!B836/PRECIOS!B835-1),"")</f>
        <v>-0.002627786725</v>
      </c>
      <c r="C836" s="7">
        <f>IFERROR(IF(OR(PRECIOS!C836="",PRECIOS!C835=""),"",PRECIOS!C836/PRECIOS!C835-1),"")</f>
        <v>0.004589723497</v>
      </c>
      <c r="D836" s="7">
        <f>IFERROR(IF(OR(PRECIOS!D836="",PRECIOS!D835=""),"",PRECIOS!D836/PRECIOS!D835-1),"")</f>
        <v>-0.05004303455</v>
      </c>
      <c r="E836" s="7">
        <f>IFERROR(IF(OR(PRECIOS!E836="",PRECIOS!E835=""),"",PRECIOS!E836/PRECIOS!E835-1),"")</f>
        <v>-0.01407405444</v>
      </c>
      <c r="F836" s="7">
        <f>IFERROR(IF(OR(PRECIOS!F836="",PRECIOS!F835=""),"",PRECIOS!F836/PRECIOS!F835-1),"")</f>
        <v>-0.007994004497</v>
      </c>
      <c r="G836" s="7">
        <f>IFERROR(IF(OR(PRECIOS!G836="",PRECIOS!G835=""),"",PRECIOS!G836/PRECIOS!G835-1),"")</f>
        <v>-0.003940380332</v>
      </c>
      <c r="H836" s="7">
        <f>IFERROR(IF(OR(PRECIOS!H836="",PRECIOS!H835=""),"",PRECIOS!H836/PRECIOS!H835-1),"")</f>
        <v>-0.001050610996</v>
      </c>
      <c r="I836" s="7">
        <f>IFERROR(IF(OR(PRECIOS!I836="",PRECIOS!I835=""),"",PRECIOS!I836/PRECIOS!I835-1),"")</f>
        <v>0</v>
      </c>
    </row>
    <row r="837" ht="15.75" customHeight="1">
      <c r="A837" s="4">
        <f>IF(PRECIOS!A837="","",PRECIOS!A837)</f>
        <v>45625</v>
      </c>
      <c r="B837" s="7">
        <f>IFERROR(IF(OR(PRECIOS!B837="",PRECIOS!B836=""),"",PRECIOS!B837/PRECIOS!B836-1),"")</f>
        <v>0.002549719531</v>
      </c>
      <c r="C837" s="7">
        <f>IFERROR(IF(OR(PRECIOS!C837="",PRECIOS!C836=""),"",PRECIOS!C837/PRECIOS!C836-1),"")</f>
        <v>-0.006797414754</v>
      </c>
      <c r="D837" s="7">
        <f>IFERROR(IF(OR(PRECIOS!D837="",PRECIOS!D836=""),"",PRECIOS!D837/PRECIOS!D836-1),"")</f>
        <v>0.0344292001</v>
      </c>
      <c r="E837" s="7">
        <f>IFERROR(IF(OR(PRECIOS!E837="",PRECIOS!E836=""),"",PRECIOS!E837/PRECIOS!E836-1),"")</f>
        <v>0.009247809022</v>
      </c>
      <c r="F837" s="7">
        <f>IFERROR(IF(OR(PRECIOS!F837="",PRECIOS!F836=""),"",PRECIOS!F837/PRECIOS!F836-1),"")</f>
        <v>0.01485771846</v>
      </c>
      <c r="G837" s="7">
        <f>IFERROR(IF(OR(PRECIOS!G837="",PRECIOS!G836=""),"",PRECIOS!G837/PRECIOS!G836-1),"")</f>
        <v>0.006535947712</v>
      </c>
      <c r="H837" s="7">
        <f>IFERROR(IF(OR(PRECIOS!H837="",PRECIOS!H836=""),"",PRECIOS!H837/PRECIOS!H836-1),"")</f>
        <v>0.004312035355</v>
      </c>
      <c r="I837" s="7">
        <f>IFERROR(IF(OR(PRECIOS!I837="",PRECIOS!I836=""),"",PRECIOS!I837/PRECIOS!I836-1),"")</f>
        <v>0.0003627956785</v>
      </c>
    </row>
    <row r="838" ht="15.75" customHeight="1">
      <c r="A838" s="4">
        <f>IF(PRECIOS!A838="","",PRECIOS!A838)</f>
        <v>45628</v>
      </c>
      <c r="B838" s="7">
        <f>IFERROR(IF(OR(PRECIOS!B838="",PRECIOS!B837=""),"",PRECIOS!B838/PRECIOS!B837-1),"")</f>
        <v>-0.0009325194981</v>
      </c>
      <c r="C838" s="7">
        <f>IFERROR(IF(OR(PRECIOS!C838="",PRECIOS!C837=""),"",PRECIOS!C838/PRECIOS!C837-1),"")</f>
        <v>-0.01525861102</v>
      </c>
      <c r="D838" s="7">
        <f>IFERROR(IF(OR(PRECIOS!D838="",PRECIOS!D837=""),"",PRECIOS!D838/PRECIOS!D837-1),"")</f>
        <v>-0.03584834835</v>
      </c>
      <c r="E838" s="7">
        <f>IFERROR(IF(OR(PRECIOS!E838="",PRECIOS!E837=""),"",PRECIOS!E838/PRECIOS!E837-1),"")</f>
        <v>-0.008523786692</v>
      </c>
      <c r="F838" s="7">
        <f>IFERROR(IF(OR(PRECIOS!F838="",PRECIOS!F837=""),"",PRECIOS!F838/PRECIOS!F837-1),"")</f>
        <v>-0.001985111663</v>
      </c>
      <c r="G838" s="7">
        <f>IFERROR(IF(OR(PRECIOS!G838="",PRECIOS!G837=""),"",PRECIOS!G838/PRECIOS!G837-1),"")</f>
        <v>-0.03537252221</v>
      </c>
      <c r="H838" s="7">
        <f>IFERROR(IF(OR(PRECIOS!H838="",PRECIOS!H837=""),"",PRECIOS!H838/PRECIOS!H837-1),"")</f>
        <v>-0.01057454212</v>
      </c>
      <c r="I838" s="7">
        <f>IFERROR(IF(OR(PRECIOS!I838="",PRECIOS!I837=""),"",PRECIOS!I838/PRECIOS!I837-1),"")</f>
        <v>-0.02146221165</v>
      </c>
    </row>
    <row r="839" ht="15.75" customHeight="1">
      <c r="A839" s="4">
        <f>IF(PRECIOS!A839="","",PRECIOS!A839)</f>
        <v>45629</v>
      </c>
      <c r="B839" s="7">
        <f>IFERROR(IF(OR(PRECIOS!B839="",PRECIOS!B838=""),"",PRECIOS!B839/PRECIOS!B838-1),"")</f>
        <v>-0.001527365295</v>
      </c>
      <c r="C839" s="7">
        <f>IFERROR(IF(OR(PRECIOS!C839="",PRECIOS!C838=""),"",PRECIOS!C839/PRECIOS!C838-1),"")</f>
        <v>-0.01720405606</v>
      </c>
      <c r="D839" s="7">
        <f>IFERROR(IF(OR(PRECIOS!D839="",PRECIOS!D838=""),"",PRECIOS!D839/PRECIOS!D838-1),"")</f>
        <v>0.0003244435793</v>
      </c>
      <c r="E839" s="7">
        <f>IFERROR(IF(OR(PRECIOS!E839="",PRECIOS!E838=""),"",PRECIOS!E839/PRECIOS!E838-1),"")</f>
        <v>0.004110472301</v>
      </c>
      <c r="F839" s="7">
        <f>IFERROR(IF(OR(PRECIOS!F839="",PRECIOS!F838=""),"",PRECIOS!F839/PRECIOS!F838-1),"")</f>
        <v>-0.001740427648</v>
      </c>
      <c r="G839" s="7">
        <f>IFERROR(IF(OR(PRECIOS!G839="",PRECIOS!G838=""),"",PRECIOS!G839/PRECIOS!G838-1),"")</f>
        <v>0.002657218778</v>
      </c>
      <c r="H839" s="7">
        <f>IFERROR(IF(OR(PRECIOS!H839="",PRECIOS!H838=""),"",PRECIOS!H839/PRECIOS!H838-1),"")</f>
        <v>-0.0001080442232</v>
      </c>
      <c r="I839" s="7">
        <f>IFERROR(IF(OR(PRECIOS!I839="",PRECIOS!I838=""),"",PRECIOS!I839/PRECIOS!I838-1),"")</f>
        <v>-0.008629018654</v>
      </c>
    </row>
    <row r="840" ht="15.75" customHeight="1">
      <c r="A840" s="4">
        <f>IF(PRECIOS!A840="","",PRECIOS!A840)</f>
        <v>45630</v>
      </c>
      <c r="B840" s="7">
        <f>IFERROR(IF(OR(PRECIOS!B840="",PRECIOS!B839=""),"",PRECIOS!B840/PRECIOS!B839-1),"")</f>
        <v>-0.02880938217</v>
      </c>
      <c r="C840" s="7">
        <f>IFERROR(IF(OR(PRECIOS!C840="",PRECIOS!C839=""),"",PRECIOS!C840/PRECIOS!C839-1),"")</f>
        <v>-0.004753072108</v>
      </c>
      <c r="D840" s="7">
        <f>IFERROR(IF(OR(PRECIOS!D840="",PRECIOS!D839=""),"",PRECIOS!D840/PRECIOS!D839-1),"")</f>
        <v>0.04638038402</v>
      </c>
      <c r="E840" s="7">
        <f>IFERROR(IF(OR(PRECIOS!E840="",PRECIOS!E839=""),"",PRECIOS!E840/PRECIOS!E839-1),"")</f>
        <v>0.01008695652</v>
      </c>
      <c r="F840" s="7">
        <f>IFERROR(IF(OR(PRECIOS!F840="",PRECIOS!F839=""),"",PRECIOS!F840/PRECIOS!F839-1),"")</f>
        <v>-0.04408468244</v>
      </c>
      <c r="G840" s="7">
        <f>IFERROR(IF(OR(PRECIOS!G840="",PRECIOS!G839=""),"",PRECIOS!G840/PRECIOS!G839-1),"")</f>
        <v>-0.005300353357</v>
      </c>
      <c r="H840" s="7">
        <f>IFERROR(IF(OR(PRECIOS!H840="",PRECIOS!H839=""),"",PRECIOS!H840/PRECIOS!H839-1),"")</f>
        <v>-0.02412292792</v>
      </c>
      <c r="I840" s="7">
        <f>IFERROR(IF(OR(PRECIOS!I840="",PRECIOS!I839=""),"",PRECIOS!I840/PRECIOS!I839-1),"")</f>
        <v>-0.0001211771197</v>
      </c>
    </row>
    <row r="841" ht="15.75" customHeight="1">
      <c r="A841" s="4">
        <f>IF(PRECIOS!A841="","",PRECIOS!A841)</f>
        <v>45631</v>
      </c>
      <c r="B841" s="7">
        <f>IFERROR(IF(OR(PRECIOS!B841="",PRECIOS!B840=""),"",PRECIOS!B841/PRECIOS!B840-1),"")</f>
        <v>0.004375218761</v>
      </c>
      <c r="C841" s="7">
        <f>IFERROR(IF(OR(PRECIOS!C841="",PRECIOS!C840=""),"",PRECIOS!C841/PRECIOS!C840-1),"")</f>
        <v>0.00396039604</v>
      </c>
      <c r="D841" s="7">
        <f>IFERROR(IF(OR(PRECIOS!D841="",PRECIOS!D840=""),"",PRECIOS!D841/PRECIOS!D840-1),"")</f>
        <v>-0.002665674788</v>
      </c>
      <c r="E841" s="7">
        <f>IFERROR(IF(OR(PRECIOS!E841="",PRECIOS!E840=""),"",PRECIOS!E841/PRECIOS!E840-1),"")</f>
        <v>-0.01713816487</v>
      </c>
      <c r="F841" s="7">
        <f>IFERROR(IF(OR(PRECIOS!F841="",PRECIOS!F840=""),"",PRECIOS!F841/PRECIOS!F840-1),"")</f>
        <v>0.002084418968</v>
      </c>
      <c r="G841" s="7">
        <f>IFERROR(IF(OR(PRECIOS!G841="",PRECIOS!G840=""),"",PRECIOS!G841/PRECIOS!G840-1),"")</f>
        <v>0.01527531083</v>
      </c>
      <c r="H841" s="7">
        <f>IFERROR(IF(OR(PRECIOS!H841="",PRECIOS!H840=""),"",PRECIOS!H841/PRECIOS!H840-1),"")</f>
        <v>0.003904820012</v>
      </c>
      <c r="I841" s="7">
        <f>IFERROR(IF(OR(PRECIOS!I841="",PRECIOS!I840=""),"",PRECIOS!I841/PRECIOS!I840-1),"")</f>
        <v>0.003107151606</v>
      </c>
    </row>
    <row r="842" ht="15.75" customHeight="1">
      <c r="A842" s="4">
        <f>IF(PRECIOS!A842="","",PRECIOS!A842)</f>
        <v>45632</v>
      </c>
      <c r="B842" s="7">
        <f>IFERROR(IF(OR(PRECIOS!B842="",PRECIOS!B841=""),"",PRECIOS!B842/PRECIOS!B841-1),"")</f>
        <v>-0.01054190626</v>
      </c>
      <c r="C842" s="7">
        <f>IFERROR(IF(OR(PRECIOS!C842="",PRECIOS!C841=""),"",PRECIOS!C842/PRECIOS!C841-1),"")</f>
        <v>-0.01601113818</v>
      </c>
      <c r="D842" s="7">
        <f>IFERROR(IF(OR(PRECIOS!D842="",PRECIOS!D841=""),"",PRECIOS!D842/PRECIOS!D841-1),"")</f>
        <v>-0.005594231726</v>
      </c>
      <c r="E842" s="7">
        <f>IFERROR(IF(OR(PRECIOS!E842="",PRECIOS!E841=""),"",PRECIOS!E842/PRECIOS!E841-1),"")</f>
        <v>0.0004581592777</v>
      </c>
      <c r="F842" s="7">
        <f>IFERROR(IF(OR(PRECIOS!F842="",PRECIOS!F841=""),"",PRECIOS!F842/PRECIOS!F841-1),"")</f>
        <v>0.01066042642</v>
      </c>
      <c r="G842" s="7">
        <f>IFERROR(IF(OR(PRECIOS!G842="",PRECIOS!G841=""),"",PRECIOS!G842/PRECIOS!G841-1),"")</f>
        <v>-0.005423372988</v>
      </c>
      <c r="H842" s="7">
        <f>IFERROR(IF(OR(PRECIOS!H842="",PRECIOS!H841=""),"",PRECIOS!H842/PRECIOS!H841-1),"")</f>
        <v>-0.01695861414</v>
      </c>
      <c r="I842" s="7">
        <f>IFERROR(IF(OR(PRECIOS!I842="",PRECIOS!I841=""),"",PRECIOS!I842/PRECIOS!I841-1),"")</f>
        <v>-0.01239267904</v>
      </c>
    </row>
    <row r="843" ht="15.75" customHeight="1">
      <c r="A843" s="4">
        <f>IF(PRECIOS!A843="","",PRECIOS!A843)</f>
        <v>45635</v>
      </c>
      <c r="B843" s="7">
        <f>IFERROR(IF(OR(PRECIOS!B843="",PRECIOS!B842=""),"",PRECIOS!B843/PRECIOS!B842-1),"")</f>
        <v>-0.005899445276</v>
      </c>
      <c r="C843" s="7">
        <f>IFERROR(IF(OR(PRECIOS!C843="",PRECIOS!C842=""),"",PRECIOS!C843/PRECIOS!C842-1),"")</f>
        <v>-0.005895531187</v>
      </c>
      <c r="D843" s="7">
        <f>IFERROR(IF(OR(PRECIOS!D843="",PRECIOS!D842=""),"",PRECIOS!D843/PRECIOS!D842-1),"")</f>
        <v>-0.07294661833</v>
      </c>
      <c r="E843" s="7">
        <f>IFERROR(IF(OR(PRECIOS!E843="",PRECIOS!E842=""),"",PRECIOS!E843/PRECIOS!E842-1),"")</f>
        <v>-0.01928775389</v>
      </c>
      <c r="F843" s="7">
        <f>IFERROR(IF(OR(PRECIOS!F843="",PRECIOS!F842=""),"",PRECIOS!F843/PRECIOS!F842-1),"")</f>
        <v>0.04219192179</v>
      </c>
      <c r="G843" s="7">
        <f>IFERROR(IF(OR(PRECIOS!G843="",PRECIOS!G842=""),"",PRECIOS!G843/PRECIOS!G842-1),"")</f>
        <v>-0.03834652595</v>
      </c>
      <c r="H843" s="7">
        <f>IFERROR(IF(OR(PRECIOS!H843="",PRECIOS!H842=""),"",PRECIOS!H843/PRECIOS!H842-1),"")</f>
        <v>-0.001646348724</v>
      </c>
      <c r="I843" s="7">
        <f>IFERROR(IF(OR(PRECIOS!I843="",PRECIOS!I842=""),"",PRECIOS!I843/PRECIOS!I842-1),"")</f>
        <v>-0.01254818466</v>
      </c>
    </row>
    <row r="844" ht="15.75" customHeight="1">
      <c r="A844" s="4">
        <f>IF(PRECIOS!A844="","",PRECIOS!A844)</f>
        <v>45636</v>
      </c>
      <c r="B844" s="7">
        <f>IFERROR(IF(OR(PRECIOS!B844="",PRECIOS!B843=""),"",PRECIOS!B844/PRECIOS!B843-1),"")</f>
        <v>-0.002037201063</v>
      </c>
      <c r="C844" s="7">
        <f>IFERROR(IF(OR(PRECIOS!C844="",PRECIOS!C843=""),"",PRECIOS!C844/PRECIOS!C843-1),"")</f>
        <v>0.0009488791365</v>
      </c>
      <c r="D844" s="7">
        <f>IFERROR(IF(OR(PRECIOS!D844="",PRECIOS!D843=""),"",PRECIOS!D844/PRECIOS!D843-1),"")</f>
        <v>-0.04578248264</v>
      </c>
      <c r="E844" s="7">
        <f>IFERROR(IF(OR(PRECIOS!E844="",PRECIOS!E843=""),"",PRECIOS!E844/PRECIOS!E843-1),"")</f>
        <v>-0.01529967588</v>
      </c>
      <c r="F844" s="7">
        <f>IFERROR(IF(OR(PRECIOS!F844="",PRECIOS!F843=""),"",PRECIOS!F844/PRECIOS!F843-1),"")</f>
        <v>0.003455936806</v>
      </c>
      <c r="G844" s="7">
        <f>IFERROR(IF(OR(PRECIOS!G844="",PRECIOS!G843=""),"",PRECIOS!G844/PRECIOS!G843-1),"")</f>
        <v>-0.00219498811</v>
      </c>
      <c r="H844" s="7">
        <f>IFERROR(IF(OR(PRECIOS!H844="",PRECIOS!H843=""),"",PRECIOS!H844/PRECIOS!H843-1),"")</f>
        <v>-0.006823316246</v>
      </c>
      <c r="I844" s="7">
        <f>IFERROR(IF(OR(PRECIOS!I844="",PRECIOS!I843=""),"",PRECIOS!I844/PRECIOS!I843-1),"")</f>
        <v>-0.007248707094</v>
      </c>
    </row>
    <row r="845" ht="15.75" customHeight="1">
      <c r="A845" s="4">
        <f>IF(PRECIOS!A845="","",PRECIOS!A845)</f>
        <v>45637</v>
      </c>
      <c r="B845" s="7">
        <f>IFERROR(IF(OR(PRECIOS!B845="",PRECIOS!B844=""),"",PRECIOS!B845/PRECIOS!B844-1),"")</f>
        <v>-0.006656607793</v>
      </c>
      <c r="C845" s="7">
        <f>IFERROR(IF(OR(PRECIOS!C845="",PRECIOS!C844=""),"",PRECIOS!C845/PRECIOS!C844-1),"")</f>
        <v>-0.01350870956</v>
      </c>
      <c r="D845" s="7">
        <f>IFERROR(IF(OR(PRECIOS!D845="",PRECIOS!D844=""),"",PRECIOS!D845/PRECIOS!D844-1),"")</f>
        <v>0.031656303</v>
      </c>
      <c r="E845" s="7">
        <f>IFERROR(IF(OR(PRECIOS!E845="",PRECIOS!E844=""),"",PRECIOS!E845/PRECIOS!E844-1),"")</f>
        <v>0.009540015063</v>
      </c>
      <c r="F845" s="7">
        <f>IFERROR(IF(OR(PRECIOS!F845="",PRECIOS!F844=""),"",PRECIOS!F845/PRECIOS!F844-1),"")</f>
        <v>0.06076260763</v>
      </c>
      <c r="G845" s="7">
        <f>IFERROR(IF(OR(PRECIOS!G845="",PRECIOS!G844=""),"",PRECIOS!G845/PRECIOS!G844-1),"")</f>
        <v>0.01539871677</v>
      </c>
      <c r="H845" s="7">
        <f>IFERROR(IF(OR(PRECIOS!H845="",PRECIOS!H844=""),"",PRECIOS!H845/PRECIOS!H844-1),"")</f>
        <v>0.001662702353</v>
      </c>
      <c r="I845" s="7">
        <f>IFERROR(IF(OR(PRECIOS!I845="",PRECIOS!I844=""),"",PRECIOS!I845/PRECIOS!I844-1),"")</f>
        <v>-0.006268785114</v>
      </c>
    </row>
    <row r="846" ht="15.75" customHeight="1">
      <c r="A846" s="4">
        <f>IF(PRECIOS!A846="","",PRECIOS!A846)</f>
        <v>45638</v>
      </c>
      <c r="B846" s="7">
        <f>IFERROR(IF(OR(PRECIOS!B846="",PRECIOS!B845=""),"",PRECIOS!B846/PRECIOS!B845-1),"")</f>
        <v>-0.0008934953538</v>
      </c>
      <c r="C846" s="7">
        <f>IFERROR(IF(OR(PRECIOS!C846="",PRECIOS!C845=""),"",PRECIOS!C846/PRECIOS!C845-1),"")</f>
        <v>0.001441441441</v>
      </c>
      <c r="D846" s="7">
        <f>IFERROR(IF(OR(PRECIOS!D846="",PRECIOS!D845=""),"",PRECIOS!D846/PRECIOS!D845-1),"")</f>
        <v>-0.006301369863</v>
      </c>
      <c r="E846" s="7">
        <f>IFERROR(IF(OR(PRECIOS!E846="",PRECIOS!E845=""),"",PRECIOS!E846/PRECIOS!E845-1),"")</f>
        <v>-0.00903539554</v>
      </c>
      <c r="F846" s="7">
        <f>IFERROR(IF(OR(PRECIOS!F846="",PRECIOS!F845=""),"",PRECIOS!F846/PRECIOS!F845-1),"")</f>
        <v>0.01948051948</v>
      </c>
      <c r="G846" s="7">
        <f>IFERROR(IF(OR(PRECIOS!G846="",PRECIOS!G845=""),"",PRECIOS!G846/PRECIOS!G845-1),"")</f>
        <v>-0.003610760065</v>
      </c>
      <c r="H846" s="7">
        <f>IFERROR(IF(OR(PRECIOS!H846="",PRECIOS!H845=""),"",PRECIOS!H846/PRECIOS!H845-1),"")</f>
        <v>-0.008078386167</v>
      </c>
      <c r="I846" s="7">
        <f>IFERROR(IF(OR(PRECIOS!I846="",PRECIOS!I845=""),"",PRECIOS!I846/PRECIOS!I845-1),"")</f>
        <v>-0.0005156746387</v>
      </c>
    </row>
    <row r="847" ht="15.75" customHeight="1">
      <c r="A847" s="4">
        <f>IF(PRECIOS!A847="","",PRECIOS!A847)</f>
        <v>45639</v>
      </c>
      <c r="B847" s="7">
        <f>IFERROR(IF(OR(PRECIOS!B847="",PRECIOS!B846=""),"",PRECIOS!B847/PRECIOS!B846-1),"")</f>
        <v>-0.008764085137</v>
      </c>
      <c r="C847" s="7">
        <f>IFERROR(IF(OR(PRECIOS!C847="",PRECIOS!C846=""),"",PRECIOS!C847/PRECIOS!C846-1),"")</f>
        <v>-0.002039102795</v>
      </c>
      <c r="D847" s="7">
        <f>IFERROR(IF(OR(PRECIOS!D847="",PRECIOS!D846=""),"",PRECIOS!D847/PRECIOS!D846-1),"")</f>
        <v>-0.001309622277</v>
      </c>
      <c r="E847" s="7">
        <f>IFERROR(IF(OR(PRECIOS!E847="",PRECIOS!E846=""),"",PRECIOS!E847/PRECIOS!E846-1),"")</f>
        <v>-0.007333258978</v>
      </c>
      <c r="F847" s="7">
        <f>IFERROR(IF(OR(PRECIOS!F847="",PRECIOS!F846=""),"",PRECIOS!F847/PRECIOS!F846-1),"")</f>
        <v>0.01364877161</v>
      </c>
      <c r="G847" s="7">
        <f>IFERROR(IF(OR(PRECIOS!G847="",PRECIOS!G846=""),"",PRECIOS!G847/PRECIOS!G846-1),"")</f>
        <v>-0.01377061062</v>
      </c>
      <c r="H847" s="7">
        <f>IFERROR(IF(OR(PRECIOS!H847="",PRECIOS!H846=""),"",PRECIOS!H847/PRECIOS!H846-1),"")</f>
        <v>-0.005013410932</v>
      </c>
      <c r="I847" s="7">
        <f>IFERROR(IF(OR(PRECIOS!I847="",PRECIOS!I846=""),"",PRECIOS!I847/PRECIOS!I846-1),"")</f>
        <v>0.0006469308212</v>
      </c>
    </row>
    <row r="848" ht="15.75" customHeight="1">
      <c r="A848" s="4">
        <f>IF(PRECIOS!A848="","",PRECIOS!A848)</f>
        <v>45642</v>
      </c>
      <c r="B848" s="7">
        <f>IFERROR(IF(OR(PRECIOS!B848="",PRECIOS!B847=""),"",PRECIOS!B848/PRECIOS!B847-1),"")</f>
        <v>-0.0213821725</v>
      </c>
      <c r="C848" s="7">
        <f>IFERROR(IF(OR(PRECIOS!C848="",PRECIOS!C847=""),"",PRECIOS!C848/PRECIOS!C847-1),"")</f>
        <v>-0.01586538462</v>
      </c>
      <c r="D848" s="7">
        <f>IFERROR(IF(OR(PRECIOS!D848="",PRECIOS!D847=""),"",PRECIOS!D848/PRECIOS!D847-1),"")</f>
        <v>0.003036786528</v>
      </c>
      <c r="E848" s="7">
        <f>IFERROR(IF(OR(PRECIOS!E848="",PRECIOS!E847=""),"",PRECIOS!E848/PRECIOS!E847-1),"")</f>
        <v>-0.002415662481</v>
      </c>
      <c r="F848" s="7">
        <f>IFERROR(IF(OR(PRECIOS!F848="",PRECIOS!F847=""),"",PRECIOS!F848/PRECIOS!F847-1),"")</f>
        <v>0.0004488330341</v>
      </c>
      <c r="G848" s="7">
        <f>IFERROR(IF(OR(PRECIOS!G848="",PRECIOS!G847=""),"",PRECIOS!G848/PRECIOS!G847-1),"")</f>
        <v>-0.008451221753</v>
      </c>
      <c r="H848" s="7">
        <f>IFERROR(IF(OR(PRECIOS!H848="",PRECIOS!H847=""),"",PRECIOS!H848/PRECIOS!H847-1),"")</f>
        <v>-0.02196973059</v>
      </c>
      <c r="I848" s="7">
        <f>IFERROR(IF(OR(PRECIOS!I848="",PRECIOS!I847=""),"",PRECIOS!I848/PRECIOS!I847-1),"")</f>
        <v>-0.007987903269</v>
      </c>
    </row>
    <row r="849" ht="15.75" customHeight="1">
      <c r="A849" s="4">
        <f>IF(PRECIOS!A849="","",PRECIOS!A849)</f>
        <v>45643</v>
      </c>
      <c r="B849" s="7">
        <f>IFERROR(IF(OR(PRECIOS!B849="",PRECIOS!B848=""),"",PRECIOS!B849/PRECIOS!B848-1),"")</f>
        <v>-0.004240803909</v>
      </c>
      <c r="C849" s="7">
        <f>IFERROR(IF(OR(PRECIOS!C849="",PRECIOS!C848=""),"",PRECIOS!C849/PRECIOS!C848-1),"")</f>
        <v>0.01709819248</v>
      </c>
      <c r="D849" s="7">
        <f>IFERROR(IF(OR(PRECIOS!D849="",PRECIOS!D848=""),"",PRECIOS!D849/PRECIOS!D848-1),"")</f>
        <v>-0.03825775821</v>
      </c>
      <c r="E849" s="7">
        <f>IFERROR(IF(OR(PRECIOS!E849="",PRECIOS!E848=""),"",PRECIOS!E849/PRECIOS!E848-1),"")</f>
        <v>-0.02272279319</v>
      </c>
      <c r="F849" s="7">
        <f>IFERROR(IF(OR(PRECIOS!F849="",PRECIOS!F848=""),"",PRECIOS!F849/PRECIOS!F848-1),"")</f>
        <v>0.006729475101</v>
      </c>
      <c r="G849" s="7">
        <f>IFERROR(IF(OR(PRECIOS!G849="",PRECIOS!G848=""),"",PRECIOS!G849/PRECIOS!G848-1),"")</f>
        <v>-0.005188067445</v>
      </c>
      <c r="H849" s="7">
        <f>IFERROR(IF(OR(PRECIOS!H849="",PRECIOS!H848=""),"",PRECIOS!H849/PRECIOS!H848-1),"")</f>
        <v>-0.007449532344</v>
      </c>
      <c r="I849" s="7">
        <f>IFERROR(IF(OR(PRECIOS!I849="",PRECIOS!I848=""),"",PRECIOS!I849/PRECIOS!I848-1),"")</f>
        <v>-0.004152685242</v>
      </c>
    </row>
    <row r="850" ht="15.75" customHeight="1">
      <c r="A850" s="4">
        <f>IF(PRECIOS!A850="","",PRECIOS!A850)</f>
        <v>45644</v>
      </c>
      <c r="B850" s="7">
        <f>IFERROR(IF(OR(PRECIOS!B850="",PRECIOS!B849=""),"",PRECIOS!B850/PRECIOS!B849-1),"")</f>
        <v>-0.01472085918</v>
      </c>
      <c r="C850" s="7">
        <f>IFERROR(IF(OR(PRECIOS!C850="",PRECIOS!C849=""),"",PRECIOS!C850/PRECIOS!C849-1),"")</f>
        <v>-0.02137367915</v>
      </c>
      <c r="D850" s="7">
        <f>IFERROR(IF(OR(PRECIOS!D850="",PRECIOS!D849=""),"",PRECIOS!D850/PRECIOS!D849-1),"")</f>
        <v>-0.04922372469</v>
      </c>
      <c r="E850" s="7">
        <f>IFERROR(IF(OR(PRECIOS!E850="",PRECIOS!E849=""),"",PRECIOS!E850/PRECIOS!E849-1),"")</f>
        <v>-0.03445891437</v>
      </c>
      <c r="F850" s="7">
        <f>IFERROR(IF(OR(PRECIOS!F850="",PRECIOS!F849=""),"",PRECIOS!F850/PRECIOS!F849-1),"")</f>
        <v>-0.07107843137</v>
      </c>
      <c r="G850" s="7">
        <f>IFERROR(IF(OR(PRECIOS!G850="",PRECIOS!G849=""),"",PRECIOS!G850/PRECIOS!G849-1),"")</f>
        <v>-0.03129074316</v>
      </c>
      <c r="H850" s="7">
        <f>IFERROR(IF(OR(PRECIOS!H850="",PRECIOS!H849=""),"",PRECIOS!H850/PRECIOS!H849-1),"")</f>
        <v>-0.02955734963</v>
      </c>
      <c r="I850" s="7">
        <f>IFERROR(IF(OR(PRECIOS!I850="",PRECIOS!I849=""),"",PRECIOS!I850/PRECIOS!I849-1),"")</f>
        <v>-0.02360026394</v>
      </c>
    </row>
    <row r="851" ht="15.75" customHeight="1">
      <c r="A851" s="4">
        <f>IF(PRECIOS!A851="","",PRECIOS!A851)</f>
        <v>45645</v>
      </c>
      <c r="B851" s="7">
        <f>IFERROR(IF(OR(PRECIOS!B851="",PRECIOS!B850=""),"",PRECIOS!B851/PRECIOS!B850-1),"")</f>
        <v>-0.008551024244</v>
      </c>
      <c r="C851" s="7">
        <f>IFERROR(IF(OR(PRECIOS!C851="",PRECIOS!C850=""),"",PRECIOS!C851/PRECIOS!C850-1),"")</f>
        <v>0.003435582822</v>
      </c>
      <c r="D851" s="7">
        <f>IFERROR(IF(OR(PRECIOS!D851="",PRECIOS!D850=""),"",PRECIOS!D851/PRECIOS!D850-1),"")</f>
        <v>0.03243283919</v>
      </c>
      <c r="E851" s="7">
        <f>IFERROR(IF(OR(PRECIOS!E851="",PRECIOS!E850=""),"",PRECIOS!E851/PRECIOS!E850-1),"")</f>
        <v>0.001551682979</v>
      </c>
      <c r="F851" s="7">
        <f>IFERROR(IF(OR(PRECIOS!F851="",PRECIOS!F850=""),"",PRECIOS!F851/PRECIOS!F850-1),"")</f>
        <v>-0.006476373231</v>
      </c>
      <c r="G851" s="7">
        <f>IFERROR(IF(OR(PRECIOS!G851="",PRECIOS!G850=""),"",PRECIOS!G851/PRECIOS!G850-1),"")</f>
        <v>0.01076716016</v>
      </c>
      <c r="H851" s="7">
        <f>IFERROR(IF(OR(PRECIOS!H851="",PRECIOS!H850=""),"",PRECIOS!H851/PRECIOS!H850-1),"")</f>
        <v>-0.008686229487</v>
      </c>
      <c r="I851" s="7">
        <f>IFERROR(IF(OR(PRECIOS!I851="",PRECIOS!I850=""),"",PRECIOS!I851/PRECIOS!I850-1),"")</f>
        <v>0.00453944945</v>
      </c>
    </row>
    <row r="852" ht="15.75" customHeight="1">
      <c r="A852" s="4">
        <f>IF(PRECIOS!A852="","",PRECIOS!A852)</f>
        <v>45646</v>
      </c>
      <c r="B852" s="7">
        <f>IFERROR(IF(OR(PRECIOS!B852="",PRECIOS!B851=""),"",PRECIOS!B852/PRECIOS!B851-1),"")</f>
        <v>0.003411998863</v>
      </c>
      <c r="C852" s="7">
        <f>IFERROR(IF(OR(PRECIOS!C852="",PRECIOS!C851=""),"",PRECIOS!C852/PRECIOS!C851-1),"")</f>
        <v>0.01320616288</v>
      </c>
      <c r="D852" s="7">
        <f>IFERROR(IF(OR(PRECIOS!D852="",PRECIOS!D851=""),"",PRECIOS!D852/PRECIOS!D851-1),"")</f>
        <v>0.02004373178</v>
      </c>
      <c r="E852" s="7">
        <f>IFERROR(IF(OR(PRECIOS!E852="",PRECIOS!E851=""),"",PRECIOS!E852/PRECIOS!E851-1),"")</f>
        <v>0.007388869026</v>
      </c>
      <c r="F852" s="7">
        <f>IFERROR(IF(OR(PRECIOS!F852="",PRECIOS!F851=""),"",PRECIOS!F852/PRECIOS!F851-1),"")</f>
        <v>0.01448575567</v>
      </c>
      <c r="G852" s="7">
        <f>IFERROR(IF(OR(PRECIOS!G852="",PRECIOS!G851=""),"",PRECIOS!G852/PRECIOS!G851-1),"")</f>
        <v>0.01750047556</v>
      </c>
      <c r="H852" s="7">
        <f>IFERROR(IF(OR(PRECIOS!H852="",PRECIOS!H851=""),"",PRECIOS!H852/PRECIOS!H851-1),"")</f>
        <v>0.009840436841</v>
      </c>
      <c r="I852" s="7">
        <f>IFERROR(IF(OR(PRECIOS!I852="",PRECIOS!I851=""),"",PRECIOS!I852/PRECIOS!I851-1),"")</f>
        <v>0.01595275382</v>
      </c>
    </row>
    <row r="853" ht="15.75" customHeight="1">
      <c r="A853" s="4">
        <f>IF(PRECIOS!A853="","",PRECIOS!A853)</f>
        <v>45649</v>
      </c>
      <c r="B853" s="7">
        <f>IFERROR(IF(OR(PRECIOS!B853="",PRECIOS!B852=""),"",PRECIOS!B853/PRECIOS!B852-1),"")</f>
        <v>0.004061584963</v>
      </c>
      <c r="C853" s="7">
        <f>IFERROR(IF(OR(PRECIOS!C853="",PRECIOS!C852=""),"",PRECIOS!C853/PRECIOS!C852-1),"")</f>
        <v>0.002172338885</v>
      </c>
      <c r="D853" s="7">
        <f>IFERROR(IF(OR(PRECIOS!D853="",PRECIOS!D852=""),"",PRECIOS!D853/PRECIOS!D852-1),"")</f>
        <v>0.006002143623</v>
      </c>
      <c r="E853" s="7">
        <f>IFERROR(IF(OR(PRECIOS!E853="",PRECIOS!E852=""),"",PRECIOS!E853/PRECIOS!E852-1),"")</f>
        <v>-0.001212587247</v>
      </c>
      <c r="F853" s="7">
        <f>IFERROR(IF(OR(PRECIOS!F853="",PRECIOS!F852=""),"",PRECIOS!F853/PRECIOS!F852-1),"")</f>
        <v>0.009995240362</v>
      </c>
      <c r="G853" s="7">
        <f>IFERROR(IF(OR(PRECIOS!G853="",PRECIOS!G852=""),"",PRECIOS!G853/PRECIOS!G852-1),"")</f>
        <v>0.01046924659</v>
      </c>
      <c r="H853" s="7">
        <f>IFERROR(IF(OR(PRECIOS!H853="",PRECIOS!H852=""),"",PRECIOS!H853/PRECIOS!H852-1),"")</f>
        <v>0.005872984026</v>
      </c>
      <c r="I853" s="7">
        <f>IFERROR(IF(OR(PRECIOS!I853="",PRECIOS!I852=""),"",PRECIOS!I853/PRECIOS!I852-1),"")</f>
        <v>0.00340043747</v>
      </c>
    </row>
    <row r="854" ht="15.75" customHeight="1">
      <c r="A854" s="4">
        <f>IF(PRECIOS!A854="","",PRECIOS!A854)</f>
        <v>45650</v>
      </c>
      <c r="B854" s="7">
        <f>IFERROR(IF(OR(PRECIOS!B854="",PRECIOS!B853=""),"",PRECIOS!B854/PRECIOS!B853-1),"")</f>
        <v>0.0009407337723</v>
      </c>
      <c r="C854" s="7">
        <f>IFERROR(IF(OR(PRECIOS!C854="",PRECIOS!C853=""),"",PRECIOS!C854/PRECIOS!C853-1),"")</f>
        <v>0.001445086705</v>
      </c>
      <c r="D854" s="7">
        <f>IFERROR(IF(OR(PRECIOS!D854="",PRECIOS!D853=""),"",PRECIOS!D854/PRECIOS!D853-1),"")</f>
        <v>0.01825413737</v>
      </c>
      <c r="E854" s="7">
        <f>IFERROR(IF(OR(PRECIOS!E854="",PRECIOS!E853=""),"",PRECIOS!E854/PRECIOS!E853-1),"")</f>
        <v>0.01134109147</v>
      </c>
      <c r="F854" s="7">
        <f>IFERROR(IF(OR(PRECIOS!F854="",PRECIOS!F853=""),"",PRECIOS!F854/PRECIOS!F853-1),"")</f>
        <v>0.008246936852</v>
      </c>
      <c r="G854" s="7">
        <f>IFERROR(IF(OR(PRECIOS!G854="",PRECIOS!G853=""),"",PRECIOS!G854/PRECIOS!G853-1),"")</f>
        <v>0.01017576318</v>
      </c>
      <c r="H854" s="7">
        <f>IFERROR(IF(OR(PRECIOS!H854="",PRECIOS!H853=""),"",PRECIOS!H854/PRECIOS!H853-1),"")</f>
        <v>0.008461303573</v>
      </c>
      <c r="I854" s="7">
        <f>IFERROR(IF(OR(PRECIOS!I854="",PRECIOS!I853=""),"",PRECIOS!I854/PRECIOS!I853-1),"")</f>
        <v>0.005522874491</v>
      </c>
    </row>
    <row r="855" ht="15.75" customHeight="1">
      <c r="A855" s="4">
        <f>IF(PRECIOS!A855="","",PRECIOS!A855)</f>
        <v>45652</v>
      </c>
      <c r="B855" s="7">
        <f>IFERROR(IF(OR(PRECIOS!B855="",PRECIOS!B854=""),"",PRECIOS!B855/PRECIOS!B854-1),"")</f>
        <v>0.0008458646617</v>
      </c>
      <c r="C855" s="7">
        <f>IFERROR(IF(OR(PRECIOS!C855="",PRECIOS!C854=""),"",PRECIOS!C855/PRECIOS!C854-1),"")</f>
        <v>-0.003848003848</v>
      </c>
      <c r="D855" s="7">
        <f>IFERROR(IF(OR(PRECIOS!D855="",PRECIOS!D854=""),"",PRECIOS!D855/PRECIOS!D854-1),"")</f>
        <v>0.005231584821</v>
      </c>
      <c r="E855" s="7">
        <f>IFERROR(IF(OR(PRECIOS!E855="",PRECIOS!E854=""),"",PRECIOS!E855/PRECIOS!E854-1),"")</f>
        <v>-0.00404052234</v>
      </c>
      <c r="F855" s="7">
        <f>IFERROR(IF(OR(PRECIOS!F855="",PRECIOS!F854=""),"",PRECIOS!F855/PRECIOS!F854-1),"")</f>
        <v>0.006309885487</v>
      </c>
      <c r="G855" s="7">
        <f>IFERROR(IF(OR(PRECIOS!G855="",PRECIOS!G854=""),"",PRECIOS!G855/PRECIOS!G854-1),"")</f>
        <v>-0.01172161172</v>
      </c>
      <c r="H855" s="7">
        <f>IFERROR(IF(OR(PRECIOS!H855="",PRECIOS!H854=""),"",PRECIOS!H855/PRECIOS!H854-1),"")</f>
        <v>-0.0008302402813</v>
      </c>
      <c r="I855" s="7">
        <f>IFERROR(IF(OR(PRECIOS!I855="",PRECIOS!I854=""),"",PRECIOS!I855/PRECIOS!I854-1),"")</f>
        <v>-0.002353561409</v>
      </c>
    </row>
    <row r="856" ht="15.75" customHeight="1">
      <c r="A856" s="4">
        <f>IF(PRECIOS!A856="","",PRECIOS!A856)</f>
        <v>45653</v>
      </c>
      <c r="B856" s="7">
        <f>IFERROR(IF(OR(PRECIOS!B856="",PRECIOS!B855=""),"",PRECIOS!B856/PRECIOS!B855-1),"")</f>
        <v>-0.00009390553104</v>
      </c>
      <c r="C856" s="7">
        <f>IFERROR(IF(OR(PRECIOS!C856="",PRECIOS!C855=""),"",PRECIOS!C856/PRECIOS!C855-1),"")</f>
        <v>0.003621438918</v>
      </c>
      <c r="D856" s="7">
        <f>IFERROR(IF(OR(PRECIOS!D856="",PRECIOS!D855=""),"",PRECIOS!D856/PRECIOS!D855-1),"")</f>
        <v>-0.03074040663</v>
      </c>
      <c r="E856" s="7">
        <f>IFERROR(IF(OR(PRECIOS!E856="",PRECIOS!E855=""),"",PRECIOS!E856/PRECIOS!E855-1),"")</f>
        <v>-0.0162570555</v>
      </c>
      <c r="F856" s="7">
        <f>IFERROR(IF(OR(PRECIOS!F856="",PRECIOS!F855=""),"",PRECIOS!F856/PRECIOS!F855-1),"")</f>
        <v>-0.009753831863</v>
      </c>
      <c r="G856" s="7">
        <f>IFERROR(IF(OR(PRECIOS!G856="",PRECIOS!G855=""),"",PRECIOS!G856/PRECIOS!G855-1),"")</f>
        <v>-0.0003706449222</v>
      </c>
      <c r="H856" s="7">
        <f>IFERROR(IF(OR(PRECIOS!H856="",PRECIOS!H855=""),"",PRECIOS!H856/PRECIOS!H855-1),"")</f>
        <v>-0.0001173077863</v>
      </c>
      <c r="I856" s="7">
        <f>IFERROR(IF(OR(PRECIOS!I856="",PRECIOS!I855=""),"",PRECIOS!I856/PRECIOS!I855-1),"")</f>
        <v>-0.002884859073</v>
      </c>
    </row>
    <row r="857" ht="15.75" customHeight="1">
      <c r="A857" s="4">
        <f>IF(PRECIOS!A857="","",PRECIOS!A857)</f>
        <v>45656</v>
      </c>
      <c r="B857" s="7">
        <f>IFERROR(IF(OR(PRECIOS!B857="",PRECIOS!B856=""),"",PRECIOS!B857/PRECIOS!B856-1),"")</f>
        <v>-0.006761833208</v>
      </c>
      <c r="C857" s="7">
        <f>IFERROR(IF(OR(PRECIOS!C857="",PRECIOS!C856=""),"",PRECIOS!C857/PRECIOS!C856-1),"")</f>
        <v>-0.009141207602</v>
      </c>
      <c r="D857" s="7">
        <f>IFERROR(IF(OR(PRECIOS!D857="",PRECIOS!D856=""),"",PRECIOS!D857/PRECIOS!D856-1),"")</f>
        <v>0.002935280641</v>
      </c>
      <c r="E857" s="7">
        <f>IFERROR(IF(OR(PRECIOS!E857="",PRECIOS!E856=""),"",PRECIOS!E857/PRECIOS!E856-1),"")</f>
        <v>-0.006723844246</v>
      </c>
      <c r="F857" s="7">
        <f>IFERROR(IF(OR(PRECIOS!F857="",PRECIOS!F856=""),"",PRECIOS!F857/PRECIOS!F856-1),"")</f>
        <v>-0.006332082552</v>
      </c>
      <c r="G857" s="7">
        <f>IFERROR(IF(OR(PRECIOS!G857="",PRECIOS!G856=""),"",PRECIOS!G857/PRECIOS!G856-1),"")</f>
        <v>0.004078605858</v>
      </c>
      <c r="H857" s="7">
        <f>IFERROR(IF(OR(PRECIOS!H857="",PRECIOS!H856=""),"",PRECIOS!H857/PRECIOS!H856-1),"")</f>
        <v>-0.0001148773501</v>
      </c>
      <c r="I857" s="7">
        <f>IFERROR(IF(OR(PRECIOS!I857="",PRECIOS!I856=""),"",PRECIOS!I857/PRECIOS!I856-1),"")</f>
        <v>-0.004204611824</v>
      </c>
    </row>
    <row r="858" ht="15.75" customHeight="1">
      <c r="A858" s="4">
        <f>IF(PRECIOS!A858="","",PRECIOS!A858)</f>
        <v>45657</v>
      </c>
      <c r="B858" s="7">
        <f>IFERROR(IF(OR(PRECIOS!B858="",PRECIOS!B857=""),"",PRECIOS!B858/PRECIOS!B857-1),"")</f>
        <v>0.01711422088</v>
      </c>
      <c r="C858" s="7">
        <f>IFERROR(IF(OR(PRECIOS!C858="",PRECIOS!C857=""),"",PRECIOS!C858/PRECIOS!C857-1),"")</f>
        <v>-0.0007283321194</v>
      </c>
      <c r="D858" s="7">
        <f>IFERROR(IF(OR(PRECIOS!D858="",PRECIOS!D857=""),"",PRECIOS!D858/PRECIOS!D857-1),"")</f>
        <v>-0.01584695553</v>
      </c>
      <c r="E858" s="7">
        <f>IFERROR(IF(OR(PRECIOS!E858="",PRECIOS!E857=""),"",PRECIOS!E858/PRECIOS!E857-1),"")</f>
        <v>-0.001534388351</v>
      </c>
      <c r="F858" s="7">
        <f>IFERROR(IF(OR(PRECIOS!F858="",PRECIOS!F857=""),"",PRECIOS!F858/PRECIOS!F857-1),"")</f>
        <v>0.003304224687</v>
      </c>
      <c r="G858" s="7">
        <f>IFERROR(IF(OR(PRECIOS!G858="",PRECIOS!G857=""),"",PRECIOS!G858/PRECIOS!G857-1),"")</f>
        <v>-0.0007385524372</v>
      </c>
      <c r="H858" s="7">
        <f>IFERROR(IF(OR(PRECIOS!H858="",PRECIOS!H857=""),"",PRECIOS!H858/PRECIOS!H857-1),"")</f>
        <v>0.01312685628</v>
      </c>
      <c r="I858" s="7">
        <f>IFERROR(IF(OR(PRECIOS!I858="",PRECIOS!I857=""),"",PRECIOS!I858/PRECIOS!I857-1),"")</f>
        <v>-0.0009232181211</v>
      </c>
    </row>
    <row r="859" ht="15.75" customHeight="1">
      <c r="A859" s="4">
        <f>IF(PRECIOS!A859="","",PRECIOS!A859)</f>
        <v>45659</v>
      </c>
      <c r="B859" s="7">
        <f>IFERROR(IF(OR(PRECIOS!B859="",PRECIOS!B858=""),"",PRECIOS!B859/PRECIOS!B858-1),"")</f>
        <v>-0.002417030771</v>
      </c>
      <c r="C859" s="7">
        <f>IFERROR(IF(OR(PRECIOS!C859="",PRECIOS!C858=""),"",PRECIOS!C859/PRECIOS!C858-1),"")</f>
        <v>-0.003036929057</v>
      </c>
      <c r="D859" s="7">
        <f>IFERROR(IF(OR(PRECIOS!D859="",PRECIOS!D858=""),"",PRECIOS!D859/PRECIOS!D858-1),"")</f>
        <v>0.08551534054</v>
      </c>
      <c r="E859" s="7">
        <f>IFERROR(IF(OR(PRECIOS!E859="",PRECIOS!E858=""),"",PRECIOS!E859/PRECIOS!E858-1),"")</f>
        <v>0.0002711905264</v>
      </c>
      <c r="F859" s="7">
        <f>IFERROR(IF(OR(PRECIOS!F859="",PRECIOS!F858=""),"",PRECIOS!F859/PRECIOS!F858-1),"")</f>
        <v>0.04916490238</v>
      </c>
      <c r="G859" s="7">
        <f>IFERROR(IF(OR(PRECIOS!G859="",PRECIOS!G858=""),"",PRECIOS!G859/PRECIOS!G858-1),"")</f>
        <v>0.0325203252</v>
      </c>
      <c r="H859" s="7">
        <f>IFERROR(IF(OR(PRECIOS!H859="",PRECIOS!H858=""),"",PRECIOS!H859/PRECIOS!H858-1),"")</f>
        <v>0.01167316114</v>
      </c>
      <c r="I859" s="7">
        <f>IFERROR(IF(OR(PRECIOS!I859="",PRECIOS!I858=""),"",PRECIOS!I859/PRECIOS!I858-1),"")</f>
        <v>0.007664355583</v>
      </c>
    </row>
    <row r="860" ht="15.75" customHeight="1">
      <c r="A860" s="4">
        <f>IF(PRECIOS!A860="","",PRECIOS!A860)</f>
        <v>45660</v>
      </c>
      <c r="B860" s="7">
        <f>IFERROR(IF(OR(PRECIOS!B860="",PRECIOS!B859=""),"",PRECIOS!B860/PRECIOS!B859-1),"")</f>
        <v>0.005125337806</v>
      </c>
      <c r="C860" s="7">
        <f>IFERROR(IF(OR(PRECIOS!C860="",PRECIOS!C859=""),"",PRECIOS!C860/PRECIOS!C859-1),"")</f>
        <v>0.00304618009</v>
      </c>
      <c r="D860" s="7">
        <f>IFERROR(IF(OR(PRECIOS!D860="",PRECIOS!D859=""),"",PRECIOS!D860/PRECIOS!D859-1),"")</f>
        <v>0.08485901376</v>
      </c>
      <c r="E860" s="7">
        <f>IFERROR(IF(OR(PRECIOS!E860="",PRECIOS!E859=""),"",PRECIOS!E860/PRECIOS!E859-1),"")</f>
        <v>0.03199180624</v>
      </c>
      <c r="F860" s="7">
        <f>IFERROR(IF(OR(PRECIOS!F860="",PRECIOS!F859=""),"",PRECIOS!F860/PRECIOS!F859-1),"")</f>
        <v>-0.01210762332</v>
      </c>
      <c r="G860" s="7">
        <f>IFERROR(IF(OR(PRECIOS!G860="",PRECIOS!G859=""),"",PRECIOS!G860/PRECIOS!G859-1),"")</f>
        <v>0.01288475304</v>
      </c>
      <c r="H860" s="7">
        <f>IFERROR(IF(OR(PRECIOS!H860="",PRECIOS!H859=""),"",PRECIOS!H860/PRECIOS!H859-1),"")</f>
        <v>0.009346685969</v>
      </c>
      <c r="I860" s="7">
        <f>IFERROR(IF(OR(PRECIOS!I860="",PRECIOS!I859=""),"",PRECIOS!I860/PRECIOS!I859-1),"")</f>
        <v>0.01061611783</v>
      </c>
    </row>
    <row r="861" ht="15.75" customHeight="1">
      <c r="A861" s="4">
        <f>IF(PRECIOS!A861="","",PRECIOS!A861)</f>
        <v>45663</v>
      </c>
      <c r="B861" s="7">
        <f>IFERROR(IF(OR(PRECIOS!B861="",PRECIOS!B860=""),"",PRECIOS!B861/PRECIOS!B860-1),"")</f>
        <v>-0.00111255331</v>
      </c>
      <c r="C861" s="7">
        <f>IFERROR(IF(OR(PRECIOS!C861="",PRECIOS!C860=""),"",PRECIOS!C861/PRECIOS!C860-1),"")</f>
        <v>-0.01652089407</v>
      </c>
      <c r="D861" s="7">
        <f>IFERROR(IF(OR(PRECIOS!D861="",PRECIOS!D860=""),"",PRECIOS!D861/PRECIOS!D860-1),"")</f>
        <v>0.009793052476</v>
      </c>
      <c r="E861" s="7">
        <f>IFERROR(IF(OR(PRECIOS!E861="",PRECIOS!E860=""),"",PRECIOS!E861/PRECIOS!E860-1),"")</f>
        <v>0.01745577675</v>
      </c>
      <c r="F861" s="7">
        <f>IFERROR(IF(OR(PRECIOS!F861="",PRECIOS!F860=""),"",PRECIOS!F861/PRECIOS!F860-1),"")</f>
        <v>0.02156150704</v>
      </c>
      <c r="G861" s="7">
        <f>IFERROR(IF(OR(PRECIOS!G861="",PRECIOS!G860=""),"",PRECIOS!G861/PRECIOS!G860-1),"")</f>
        <v>-0.01395759717</v>
      </c>
      <c r="H861" s="7">
        <f>IFERROR(IF(OR(PRECIOS!H861="",PRECIOS!H860=""),"",PRECIOS!H861/PRECIOS!H860-1),"")</f>
        <v>-0.004572176592</v>
      </c>
      <c r="I861" s="7">
        <f>IFERROR(IF(OR(PRECIOS!I861="",PRECIOS!I860=""),"",PRECIOS!I861/PRECIOS!I860-1),"")</f>
        <v>-0.01115579955</v>
      </c>
    </row>
    <row r="862" ht="15.75" customHeight="1">
      <c r="A862" s="4">
        <f>IF(PRECIOS!A862="","",PRECIOS!A862)</f>
        <v>45664</v>
      </c>
      <c r="B862" s="7">
        <f>IFERROR(IF(OR(PRECIOS!B862="",PRECIOS!B861=""),"",PRECIOS!B862/PRECIOS!B861-1),"")</f>
        <v>0.0093744199</v>
      </c>
      <c r="C862" s="7">
        <f>IFERROR(IF(OR(PRECIOS!C862="",PRECIOS!C861=""),"",PRECIOS!C862/PRECIOS!C861-1),"")</f>
        <v>0.001605731225</v>
      </c>
      <c r="D862" s="7">
        <f>IFERROR(IF(OR(PRECIOS!D862="",PRECIOS!D861=""),"",PRECIOS!D862/PRECIOS!D861-1),"")</f>
        <v>-0.003537663922</v>
      </c>
      <c r="E862" s="7">
        <f>IFERROR(IF(OR(PRECIOS!E862="",PRECIOS!E861=""),"",PRECIOS!E862/PRECIOS!E861-1),"")</f>
        <v>-0.01334060133</v>
      </c>
      <c r="F862" s="7">
        <f>IFERROR(IF(OR(PRECIOS!F862="",PRECIOS!F861=""),"",PRECIOS!F862/PRECIOS!F861-1),"")</f>
        <v>0.02266163075</v>
      </c>
      <c r="G862" s="7">
        <f>IFERROR(IF(OR(PRECIOS!G862="",PRECIOS!G861=""),"",PRECIOS!G862/PRECIOS!G861-1),"")</f>
        <v>-0.004658663322</v>
      </c>
      <c r="H862" s="7">
        <f>IFERROR(IF(OR(PRECIOS!H862="",PRECIOS!H861=""),"",PRECIOS!H862/PRECIOS!H861-1),"")</f>
        <v>0.009991051019</v>
      </c>
      <c r="I862" s="7">
        <f>IFERROR(IF(OR(PRECIOS!I862="",PRECIOS!I861=""),"",PRECIOS!I862/PRECIOS!I861-1),"")</f>
        <v>-0.002493839622</v>
      </c>
    </row>
    <row r="863" ht="15.75" customHeight="1">
      <c r="A863" s="4">
        <f>IF(PRECIOS!A863="","",PRECIOS!A863)</f>
        <v>45665</v>
      </c>
      <c r="B863" s="7">
        <f>IFERROR(IF(OR(PRECIOS!B863="",PRECIOS!B862=""),"",PRECIOS!B863/PRECIOS!B862-1),"")</f>
        <v>-0.01673563218</v>
      </c>
      <c r="C863" s="7">
        <f>IFERROR(IF(OR(PRECIOS!C863="",PRECIOS!C862=""),"",PRECIOS!C863/PRECIOS!C862-1),"")</f>
        <v>0.02380071525</v>
      </c>
      <c r="D863" s="7">
        <f>IFERROR(IF(OR(PRECIOS!D863="",PRECIOS!D862=""),"",PRECIOS!D863/PRECIOS!D862-1),"")</f>
        <v>-0.01566995164</v>
      </c>
      <c r="E863" s="7">
        <f>IFERROR(IF(OR(PRECIOS!E863="",PRECIOS!E862=""),"",PRECIOS!E863/PRECIOS!E862-1),"")</f>
        <v>0.003489284987</v>
      </c>
      <c r="F863" s="7">
        <f>IFERROR(IF(OR(PRECIOS!F863="",PRECIOS!F862=""),"",PRECIOS!F863/PRECIOS!F862-1),"")</f>
        <v>-0.01542472301</v>
      </c>
      <c r="G863" s="7">
        <f>IFERROR(IF(OR(PRECIOS!G863="",PRECIOS!G862=""),"",PRECIOS!G863/PRECIOS!G862-1),"")</f>
        <v>0.01512151215</v>
      </c>
      <c r="H863" s="7">
        <f>IFERROR(IF(OR(PRECIOS!H863="",PRECIOS!H862=""),"",PRECIOS!H863/PRECIOS!H862-1),"")</f>
        <v>0.001022360313</v>
      </c>
      <c r="I863" s="7">
        <f>IFERROR(IF(OR(PRECIOS!I863="",PRECIOS!I862=""),"",PRECIOS!I863/PRECIOS!I862-1),"")</f>
        <v>-0.0002624536986</v>
      </c>
    </row>
    <row r="864" ht="15.75" customHeight="1">
      <c r="A864" s="4">
        <f>IF(PRECIOS!A864="","",PRECIOS!A864)</f>
        <v>45667</v>
      </c>
      <c r="B864" s="7">
        <f>IFERROR(IF(OR(PRECIOS!B864="",PRECIOS!B863=""),"",PRECIOS!B864/PRECIOS!B863-1),"")</f>
        <v>-0.003647245862</v>
      </c>
      <c r="C864" s="7">
        <f>IFERROR(IF(OR(PRECIOS!C864="",PRECIOS!C863=""),"",PRECIOS!C864/PRECIOS!C863-1),"")</f>
        <v>-0.0204769935</v>
      </c>
      <c r="D864" s="7">
        <f>IFERROR(IF(OR(PRECIOS!D864="",PRECIOS!D863=""),"",PRECIOS!D864/PRECIOS!D863-1),"")</f>
        <v>0.03681363099</v>
      </c>
      <c r="E864" s="7">
        <f>IFERROR(IF(OR(PRECIOS!E864="",PRECIOS!E863=""),"",PRECIOS!E864/PRECIOS!E863-1),"")</f>
        <v>-0.01060531425</v>
      </c>
      <c r="F864" s="7">
        <f>IFERROR(IF(OR(PRECIOS!F864="",PRECIOS!F863=""),"",PRECIOS!F864/PRECIOS!F863-1),"")</f>
        <v>0.01169461606</v>
      </c>
      <c r="G864" s="7">
        <f>IFERROR(IF(OR(PRECIOS!G864="",PRECIOS!G863=""),"",PRECIOS!G864/PRECIOS!G863-1),"")</f>
        <v>-0.01542826742</v>
      </c>
      <c r="H864" s="7">
        <f>IFERROR(IF(OR(PRECIOS!H864="",PRECIOS!H863=""),"",PRECIOS!H864/PRECIOS!H863-1),"")</f>
        <v>0.004087612492</v>
      </c>
      <c r="I864" s="7">
        <f>IFERROR(IF(OR(PRECIOS!I864="",PRECIOS!I863=""),"",PRECIOS!I864/PRECIOS!I863-1),"")</f>
        <v>-0.005656414753</v>
      </c>
    </row>
    <row r="865" ht="15.75" customHeight="1">
      <c r="A865" s="4">
        <f>IF(PRECIOS!A865="","",PRECIOS!A865)</f>
        <v>45670</v>
      </c>
      <c r="B865" s="7">
        <f>IFERROR(IF(OR(PRECIOS!B865="",PRECIOS!B864=""),"",PRECIOS!B865/PRECIOS!B864-1),"")</f>
        <v>0.02581190163</v>
      </c>
      <c r="C865" s="7">
        <f>IFERROR(IF(OR(PRECIOS!C865="",PRECIOS!C864=""),"",PRECIOS!C865/PRECIOS!C864-1),"")</f>
        <v>0.006763403837</v>
      </c>
      <c r="D865" s="7">
        <f>IFERROR(IF(OR(PRECIOS!D865="",PRECIOS!D864=""),"",PRECIOS!D865/PRECIOS!D864-1),"")</f>
        <v>-0.02758951598</v>
      </c>
      <c r="E865" s="7">
        <f>IFERROR(IF(OR(PRECIOS!E865="",PRECIOS!E864=""),"",PRECIOS!E865/PRECIOS!E864-1),"")</f>
        <v>-0.001669351296</v>
      </c>
      <c r="F865" s="7">
        <f>IFERROR(IF(OR(PRECIOS!F865="",PRECIOS!F864=""),"",PRECIOS!F865/PRECIOS!F864-1),"")</f>
        <v>-0.0292257361</v>
      </c>
      <c r="G865" s="7">
        <f>IFERROR(IF(OR(PRECIOS!G865="",PRECIOS!G864=""),"",PRECIOS!G865/PRECIOS!G864-1),"")</f>
        <v>0.009185878963</v>
      </c>
      <c r="H865" s="7">
        <f>IFERROR(IF(OR(PRECIOS!H865="",PRECIOS!H864=""),"",PRECIOS!H865/PRECIOS!H864-1),"")</f>
        <v>0.02104699506</v>
      </c>
      <c r="I865" s="7">
        <f>IFERROR(IF(OR(PRECIOS!I865="",PRECIOS!I864=""),"",PRECIOS!I865/PRECIOS!I864-1),"")</f>
        <v>-0.01164119956</v>
      </c>
    </row>
    <row r="866" ht="15.75" customHeight="1">
      <c r="A866" s="4">
        <f>IF(PRECIOS!A866="","",PRECIOS!A866)</f>
        <v>45671</v>
      </c>
      <c r="B866" s="7">
        <f>IFERROR(IF(OR(PRECIOS!B866="",PRECIOS!B865=""),"",PRECIOS!B866/PRECIOS!B865-1),"")</f>
        <v>0.003934486229</v>
      </c>
      <c r="C866" s="7">
        <f>IFERROR(IF(OR(PRECIOS!C866="",PRECIOS!C865=""),"",PRECIOS!C866/PRECIOS!C865-1),"")</f>
        <v>0.002198607549</v>
      </c>
      <c r="D866" s="7">
        <f>IFERROR(IF(OR(PRECIOS!D866="",PRECIOS!D865=""),"",PRECIOS!D866/PRECIOS!D865-1),"")</f>
        <v>0.05168691791</v>
      </c>
      <c r="E866" s="7">
        <f>IFERROR(IF(OR(PRECIOS!E866="",PRECIOS!E865=""),"",PRECIOS!E866/PRECIOS!E865-1),"")</f>
        <v>-0.002170851913</v>
      </c>
      <c r="F866" s="7">
        <f>IFERROR(IF(OR(PRECIOS!F866="",PRECIOS!F865=""),"",PRECIOS!F866/PRECIOS!F865-1),"")</f>
        <v>0.01100876208</v>
      </c>
      <c r="G866" s="7">
        <f>IFERROR(IF(OR(PRECIOS!G866="",PRECIOS!G865=""),"",PRECIOS!G866/PRECIOS!G865-1),"")</f>
        <v>0.03623059075</v>
      </c>
      <c r="H866" s="7">
        <f>IFERROR(IF(OR(PRECIOS!H866="",PRECIOS!H865=""),"",PRECIOS!H866/PRECIOS!H865-1),"")</f>
        <v>0.01074741849</v>
      </c>
      <c r="I866" s="7">
        <f>IFERROR(IF(OR(PRECIOS!I866="",PRECIOS!I865=""),"",PRECIOS!I866/PRECIOS!I865-1),"")</f>
        <v>0.01311669535</v>
      </c>
    </row>
    <row r="867" ht="15.75" customHeight="1">
      <c r="A867" s="4">
        <f>IF(PRECIOS!A867="","",PRECIOS!A867)</f>
        <v>45672</v>
      </c>
      <c r="B867" s="7">
        <f>IFERROR(IF(OR(PRECIOS!B867="",PRECIOS!B866=""),"",PRECIOS!B867/PRECIOS!B866-1),"")</f>
        <v>0.01631425447</v>
      </c>
      <c r="C867" s="7">
        <f>IFERROR(IF(OR(PRECIOS!C867="",PRECIOS!C866=""),"",PRECIOS!C867/PRECIOS!C866-1),"")</f>
        <v>0.003534430225</v>
      </c>
      <c r="D867" s="7">
        <f>IFERROR(IF(OR(PRECIOS!D867="",PRECIOS!D866=""),"",PRECIOS!D867/PRECIOS!D866-1),"")</f>
        <v>-0.007858776611</v>
      </c>
      <c r="E867" s="7">
        <f>IFERROR(IF(OR(PRECIOS!E867="",PRECIOS!E866=""),"",PRECIOS!E867/PRECIOS!E866-1),"")</f>
        <v>0.007173516787</v>
      </c>
      <c r="F867" s="7">
        <f>IFERROR(IF(OR(PRECIOS!F867="",PRECIOS!F866=""),"",PRECIOS!F867/PRECIOS!F866-1),"")</f>
        <v>0</v>
      </c>
      <c r="G867" s="7">
        <f>IFERROR(IF(OR(PRECIOS!G867="",PRECIOS!G866=""),"",PRECIOS!G867/PRECIOS!G866-1),"")</f>
        <v>-0.0008611780916</v>
      </c>
      <c r="H867" s="7">
        <f>IFERROR(IF(OR(PRECIOS!H867="",PRECIOS!H866=""),"",PRECIOS!H867/PRECIOS!H866-1),"")</f>
        <v>0.01479984412</v>
      </c>
      <c r="I867" s="7">
        <f>IFERROR(IF(OR(PRECIOS!I867="",PRECIOS!I866=""),"",PRECIOS!I867/PRECIOS!I866-1),"")</f>
        <v>0.01467022572</v>
      </c>
    </row>
    <row r="868" ht="15.75" customHeight="1">
      <c r="A868" s="4">
        <f>IF(PRECIOS!A868="","",PRECIOS!A868)</f>
        <v>45673</v>
      </c>
      <c r="B868" s="7">
        <f>IFERROR(IF(OR(PRECIOS!B868="",PRECIOS!B867=""),"",PRECIOS!B868/PRECIOS!B867-1),"")</f>
        <v>-0.00170388306</v>
      </c>
      <c r="C868" s="7">
        <f>IFERROR(IF(OR(PRECIOS!C868="",PRECIOS!C867=""),"",PRECIOS!C868/PRECIOS!C867-1),"")</f>
        <v>0.01882438669</v>
      </c>
      <c r="D868" s="7">
        <f>IFERROR(IF(OR(PRECIOS!D868="",PRECIOS!D867=""),"",PRECIOS!D868/PRECIOS!D867-1),"")</f>
        <v>0.02855116155</v>
      </c>
      <c r="E868" s="7">
        <f>IFERROR(IF(OR(PRECIOS!E868="",PRECIOS!E867=""),"",PRECIOS!E868/PRECIOS!E867-1),"")</f>
        <v>0.007618658416</v>
      </c>
      <c r="F868" s="7">
        <f>IFERROR(IF(OR(PRECIOS!F868="",PRECIOS!F867=""),"",PRECIOS!F868/PRECIOS!F867-1),"")</f>
        <v>-0.02622222222</v>
      </c>
      <c r="G868" s="7">
        <f>IFERROR(IF(OR(PRECIOS!G868="",PRECIOS!G867=""),"",PRECIOS!G868/PRECIOS!G867-1),"")</f>
        <v>0.02016893639</v>
      </c>
      <c r="H868" s="7">
        <f>IFERROR(IF(OR(PRECIOS!H868="",PRECIOS!H867=""),"",PRECIOS!H868/PRECIOS!H867-1),"")</f>
        <v>0.007236184046</v>
      </c>
      <c r="I868" s="7">
        <f>IFERROR(IF(OR(PRECIOS!I868="",PRECIOS!I867=""),"",PRECIOS!I868/PRECIOS!I867-1),"")</f>
        <v>0.02526219912</v>
      </c>
    </row>
    <row r="869" ht="15.75" customHeight="1">
      <c r="A869" s="4">
        <f>IF(PRECIOS!A869="","",PRECIOS!A869)</f>
        <v>45674</v>
      </c>
      <c r="B869" s="7">
        <f>IFERROR(IF(OR(PRECIOS!B869="",PRECIOS!B868=""),"",PRECIOS!B869/PRECIOS!B868-1),"")</f>
        <v>0.00898311175</v>
      </c>
      <c r="C869" s="7">
        <f>IFERROR(IF(OR(PRECIOS!C869="",PRECIOS!C868=""),"",PRECIOS!C869/PRECIOS!C868-1),"")</f>
        <v>0.0001192037192</v>
      </c>
      <c r="D869" s="7">
        <f>IFERROR(IF(OR(PRECIOS!D869="",PRECIOS!D868=""),"",PRECIOS!D869/PRECIOS!D868-1),"")</f>
        <v>-0.01804597701</v>
      </c>
      <c r="E869" s="7">
        <f>IFERROR(IF(OR(PRECIOS!E869="",PRECIOS!E868=""),"",PRECIOS!E869/PRECIOS!E868-1),"")</f>
        <v>0.003157681277</v>
      </c>
      <c r="F869" s="7">
        <f>IFERROR(IF(OR(PRECIOS!F869="",PRECIOS!F868=""),"",PRECIOS!F869/PRECIOS!F868-1),"")</f>
        <v>-0.02533089913</v>
      </c>
      <c r="G869" s="7">
        <f>IFERROR(IF(OR(PRECIOS!G869="",PRECIOS!G868=""),"",PRECIOS!G869/PRECIOS!G868-1),"")</f>
        <v>-0.0006759040216</v>
      </c>
      <c r="H869" s="7">
        <f>IFERROR(IF(OR(PRECIOS!H869="",PRECIOS!H868=""),"",PRECIOS!H869/PRECIOS!H868-1),"")</f>
        <v>0.007722846459</v>
      </c>
      <c r="I869" s="7">
        <f>IFERROR(IF(OR(PRECIOS!I869="",PRECIOS!I868=""),"",PRECIOS!I869/PRECIOS!I868-1),"")</f>
        <v>0.001395294148</v>
      </c>
    </row>
    <row r="870" ht="15.75" customHeight="1">
      <c r="A870" s="4">
        <f>IF(PRECIOS!A870="","",PRECIOS!A870)</f>
        <v>45678</v>
      </c>
      <c r="B870" s="7">
        <f>IFERROR(IF(OR(PRECIOS!B870="",PRECIOS!B869=""),"",PRECIOS!B870/PRECIOS!B869-1),"")</f>
        <v>-0.007567663818</v>
      </c>
      <c r="C870" s="7">
        <f>IFERROR(IF(OR(PRECIOS!C870="",PRECIOS!C869=""),"",PRECIOS!C870/PRECIOS!C869-1),"")</f>
        <v>0.00989272944</v>
      </c>
      <c r="D870" s="7">
        <f>IFERROR(IF(OR(PRECIOS!D870="",PRECIOS!D869=""),"",PRECIOS!D870/PRECIOS!D869-1),"")</f>
        <v>0.08480627414</v>
      </c>
      <c r="E870" s="7">
        <f>IFERROR(IF(OR(PRECIOS!E870="",PRECIOS!E869=""),"",PRECIOS!E870/PRECIOS!E869-1),"")</f>
        <v>0.03277694351</v>
      </c>
      <c r="F870" s="7">
        <f>IFERROR(IF(OR(PRECIOS!F870="",PRECIOS!F869=""),"",PRECIOS!F870/PRECIOS!F869-1),"")</f>
        <v>0.01498478108</v>
      </c>
      <c r="G870" s="7">
        <f>IFERROR(IF(OR(PRECIOS!G870="",PRECIOS!G869=""),"",PRECIOS!G870/PRECIOS!G869-1),"")</f>
        <v>0.02519445384</v>
      </c>
      <c r="H870" s="7">
        <f>IFERROR(IF(OR(PRECIOS!H870="",PRECIOS!H869=""),"",PRECIOS!H870/PRECIOS!H869-1),"")</f>
        <v>-0.005109840678</v>
      </c>
      <c r="I870" s="7">
        <f>IFERROR(IF(OR(PRECIOS!I870="",PRECIOS!I869=""),"",PRECIOS!I870/PRECIOS!I869-1),"")</f>
        <v>0.01534772433</v>
      </c>
    </row>
    <row r="871" ht="15.75" customHeight="1">
      <c r="A871" s="4">
        <f>IF(PRECIOS!A871="","",PRECIOS!A871)</f>
        <v>45679</v>
      </c>
      <c r="B871" s="7">
        <f>IFERROR(IF(OR(PRECIOS!B871="",PRECIOS!B870=""),"",PRECIOS!B871/PRECIOS!B870-1),"")</f>
        <v>-0.01740378577</v>
      </c>
      <c r="C871" s="7">
        <f>IFERROR(IF(OR(PRECIOS!C871="",PRECIOS!C870=""),"",PRECIOS!C871/PRECIOS!C870-1),"")</f>
        <v>-0.02608285141</v>
      </c>
      <c r="D871" s="7">
        <f>IFERROR(IF(OR(PRECIOS!D871="",PRECIOS!D870=""),"",PRECIOS!D871/PRECIOS!D870-1),"")</f>
        <v>0.008146749393</v>
      </c>
      <c r="E871" s="7">
        <f>IFERROR(IF(OR(PRECIOS!E871="",PRECIOS!E870=""),"",PRECIOS!E871/PRECIOS!E870-1),"")</f>
        <v>0.03802812963</v>
      </c>
      <c r="F871" s="7">
        <f>IFERROR(IF(OR(PRECIOS!F871="",PRECIOS!F870=""),"",PRECIOS!F871/PRECIOS!F870-1),"")</f>
        <v>-0.007612456747</v>
      </c>
      <c r="G871" s="7">
        <f>IFERROR(IF(OR(PRECIOS!G871="",PRECIOS!G870=""),"",PRECIOS!G871/PRECIOS!G870-1),"")</f>
        <v>-0.02358568365</v>
      </c>
      <c r="H871" s="7">
        <f>IFERROR(IF(OR(PRECIOS!H871="",PRECIOS!H870=""),"",PRECIOS!H871/PRECIOS!H870-1),"")</f>
        <v>-0.01818523514</v>
      </c>
      <c r="I871" s="7">
        <f>IFERROR(IF(OR(PRECIOS!I871="",PRECIOS!I870=""),"",PRECIOS!I871/PRECIOS!I870-1),"")</f>
        <v>-0.02160968928</v>
      </c>
    </row>
    <row r="872" ht="15.75" customHeight="1">
      <c r="A872" s="4">
        <f>IF(PRECIOS!A872="","",PRECIOS!A872)</f>
        <v>45680</v>
      </c>
      <c r="B872" s="7">
        <f>IFERROR(IF(OR(PRECIOS!B872="",PRECIOS!B871=""),"",PRECIOS!B872/PRECIOS!B871-1),"")</f>
        <v>0.005660549621</v>
      </c>
      <c r="C872" s="7">
        <f>IFERROR(IF(OR(PRECIOS!C872="",PRECIOS!C871=""),"",PRECIOS!C872/PRECIOS!C871-1),"")</f>
        <v>-0.003150751333</v>
      </c>
      <c r="D872" s="7">
        <f>IFERROR(IF(OR(PRECIOS!D872="",PRECIOS!D871=""),"",PRECIOS!D872/PRECIOS!D871-1),"")</f>
        <v>0.02691854865</v>
      </c>
      <c r="E872" s="7">
        <f>IFERROR(IF(OR(PRECIOS!E872="",PRECIOS!E871=""),"",PRECIOS!E872/PRECIOS!E871-1),"")</f>
        <v>-0.004148371629</v>
      </c>
      <c r="F872" s="7">
        <f>IFERROR(IF(OR(PRECIOS!F872="",PRECIOS!F871=""),"",PRECIOS!F872/PRECIOS!F871-1),"")</f>
        <v>-0.02463970246</v>
      </c>
      <c r="G872" s="7">
        <f>IFERROR(IF(OR(PRECIOS!G872="",PRECIOS!G871=""),"",PRECIOS!G872/PRECIOS!G871-1),"")</f>
        <v>0.004898648649</v>
      </c>
      <c r="H872" s="7">
        <f>IFERROR(IF(OR(PRECIOS!H872="",PRECIOS!H871=""),"",PRECIOS!H872/PRECIOS!H871-1),"")</f>
        <v>0.00457590668</v>
      </c>
      <c r="I872" s="7">
        <f>IFERROR(IF(OR(PRECIOS!I872="",PRECIOS!I871=""),"",PRECIOS!I872/PRECIOS!I871-1),"")</f>
        <v>0.004722605996</v>
      </c>
    </row>
    <row r="873" ht="15.75" customHeight="1">
      <c r="A873" s="4">
        <f>IF(PRECIOS!A873="","",PRECIOS!A873)</f>
        <v>45681</v>
      </c>
      <c r="B873" s="7">
        <f>IFERROR(IF(OR(PRECIOS!B873="",PRECIOS!B872=""),"",PRECIOS!B873/PRECIOS!B872-1),"")</f>
        <v>-0.01352700862</v>
      </c>
      <c r="C873" s="7">
        <f>IFERROR(IF(OR(PRECIOS!C873="",PRECIOS!C872=""),"",PRECIOS!C873/PRECIOS!C872-1),"")</f>
        <v>0.01483102358</v>
      </c>
      <c r="D873" s="7">
        <f>IFERROR(IF(OR(PRECIOS!D873="",PRECIOS!D872=""),"",PRECIOS!D873/PRECIOS!D872-1),"")</f>
        <v>-0.004064828808</v>
      </c>
      <c r="E873" s="7">
        <f>IFERROR(IF(OR(PRECIOS!E873="",PRECIOS!E872=""),"",PRECIOS!E873/PRECIOS!E872-1),"")</f>
        <v>-0.00192052801</v>
      </c>
      <c r="F873" s="7">
        <f>IFERROR(IF(OR(PRECIOS!F873="",PRECIOS!F872=""),"",PRECIOS!F873/PRECIOS!F872-1),"")</f>
        <v>-0.02383222116</v>
      </c>
      <c r="G873" s="7">
        <f>IFERROR(IF(OR(PRECIOS!G873="",PRECIOS!G872=""),"",PRECIOS!G873/PRECIOS!G872-1),"")</f>
        <v>0.001344763826</v>
      </c>
      <c r="H873" s="7">
        <f>IFERROR(IF(OR(PRECIOS!H873="",PRECIOS!H872=""),"",PRECIOS!H873/PRECIOS!H872-1),"")</f>
        <v>-0.009652609186</v>
      </c>
      <c r="I873" s="7">
        <f>IFERROR(IF(OR(PRECIOS!I873="",PRECIOS!I872=""),"",PRECIOS!I873/PRECIOS!I872-1),"")</f>
        <v>0.01016678866</v>
      </c>
    </row>
    <row r="874" ht="15.75" customHeight="1">
      <c r="A874" s="4">
        <f>IF(PRECIOS!A874="","",PRECIOS!A874)</f>
        <v>45684</v>
      </c>
      <c r="B874" s="7">
        <f>IFERROR(IF(OR(PRECIOS!B874="",PRECIOS!B873=""),"",PRECIOS!B874/PRECIOS!B873-1),"")</f>
        <v>0.01389655807</v>
      </c>
      <c r="C874" s="7">
        <f>IFERROR(IF(OR(PRECIOS!C874="",PRECIOS!C873=""),"",PRECIOS!C874/PRECIOS!C873-1),"")</f>
        <v>0.03617632966</v>
      </c>
      <c r="D874" s="7">
        <f>IFERROR(IF(OR(PRECIOS!D874="",PRECIOS!D873=""),"",PRECIOS!D874/PRECIOS!D873-1),"")</f>
        <v>-0.28271676</v>
      </c>
      <c r="E874" s="7">
        <f>IFERROR(IF(OR(PRECIOS!E874="",PRECIOS!E873=""),"",PRECIOS!E874/PRECIOS!E873-1),"")</f>
        <v>-0.1556452924</v>
      </c>
      <c r="F874" s="7">
        <f>IFERROR(IF(OR(PRECIOS!F874="",PRECIOS!F873=""),"",PRECIOS!F874/PRECIOS!F873-1),"")</f>
        <v>-0.03271484375</v>
      </c>
      <c r="G874" s="7">
        <f>IFERROR(IF(OR(PRECIOS!G874="",PRECIOS!G873=""),"",PRECIOS!G874/PRECIOS!G873-1),"")</f>
        <v>-0.08427060601</v>
      </c>
      <c r="H874" s="7">
        <f>IFERROR(IF(OR(PRECIOS!H874="",PRECIOS!H873=""),"",PRECIOS!H874/PRECIOS!H873-1),"")</f>
        <v>-0.01040537268</v>
      </c>
      <c r="I874" s="7">
        <f>IFERROR(IF(OR(PRECIOS!I874="",PRECIOS!I873=""),"",PRECIOS!I874/PRECIOS!I873-1),"")</f>
        <v>-0.02314904674</v>
      </c>
    </row>
    <row r="875" ht="15.75" customHeight="1">
      <c r="A875" s="4">
        <f>IF(PRECIOS!A875="","",PRECIOS!A875)</f>
        <v>45685</v>
      </c>
      <c r="B875" s="7">
        <f>IFERROR(IF(OR(PRECIOS!B875="",PRECIOS!B874=""),"",PRECIOS!B875/PRECIOS!B874-1),"")</f>
        <v>-0.01933375692</v>
      </c>
      <c r="C875" s="7">
        <f>IFERROR(IF(OR(PRECIOS!C875="",PRECIOS!C874=""),"",PRECIOS!C875/PRECIOS!C874-1),"")</f>
        <v>-0.03421965318</v>
      </c>
      <c r="D875" s="7">
        <f>IFERROR(IF(OR(PRECIOS!D875="",PRECIOS!D874=""),"",PRECIOS!D875/PRECIOS!D874-1),"")</f>
        <v>0.09162532828</v>
      </c>
      <c r="E875" s="7">
        <f>IFERROR(IF(OR(PRECIOS!E875="",PRECIOS!E874=""),"",PRECIOS!E875/PRECIOS!E874-1),"")</f>
        <v>0.003594928583</v>
      </c>
      <c r="F875" s="7">
        <f>IFERROR(IF(OR(PRECIOS!F875="",PRECIOS!F874=""),"",PRECIOS!F875/PRECIOS!F874-1),"")</f>
        <v>-0.0191822312</v>
      </c>
      <c r="G875" s="7">
        <f>IFERROR(IF(OR(PRECIOS!G875="",PRECIOS!G874=""),"",PRECIOS!G875/PRECIOS!G874-1),"")</f>
        <v>0.01191567369</v>
      </c>
      <c r="H875" s="7">
        <f>IFERROR(IF(OR(PRECIOS!H875="",PRECIOS!H874=""),"",PRECIOS!H875/PRECIOS!H874-1),"")</f>
        <v>-0.009517513964</v>
      </c>
      <c r="I875" s="7">
        <f>IFERROR(IF(OR(PRECIOS!I875="",PRECIOS!I874=""),"",PRECIOS!I875/PRECIOS!I874-1),"")</f>
        <v>-0.01377879745</v>
      </c>
    </row>
    <row r="876" ht="15.75" customHeight="1">
      <c r="A876" s="4">
        <f>IF(PRECIOS!A876="","",PRECIOS!A876)</f>
        <v>45686</v>
      </c>
      <c r="B876" s="7">
        <f>IFERROR(IF(OR(PRECIOS!B876="",PRECIOS!B875=""),"",PRECIOS!B876/PRECIOS!B875-1),"")</f>
        <v>0.005831173639</v>
      </c>
      <c r="C876" s="7">
        <f>IFERROR(IF(OR(PRECIOS!C876="",PRECIOS!C875=""),"",PRECIOS!C876/PRECIOS!C875-1),"")</f>
        <v>-0.008498922672</v>
      </c>
      <c r="D876" s="7">
        <f>IFERROR(IF(OR(PRECIOS!D876="",PRECIOS!D875=""),"",PRECIOS!D876/PRECIOS!D875-1),"")</f>
        <v>0.03722266774</v>
      </c>
      <c r="E876" s="7">
        <f>IFERROR(IF(OR(PRECIOS!E876="",PRECIOS!E875=""),"",PRECIOS!E876/PRECIOS!E875-1),"")</f>
        <v>0.01576742252</v>
      </c>
      <c r="F876" s="7">
        <f>IFERROR(IF(OR(PRECIOS!F876="",PRECIOS!F875=""),"",PRECIOS!F876/PRECIOS!F875-1),"")</f>
        <v>0.02933607823</v>
      </c>
      <c r="G876" s="7">
        <f>IFERROR(IF(OR(PRECIOS!G876="",PRECIOS!G875=""),"",PRECIOS!G876/PRECIOS!G875-1),"")</f>
        <v>0.002355072464</v>
      </c>
      <c r="H876" s="7">
        <f>IFERROR(IF(OR(PRECIOS!H876="",PRECIOS!H875=""),"",PRECIOS!H876/PRECIOS!H875-1),"")</f>
        <v>0.002235395455</v>
      </c>
      <c r="I876" s="7">
        <f>IFERROR(IF(OR(PRECIOS!I876="",PRECIOS!I875=""),"",PRECIOS!I876/PRECIOS!I875-1),"")</f>
        <v>0.002089920298</v>
      </c>
    </row>
    <row r="877" ht="15.75" customHeight="1">
      <c r="A877" s="4">
        <f>IF(PRECIOS!A877="","",PRECIOS!A877)</f>
        <v>45687</v>
      </c>
      <c r="B877" s="7">
        <f>IFERROR(IF(OR(PRECIOS!B877="",PRECIOS!B876=""),"",PRECIOS!B877/PRECIOS!B876-1),"")</f>
        <v>0.008281954541</v>
      </c>
      <c r="C877" s="7">
        <f>IFERROR(IF(OR(PRECIOS!C877="",PRECIOS!C876=""),"",PRECIOS!C877/PRECIOS!C876-1),"")</f>
        <v>0.02535313292</v>
      </c>
      <c r="D877" s="7">
        <f>IFERROR(IF(OR(PRECIOS!D877="",PRECIOS!D876=""),"",PRECIOS!D877/PRECIOS!D876-1),"")</f>
        <v>0.1358804201</v>
      </c>
      <c r="E877" s="7">
        <f>IFERROR(IF(OR(PRECIOS!E877="",PRECIOS!E876=""),"",PRECIOS!E877/PRECIOS!E876-1),"")</f>
        <v>0.02991183879</v>
      </c>
      <c r="F877" s="7">
        <f>IFERROR(IF(OR(PRECIOS!F877="",PRECIOS!F876=""),"",PRECIOS!F877/PRECIOS!F876-1),"")</f>
        <v>0.012</v>
      </c>
      <c r="G877" s="7">
        <f>IFERROR(IF(OR(PRECIOS!G877="",PRECIOS!G876=""),"",PRECIOS!G877/PRECIOS!G876-1),"")</f>
        <v>0.02277245617</v>
      </c>
      <c r="H877" s="7">
        <f>IFERROR(IF(OR(PRECIOS!H877="",PRECIOS!H876=""),"",PRECIOS!H877/PRECIOS!H876-1),"")</f>
        <v>0.00512902044</v>
      </c>
      <c r="I877" s="7">
        <f>IFERROR(IF(OR(PRECIOS!I877="",PRECIOS!I876=""),"",PRECIOS!I877/PRECIOS!I876-1),"")</f>
        <v>0.02085025507</v>
      </c>
    </row>
    <row r="878" ht="15.75" customHeight="1">
      <c r="A878" s="4">
        <f>IF(PRECIOS!A878="","",PRECIOS!A878)</f>
        <v>45688</v>
      </c>
      <c r="B878" s="7">
        <f>IFERROR(IF(OR(PRECIOS!B878="",PRECIOS!B877=""),"",PRECIOS!B878/PRECIOS!B877-1),"")</f>
        <v>-0.02500684494</v>
      </c>
      <c r="C878" s="7">
        <f>IFERROR(IF(OR(PRECIOS!C878="",PRECIOS!C877=""),"",PRECIOS!C878/PRECIOS!C877-1),"")</f>
        <v>-0.0115389144</v>
      </c>
      <c r="D878" s="7">
        <f>IFERROR(IF(OR(PRECIOS!D878="",PRECIOS!D877=""),"",PRECIOS!D878/PRECIOS!D877-1),"")</f>
        <v>-0.04690867839</v>
      </c>
      <c r="E878" s="7">
        <f>IFERROR(IF(OR(PRECIOS!E878="",PRECIOS!E877=""),"",PRECIOS!E878/PRECIOS!E877-1),"")</f>
        <v>-0.002017731581</v>
      </c>
      <c r="F878" s="7">
        <f>IFERROR(IF(OR(PRECIOS!F878="",PRECIOS!F877=""),"",PRECIOS!F878/PRECIOS!F877-1),"")</f>
        <v>-0.02495059289</v>
      </c>
      <c r="G878" s="7">
        <f>IFERROR(IF(OR(PRECIOS!G878="",PRECIOS!G877=""),"",PRECIOS!G878/PRECIOS!G877-1),"")</f>
        <v>-0.02049832126</v>
      </c>
      <c r="H878" s="7">
        <f>IFERROR(IF(OR(PRECIOS!H878="",PRECIOS!H877=""),"",PRECIOS!H878/PRECIOS!H877-1),"")</f>
        <v>-0.02795104384</v>
      </c>
      <c r="I878" s="7">
        <f>IFERROR(IF(OR(PRECIOS!I878="",PRECIOS!I877=""),"",PRECIOS!I878/PRECIOS!I877-1),"")</f>
        <v>-0.005871555778</v>
      </c>
    </row>
    <row r="879" ht="15.75" customHeight="1">
      <c r="A879" s="4">
        <f>IF(PRECIOS!A879="","",PRECIOS!A879)</f>
        <v>45691</v>
      </c>
      <c r="B879" s="7">
        <f>IFERROR(IF(OR(PRECIOS!B879="",PRECIOS!B878=""),"",PRECIOS!B879/PRECIOS!B878-1),"")</f>
        <v>0.002433773285</v>
      </c>
      <c r="C879" s="7">
        <f>IFERROR(IF(OR(PRECIOS!C879="",PRECIOS!C878=""),"",PRECIOS!C879/PRECIOS!C878-1),"")</f>
        <v>0.0002382370459</v>
      </c>
      <c r="D879" s="7">
        <f>IFERROR(IF(OR(PRECIOS!D879="",PRECIOS!D878=""),"",PRECIOS!D879/PRECIOS!D878-1),"")</f>
        <v>0.002975659108</v>
      </c>
      <c r="E879" s="7">
        <f>IFERROR(IF(OR(PRECIOS!E879="",PRECIOS!E878=""),"",PRECIOS!E879/PRECIOS!E878-1),"")</f>
        <v>-0.03378875138</v>
      </c>
      <c r="F879" s="7">
        <f>IFERROR(IF(OR(PRECIOS!F879="",PRECIOS!F878=""),"",PRECIOS!F879/PRECIOS!F878-1),"")</f>
        <v>-0.02508234102</v>
      </c>
      <c r="G879" s="7">
        <f>IFERROR(IF(OR(PRECIOS!G879="",PRECIOS!G878=""),"",PRECIOS!G879/PRECIOS!G878-1),"")</f>
        <v>0.01389139455</v>
      </c>
      <c r="H879" s="7">
        <f>IFERROR(IF(OR(PRECIOS!H879="",PRECIOS!H878=""),"",PRECIOS!H879/PRECIOS!H878-1),"")</f>
        <v>0.006277798478</v>
      </c>
      <c r="I879" s="7">
        <f>IFERROR(IF(OR(PRECIOS!I879="",PRECIOS!I878=""),"",PRECIOS!I879/PRECIOS!I878-1),"")</f>
        <v>0.005393797397</v>
      </c>
    </row>
    <row r="880" ht="15.75" customHeight="1">
      <c r="A880" s="4">
        <f>IF(PRECIOS!A880="","",PRECIOS!A880)</f>
        <v>45692</v>
      </c>
      <c r="B880" s="7">
        <f>IFERROR(IF(OR(PRECIOS!B880="",PRECIOS!B879=""),"",PRECIOS!B880/PRECIOS!B879-1),"")</f>
        <v>0.02679988794</v>
      </c>
      <c r="C880" s="7">
        <f>IFERROR(IF(OR(PRECIOS!C880="",PRECIOS!C879=""),"",PRECIOS!C880/PRECIOS!C879-1),"")</f>
        <v>-0.009169941646</v>
      </c>
      <c r="D880" s="7">
        <f>IFERROR(IF(OR(PRECIOS!D880="",PRECIOS!D879=""),"",PRECIOS!D880/PRECIOS!D879-1),"")</f>
        <v>-0.001186732333</v>
      </c>
      <c r="E880" s="7">
        <f>IFERROR(IF(OR(PRECIOS!E880="",PRECIOS!E879=""),"",PRECIOS!E880/PRECIOS!E879-1),"")</f>
        <v>-0.002251038331</v>
      </c>
      <c r="F880" s="7">
        <f>IFERROR(IF(OR(PRECIOS!F880="",PRECIOS!F879=""),"",PRECIOS!F880/PRECIOS!F879-1),"")</f>
        <v>0.02182952183</v>
      </c>
      <c r="G880" s="7">
        <f>IFERROR(IF(OR(PRECIOS!G880="",PRECIOS!G879=""),"",PRECIOS!G880/PRECIOS!G879-1),"")</f>
        <v>-0.008540925267</v>
      </c>
      <c r="H880" s="7">
        <f>IFERROR(IF(OR(PRECIOS!H880="",PRECIOS!H879=""),"",PRECIOS!H880/PRECIOS!H879-1),"")</f>
        <v>0.02097512046</v>
      </c>
      <c r="I880" s="7">
        <f>IFERROR(IF(OR(PRECIOS!I880="",PRECIOS!I879=""),"",PRECIOS!I880/PRECIOS!I879-1),"")</f>
        <v>-0.008814449918</v>
      </c>
    </row>
    <row r="881" ht="15.75" customHeight="1">
      <c r="A881" s="4">
        <f>IF(PRECIOS!A881="","",PRECIOS!A881)</f>
        <v>45693</v>
      </c>
      <c r="B881" s="7">
        <f>IFERROR(IF(OR(PRECIOS!B881="",PRECIOS!B880=""),"",PRECIOS!B881/PRECIOS!B880-1),"")</f>
        <v>-0.0007275372863</v>
      </c>
      <c r="C881" s="7">
        <f>IFERROR(IF(OR(PRECIOS!C881="",PRECIOS!C880=""),"",PRECIOS!C881/PRECIOS!C880-1),"")</f>
        <v>0.008052884615</v>
      </c>
      <c r="D881" s="7">
        <f>IFERROR(IF(OR(PRECIOS!D881="",PRECIOS!D880=""),"",PRECIOS!D881/PRECIOS!D880-1),"")</f>
        <v>0.01948553437</v>
      </c>
      <c r="E881" s="7">
        <f>IFERROR(IF(OR(PRECIOS!E881="",PRECIOS!E880=""),"",PRECIOS!E881/PRECIOS!E880-1),"")</f>
        <v>0.001747696219</v>
      </c>
      <c r="F881" s="7">
        <f>IFERROR(IF(OR(PRECIOS!F881="",PRECIOS!F880=""),"",PRECIOS!F881/PRECIOS!F880-1),"")</f>
        <v>-0.01932858596</v>
      </c>
      <c r="G881" s="7">
        <f>IFERROR(IF(OR(PRECIOS!G881="",PRECIOS!G880=""),"",PRECIOS!G881/PRECIOS!G880-1),"")</f>
        <v>0.02027997128</v>
      </c>
      <c r="H881" s="7">
        <f>IFERROR(IF(OR(PRECIOS!H881="",PRECIOS!H880=""),"",PRECIOS!H881/PRECIOS!H880-1),"")</f>
        <v>0.002111806375</v>
      </c>
      <c r="I881" s="7">
        <f>IFERROR(IF(OR(PRECIOS!I881="",PRECIOS!I880=""),"",PRECIOS!I881/PRECIOS!I880-1),"")</f>
        <v>0.01004850637</v>
      </c>
    </row>
    <row r="882" ht="15.75" customHeight="1">
      <c r="A882" s="4">
        <f>IF(PRECIOS!A882="","",PRECIOS!A882)</f>
        <v>45694</v>
      </c>
      <c r="B882" s="7">
        <f>IFERROR(IF(OR(PRECIOS!B882="",PRECIOS!B881=""),"",PRECIOS!B882/PRECIOS!B881-1),"")</f>
        <v>-0.01319621405</v>
      </c>
      <c r="C882" s="7">
        <f>IFERROR(IF(OR(PRECIOS!C882="",PRECIOS!C881=""),"",PRECIOS!C882/PRECIOS!C881-1),"")</f>
        <v>-0.0009538571599</v>
      </c>
      <c r="D882" s="7">
        <f>IFERROR(IF(OR(PRECIOS!D882="",PRECIOS!D881=""),"",PRECIOS!D882/PRECIOS!D881-1),"")</f>
        <v>-0.01008099761</v>
      </c>
      <c r="E882" s="7">
        <f>IFERROR(IF(OR(PRECIOS!E882="",PRECIOS!E881=""),"",PRECIOS!E882/PRECIOS!E881-1),"")</f>
        <v>0.001903251388</v>
      </c>
      <c r="F882" s="7">
        <f>IFERROR(IF(OR(PRECIOS!F882="",PRECIOS!F881=""),"",PRECIOS!F882/PRECIOS!F881-1),"")</f>
        <v>0.01996887967</v>
      </c>
      <c r="G882" s="7">
        <f>IFERROR(IF(OR(PRECIOS!G882="",PRECIOS!G881=""),"",PRECIOS!G882/PRECIOS!G881-1),"")</f>
        <v>-0.01477572559</v>
      </c>
      <c r="H882" s="7">
        <f>IFERROR(IF(OR(PRECIOS!H882="",PRECIOS!H881=""),"",PRECIOS!H882/PRECIOS!H881-1),"")</f>
        <v>-0.01839813453</v>
      </c>
      <c r="I882" s="7">
        <f>IFERROR(IF(OR(PRECIOS!I882="",PRECIOS!I881=""),"",PRECIOS!I882/PRECIOS!I881-1),"")</f>
        <v>-0.001144173767</v>
      </c>
    </row>
    <row r="883" ht="15.75" customHeight="1">
      <c r="A883" s="4">
        <f>IF(PRECIOS!A883="","",PRECIOS!A883)</f>
        <v>45695</v>
      </c>
      <c r="B883" s="7">
        <f>IFERROR(IF(OR(PRECIOS!B883="",PRECIOS!B882=""),"",PRECIOS!B883/PRECIOS!B882-1),"")</f>
        <v>0.004242368348</v>
      </c>
      <c r="C883" s="7">
        <f>IFERROR(IF(OR(PRECIOS!C883="",PRECIOS!C882=""),"",PRECIOS!C883/PRECIOS!C882-1),"")</f>
        <v>0.009428332737</v>
      </c>
      <c r="D883" s="7">
        <f>IFERROR(IF(OR(PRECIOS!D883="",PRECIOS!D882=""),"",PRECIOS!D883/PRECIOS!D882-1),"")</f>
        <v>-0.01754179421</v>
      </c>
      <c r="E883" s="7">
        <f>IFERROR(IF(OR(PRECIOS!E883="",PRECIOS!E882=""),"",PRECIOS!E883/PRECIOS!E882-1),"")</f>
        <v>-0.008864967548</v>
      </c>
      <c r="F883" s="7">
        <f>IFERROR(IF(OR(PRECIOS!F883="",PRECIOS!F882=""),"",PRECIOS!F883/PRECIOS!F882-1),"")</f>
        <v>-0.03915586067</v>
      </c>
      <c r="G883" s="7">
        <f>IFERROR(IF(OR(PRECIOS!G883="",PRECIOS!G882=""),"",PRECIOS!G883/PRECIOS!G882-1),"")</f>
        <v>-0.001249776826</v>
      </c>
      <c r="H883" s="7">
        <f>IFERROR(IF(OR(PRECIOS!H883="",PRECIOS!H882=""),"",PRECIOS!H883/PRECIOS!H882-1),"")</f>
        <v>-0.0001143433193</v>
      </c>
      <c r="I883" s="7">
        <f>IFERROR(IF(OR(PRECIOS!I883="",PRECIOS!I882=""),"",PRECIOS!I883/PRECIOS!I882-1),"")</f>
        <v>-0.002046633826</v>
      </c>
    </row>
    <row r="884" ht="15.75" customHeight="1">
      <c r="A884" s="4">
        <f>IF(PRECIOS!A884="","",PRECIOS!A884)</f>
        <v>45698</v>
      </c>
      <c r="B884" s="7">
        <f>IFERROR(IF(OR(PRECIOS!B884="",PRECIOS!B883=""),"",PRECIOS!B884/PRECIOS!B883-1),"")</f>
        <v>0.0191018459</v>
      </c>
      <c r="C884" s="7">
        <f>IFERROR(IF(OR(PRECIOS!C884="",PRECIOS!C883=""),"",PRECIOS!C884/PRECIOS!C883-1),"")</f>
        <v>0.01099550721</v>
      </c>
      <c r="D884" s="7">
        <f>IFERROR(IF(OR(PRECIOS!D884="",PRECIOS!D883=""),"",PRECIOS!D884/PRECIOS!D883-1),"")</f>
        <v>0.008927501498</v>
      </c>
      <c r="E884" s="7">
        <f>IFERROR(IF(OR(PRECIOS!E884="",PRECIOS!E883=""),"",PRECIOS!E884/PRECIOS!E883-1),"")</f>
        <v>0.02181760102</v>
      </c>
      <c r="F884" s="7">
        <f>IFERROR(IF(OR(PRECIOS!F884="",PRECIOS!F883=""),"",PRECIOS!F884/PRECIOS!F883-1),"")</f>
        <v>0.005557025668</v>
      </c>
      <c r="G884" s="7">
        <f>IFERROR(IF(OR(PRECIOS!G884="",PRECIOS!G883=""),"",PRECIOS!G884/PRECIOS!G883-1),"")</f>
        <v>0.004111548087</v>
      </c>
      <c r="H884" s="7">
        <f>IFERROR(IF(OR(PRECIOS!H884="",PRECIOS!H883=""),"",PRECIOS!H884/PRECIOS!H883-1),"")</f>
        <v>0.02201944059</v>
      </c>
      <c r="I884" s="7">
        <f>IFERROR(IF(OR(PRECIOS!I884="",PRECIOS!I883=""),"",PRECIOS!I884/PRECIOS!I883-1),"")</f>
        <v>0.01088072535</v>
      </c>
    </row>
    <row r="885" ht="15.75" customHeight="1">
      <c r="A885" s="4">
        <f>IF(PRECIOS!A885="","",PRECIOS!A885)</f>
        <v>45699</v>
      </c>
      <c r="B885" s="7">
        <f>IFERROR(IF(OR(PRECIOS!B885="",PRECIOS!B884=""),"",PRECIOS!B885/PRECIOS!B884-1),"")</f>
        <v>0.006308011174</v>
      </c>
      <c r="C885" s="7">
        <f>IFERROR(IF(OR(PRECIOS!C885="",PRECIOS!C884=""),"",PRECIOS!C885/PRECIOS!C884-1),"")</f>
        <v>0.01099286633</v>
      </c>
      <c r="D885" s="7">
        <f>IFERROR(IF(OR(PRECIOS!D885="",PRECIOS!D884=""),"",PRECIOS!D885/PRECIOS!D884-1),"")</f>
        <v>-0.004632104044</v>
      </c>
      <c r="E885" s="7">
        <f>IFERROR(IF(OR(PRECIOS!E885="",PRECIOS!E884=""),"",PRECIOS!E885/PRECIOS!E884-1),"")</f>
        <v>-0.0105352007</v>
      </c>
      <c r="F885" s="7">
        <f>IFERROR(IF(OR(PRECIOS!F885="",PRECIOS!F884=""),"",PRECIOS!F885/PRECIOS!F884-1),"")</f>
        <v>-0.05</v>
      </c>
      <c r="G885" s="7">
        <f>IFERROR(IF(OR(PRECIOS!G885="",PRECIOS!G884=""),"",PRECIOS!G885/PRECIOS!G884-1),"")</f>
        <v>-0.0165568809</v>
      </c>
      <c r="H885" s="7">
        <f>IFERROR(IF(OR(PRECIOS!H885="",PRECIOS!H884=""),"",PRECIOS!H885/PRECIOS!H884-1),"")</f>
        <v>0.008067683595</v>
      </c>
      <c r="I885" s="7">
        <f>IFERROR(IF(OR(PRECIOS!I885="",PRECIOS!I884=""),"",PRECIOS!I885/PRECIOS!I884-1),"")</f>
        <v>0.005062776871</v>
      </c>
    </row>
    <row r="886" ht="15.75" customHeight="1">
      <c r="A886" s="4">
        <f>IF(PRECIOS!A886="","",PRECIOS!A886)</f>
        <v>45700</v>
      </c>
      <c r="B886" s="7">
        <f>IFERROR(IF(OR(PRECIOS!B886="",PRECIOS!B885=""),"",PRECIOS!B886/PRECIOS!B885-1),"")</f>
        <v>-0.03868541238</v>
      </c>
      <c r="C886" s="7">
        <f>IFERROR(IF(OR(PRECIOS!C886="",PRECIOS!C885=""),"",PRECIOS!C886/PRECIOS!C885-1),"")</f>
        <v>0.004164256796</v>
      </c>
      <c r="D886" s="7">
        <f>IFERROR(IF(OR(PRECIOS!D886="",PRECIOS!D885=""),"",PRECIOS!D886/PRECIOS!D885-1),"")</f>
        <v>-0.005966231132</v>
      </c>
      <c r="E886" s="7">
        <f>IFERROR(IF(OR(PRECIOS!E886="",PRECIOS!E885=""),"",PRECIOS!E886/PRECIOS!E885-1),"")</f>
        <v>-0.02094720546</v>
      </c>
      <c r="F886" s="7">
        <f>IFERROR(IF(OR(PRECIOS!F886="",PRECIOS!F885=""),"",PRECIOS!F886/PRECIOS!F885-1),"")</f>
        <v>0.004432132964</v>
      </c>
      <c r="G886" s="7">
        <f>IFERROR(IF(OR(PRECIOS!G886="",PRECIOS!G885=""),"",PRECIOS!G886/PRECIOS!G885-1),"")</f>
        <v>-0.007603186097</v>
      </c>
      <c r="H886" s="7">
        <f>IFERROR(IF(OR(PRECIOS!H886="",PRECIOS!H885=""),"",PRECIOS!H886/PRECIOS!H885-1),"")</f>
        <v>-0.02411581754</v>
      </c>
      <c r="I886" s="7">
        <f>IFERROR(IF(OR(PRECIOS!I886="",PRECIOS!I885=""),"",PRECIOS!I886/PRECIOS!I885-1),"")</f>
        <v>-0.001764600711</v>
      </c>
    </row>
    <row r="887" ht="15.75" customHeight="1">
      <c r="A887" s="4">
        <f>IF(PRECIOS!A887="","",PRECIOS!A887)</f>
        <v>45701</v>
      </c>
      <c r="B887" s="7">
        <f>IFERROR(IF(OR(PRECIOS!B887="",PRECIOS!B886=""),"",PRECIOS!B887/PRECIOS!B886-1),"")</f>
        <v>0.007265952492</v>
      </c>
      <c r="C887" s="7">
        <f>IFERROR(IF(OR(PRECIOS!C887="",PRECIOS!C886=""),"",PRECIOS!C887/PRECIOS!C886-1),"")</f>
        <v>-0.0003455823062</v>
      </c>
      <c r="D887" s="7">
        <f>IFERROR(IF(OR(PRECIOS!D887="",PRECIOS!D886=""),"",PRECIOS!D887/PRECIOS!D886-1),"")</f>
        <v>-0.005761959066</v>
      </c>
      <c r="E887" s="7">
        <f>IFERROR(IF(OR(PRECIOS!E887="",PRECIOS!E886=""),"",PRECIOS!E887/PRECIOS!E886-1),"")</f>
        <v>-0.006680005163</v>
      </c>
      <c r="F887" s="7">
        <f>IFERROR(IF(OR(PRECIOS!F887="",PRECIOS!F886=""),"",PRECIOS!F887/PRECIOS!F886-1),"")</f>
        <v>0.02426916713</v>
      </c>
      <c r="G887" s="7">
        <f>IFERROR(IF(OR(PRECIOS!G887="",PRECIOS!G886=""),"",PRECIOS!G887/PRECIOS!G886-1),"")</f>
        <v>0.04815760671</v>
      </c>
      <c r="H887" s="7">
        <f>IFERROR(IF(OR(PRECIOS!H887="",PRECIOS!H886=""),"",PRECIOS!H887/PRECIOS!H886-1),"")</f>
        <v>0.007527732836</v>
      </c>
      <c r="I887" s="7">
        <f>IFERROR(IF(OR(PRECIOS!I887="",PRECIOS!I886=""),"",PRECIOS!I887/PRECIOS!I886-1),"")</f>
        <v>0.002271299599</v>
      </c>
    </row>
    <row r="888" ht="15.75" customHeight="1">
      <c r="A888" s="4">
        <f>IF(PRECIOS!A888="","",PRECIOS!A888)</f>
        <v>45702</v>
      </c>
      <c r="B888" s="7">
        <f>IFERROR(IF(OR(PRECIOS!B888="",PRECIOS!B887=""),"",PRECIOS!B888/PRECIOS!B887-1),"")</f>
        <v>0.001017293998</v>
      </c>
      <c r="C888" s="7">
        <f>IFERROR(IF(OR(PRECIOS!C888="",PRECIOS!C887=""),"",PRECIOS!C888/PRECIOS!C887-1),"")</f>
        <v>-0.01382807098</v>
      </c>
      <c r="D888" s="7">
        <f>IFERROR(IF(OR(PRECIOS!D888="",PRECIOS!D887=""),"",PRECIOS!D888/PRECIOS!D887-1),"")</f>
        <v>0.01213401751</v>
      </c>
      <c r="E888" s="7">
        <f>IFERROR(IF(OR(PRECIOS!E888="",PRECIOS!E887=""),"",PRECIOS!E888/PRECIOS!E887-1),"")</f>
        <v>0.004418309996</v>
      </c>
      <c r="F888" s="7">
        <f>IFERROR(IF(OR(PRECIOS!F888="",PRECIOS!F887=""),"",PRECIOS!F888/PRECIOS!F887-1),"")</f>
        <v>0.002154011847</v>
      </c>
      <c r="G888" s="7">
        <f>IFERROR(IF(OR(PRECIOS!G888="",PRECIOS!G887=""),"",PRECIOS!G888/PRECIOS!G887-1),"")</f>
        <v>-0.008353637313</v>
      </c>
      <c r="H888" s="7">
        <f>IFERROR(IF(OR(PRECIOS!H888="",PRECIOS!H887=""),"",PRECIOS!H888/PRECIOS!H887-1),"")</f>
        <v>0.004013362516</v>
      </c>
      <c r="I888" s="7">
        <f>IFERROR(IF(OR(PRECIOS!I888="",PRECIOS!I887=""),"",PRECIOS!I888/PRECIOS!I887-1),"")</f>
        <v>-0.004154181246</v>
      </c>
    </row>
    <row r="889" ht="15.75" customHeight="1">
      <c r="A889" s="4">
        <f>IF(PRECIOS!A889="","",PRECIOS!A889)</f>
        <v>45706</v>
      </c>
      <c r="B889" s="7">
        <f>IFERROR(IF(OR(PRECIOS!B889="",PRECIOS!B888=""),"",PRECIOS!B889/PRECIOS!B888-1),"")</f>
        <v>0.01755358463</v>
      </c>
      <c r="C889" s="7">
        <f>IFERROR(IF(OR(PRECIOS!C889="",PRECIOS!C888=""),"",PRECIOS!C889/PRECIOS!C888-1),"")</f>
        <v>0.003622341669</v>
      </c>
      <c r="D889" s="7">
        <f>IFERROR(IF(OR(PRECIOS!D889="",PRECIOS!D888=""),"",PRECIOS!D889/PRECIOS!D888-1),"")</f>
        <v>0.009662412024</v>
      </c>
      <c r="E889" s="7">
        <f>IFERROR(IF(OR(PRECIOS!E889="",PRECIOS!E888=""),"",PRECIOS!E889/PRECIOS!E888-1),"")</f>
        <v>0.01277614258</v>
      </c>
      <c r="F889" s="7">
        <f>IFERROR(IF(OR(PRECIOS!F889="",PRECIOS!F888=""),"",PRECIOS!F889/PRECIOS!F888-1),"")</f>
        <v>-0.001612036539</v>
      </c>
      <c r="G889" s="7">
        <f>IFERROR(IF(OR(PRECIOS!G889="",PRECIOS!G888=""),"",PRECIOS!G889/PRECIOS!G888-1),"")</f>
        <v>0.01439101439</v>
      </c>
      <c r="H889" s="7">
        <f>IFERROR(IF(OR(PRECIOS!H889="",PRECIOS!H888=""),"",PRECIOS!H889/PRECIOS!H888-1),"")</f>
        <v>0.01365330249</v>
      </c>
      <c r="I889" s="7">
        <f>IFERROR(IF(OR(PRECIOS!I889="",PRECIOS!I888=""),"",PRECIOS!I889/PRECIOS!I888-1),"")</f>
        <v>0.009354690219</v>
      </c>
    </row>
    <row r="890" ht="15.75" customHeight="1">
      <c r="A890" s="4">
        <f>IF(PRECIOS!A890="","",PRECIOS!A890)</f>
        <v>45707</v>
      </c>
      <c r="B890" s="7">
        <f>IFERROR(IF(OR(PRECIOS!B890="",PRECIOS!B889=""),"",PRECIOS!B890/PRECIOS!B889-1),"")</f>
        <v>0.001452696568</v>
      </c>
      <c r="C890" s="7">
        <f>IFERROR(IF(OR(PRECIOS!C890="",PRECIOS!C889=""),"",PRECIOS!C890/PRECIOS!C889-1),"")</f>
        <v>0.006869251368</v>
      </c>
      <c r="D890" s="7">
        <f>IFERROR(IF(OR(PRECIOS!D890="",PRECIOS!D889=""),"",PRECIOS!D890/PRECIOS!D889-1),"")</f>
        <v>0.0004135160681</v>
      </c>
      <c r="E890" s="7">
        <f>IFERROR(IF(OR(PRECIOS!E890="",PRECIOS!E889=""),"",PRECIOS!E890/PRECIOS!E889-1),"")</f>
        <v>-0.01178461932</v>
      </c>
      <c r="F890" s="7">
        <f>IFERROR(IF(OR(PRECIOS!F890="",PRECIOS!F889=""),"",PRECIOS!F890/PRECIOS!F889-1),"")</f>
        <v>-0.001345532831</v>
      </c>
      <c r="G890" s="7">
        <f>IFERROR(IF(OR(PRECIOS!G890="",PRECIOS!G889=""),"",PRECIOS!G890/PRECIOS!G889-1),"")</f>
        <v>0.008131487889</v>
      </c>
      <c r="H890" s="7">
        <f>IFERROR(IF(OR(PRECIOS!H890="",PRECIOS!H889=""),"",PRECIOS!H890/PRECIOS!H889-1),"")</f>
        <v>0.007889220405</v>
      </c>
      <c r="I890" s="7">
        <f>IFERROR(IF(OR(PRECIOS!I890="",PRECIOS!I889=""),"",PRECIOS!I890/PRECIOS!I889-1),"")</f>
        <v>0.005261394965</v>
      </c>
    </row>
    <row r="891" ht="15.75" customHeight="1">
      <c r="A891" s="4">
        <f>IF(PRECIOS!A891="","",PRECIOS!A891)</f>
        <v>45708</v>
      </c>
      <c r="B891" s="7">
        <f>IFERROR(IF(OR(PRECIOS!B891="",PRECIOS!B890=""),"",PRECIOS!B891/PRECIOS!B890-1),"")</f>
        <v>0.01541251133</v>
      </c>
      <c r="C891" s="7">
        <f>IFERROR(IF(OR(PRECIOS!C891="",PRECIOS!C890=""),"",PRECIOS!C891/PRECIOS!C890-1),"")</f>
        <v>0.01549491212</v>
      </c>
      <c r="D891" s="7">
        <f>IFERROR(IF(OR(PRECIOS!D891="",PRECIOS!D890=""),"",PRECIOS!D891/PRECIOS!D890-1),"")</f>
        <v>-0.03643342191</v>
      </c>
      <c r="E891" s="7">
        <f>IFERROR(IF(OR(PRECIOS!E891="",PRECIOS!E890=""),"",PRECIOS!E891/PRECIOS!E890-1),"")</f>
        <v>-0.001971366707</v>
      </c>
      <c r="F891" s="7">
        <f>IFERROR(IF(OR(PRECIOS!F891="",PRECIOS!F890=""),"",PRECIOS!F891/PRECIOS!F890-1),"")</f>
        <v>0.03449205066</v>
      </c>
      <c r="G891" s="7">
        <f>IFERROR(IF(OR(PRECIOS!G891="",PRECIOS!G890=""),"",PRECIOS!G891/PRECIOS!G890-1),"")</f>
        <v>0.003089068131</v>
      </c>
      <c r="H891" s="7">
        <f>IFERROR(IF(OR(PRECIOS!H891="",PRECIOS!H890=""),"",PRECIOS!H891/PRECIOS!H890-1),"")</f>
        <v>0.009125681955</v>
      </c>
      <c r="I891" s="7">
        <f>IFERROR(IF(OR(PRECIOS!I891="",PRECIOS!I890=""),"",PRECIOS!I891/PRECIOS!I890-1),"")</f>
        <v>-0.0001255920769</v>
      </c>
    </row>
    <row r="892" ht="15.75" customHeight="1">
      <c r="A892" s="4">
        <f>IF(PRECIOS!A892="","",PRECIOS!A892)</f>
        <v>45709</v>
      </c>
      <c r="B892" s="7">
        <f>IFERROR(IF(OR(PRECIOS!B892="",PRECIOS!B891=""),"",PRECIOS!B892/PRECIOS!B891-1),"")</f>
        <v>-0.01169642857</v>
      </c>
      <c r="C892" s="7">
        <f>IFERROR(IF(OR(PRECIOS!C892="",PRECIOS!C891=""),"",PRECIOS!C892/PRECIOS!C891-1),"")</f>
        <v>0.006604418128</v>
      </c>
      <c r="D892" s="7">
        <f>IFERROR(IF(OR(PRECIOS!D892="",PRECIOS!D891=""),"",PRECIOS!D892/PRECIOS!D891-1),"")</f>
        <v>-0.0780732933</v>
      </c>
      <c r="E892" s="7">
        <f>IFERROR(IF(OR(PRECIOS!E892="",PRECIOS!E891=""),"",PRECIOS!E892/PRECIOS!E891-1),"")</f>
        <v>-0.03707661421</v>
      </c>
      <c r="F892" s="7">
        <f>IFERROR(IF(OR(PRECIOS!F892="",PRECIOS!F891=""),"",PRECIOS!F892/PRECIOS!F891-1),"")</f>
        <v>-0.03464443866</v>
      </c>
      <c r="G892" s="7">
        <f>IFERROR(IF(OR(PRECIOS!G892="",PRECIOS!G891=""),"",PRECIOS!G892/PRECIOS!G891-1),"")</f>
        <v>-0.01727972626</v>
      </c>
      <c r="H892" s="7">
        <f>IFERROR(IF(OR(PRECIOS!H892="",PRECIOS!H891=""),"",PRECIOS!H892/PRECIOS!H891-1),"")</f>
        <v>-0.02078167776</v>
      </c>
      <c r="I892" s="7">
        <f>IFERROR(IF(OR(PRECIOS!I892="",PRECIOS!I891=""),"",PRECIOS!I892/PRECIOS!I891-1),"")</f>
        <v>0.0002512157046</v>
      </c>
    </row>
    <row r="893" ht="15.75" customHeight="1">
      <c r="A893" s="4">
        <f>IF(PRECIOS!A893="","",PRECIOS!A893)</f>
        <v>45712</v>
      </c>
      <c r="B893" s="7">
        <f>IFERROR(IF(OR(PRECIOS!B893="",PRECIOS!B892=""),"",PRECIOS!B893/PRECIOS!B892-1),"")</f>
        <v>0.005239859066</v>
      </c>
      <c r="C893" s="7">
        <f>IFERROR(IF(OR(PRECIOS!C893="",PRECIOS!C892=""),"",PRECIOS!C893/PRECIOS!C892-1),"")</f>
        <v>0.005542986425</v>
      </c>
      <c r="D893" s="7">
        <f>IFERROR(IF(OR(PRECIOS!D893="",PRECIOS!D892=""),"",PRECIOS!D893/PRECIOS!D892-1),"")</f>
        <v>-0.05105025259</v>
      </c>
      <c r="E893" s="7">
        <f>IFERROR(IF(OR(PRECIOS!E893="",PRECIOS!E892=""),"",PRECIOS!E893/PRECIOS!E892-1),"")</f>
        <v>-0.0252883613</v>
      </c>
      <c r="F893" s="7">
        <f>IFERROR(IF(OR(PRECIOS!F893="",PRECIOS!F892=""),"",PRECIOS!F893/PRECIOS!F892-1),"")</f>
        <v>-0.01834862385</v>
      </c>
      <c r="G893" s="7">
        <f>IFERROR(IF(OR(PRECIOS!G893="",PRECIOS!G892=""),"",PRECIOS!G893/PRECIOS!G892-1),"")</f>
        <v>-0.001915041783</v>
      </c>
      <c r="H893" s="7">
        <f>IFERROR(IF(OR(PRECIOS!H893="",PRECIOS!H892=""),"",PRECIOS!H893/PRECIOS!H892-1),"")</f>
        <v>0.0002182051265</v>
      </c>
      <c r="I893" s="7">
        <f>IFERROR(IF(OR(PRECIOS!I893="",PRECIOS!I892=""),"",PRECIOS!I893/PRECIOS!I892-1),"")</f>
        <v>-0.004982047714</v>
      </c>
    </row>
    <row r="894" ht="15.75" customHeight="1">
      <c r="A894" s="4">
        <f>IF(PRECIOS!A894="","",PRECIOS!A894)</f>
        <v>45713</v>
      </c>
      <c r="B894" s="7">
        <f>IFERROR(IF(OR(PRECIOS!B894="",PRECIOS!B893=""),"",PRECIOS!B894/PRECIOS!B893-1),"")</f>
        <v>-0.0138402085</v>
      </c>
      <c r="C894" s="7">
        <f>IFERROR(IF(OR(PRECIOS!C894="",PRECIOS!C893=""),"",PRECIOS!C894/PRECIOS!C893-1),"")</f>
        <v>0.010799865</v>
      </c>
      <c r="D894" s="7">
        <f>IFERROR(IF(OR(PRECIOS!D894="",PRECIOS!D893=""),"",PRECIOS!D894/PRECIOS!D893-1),"")</f>
        <v>-0.03390305408</v>
      </c>
      <c r="E894" s="7">
        <f>IFERROR(IF(OR(PRECIOS!E894="",PRECIOS!E893=""),"",PRECIOS!E894/PRECIOS!E893-1),"")</f>
        <v>-0.007935138865</v>
      </c>
      <c r="F894" s="7">
        <f>IFERROR(IF(OR(PRECIOS!F894="",PRECIOS!F893=""),"",PRECIOS!F894/PRECIOS!F893-1),"")</f>
        <v>-0.02638812534</v>
      </c>
      <c r="G894" s="7">
        <f>IFERROR(IF(OR(PRECIOS!G894="",PRECIOS!G893=""),"",PRECIOS!G894/PRECIOS!G893-1),"")</f>
        <v>-0.02005930577</v>
      </c>
      <c r="H894" s="7">
        <f>IFERROR(IF(OR(PRECIOS!H894="",PRECIOS!H893=""),"",PRECIOS!H894/PRECIOS!H893-1),"")</f>
        <v>-0.01440294149</v>
      </c>
      <c r="I894" s="7">
        <f>IFERROR(IF(OR(PRECIOS!I894="",PRECIOS!I893=""),"",PRECIOS!I894/PRECIOS!I893-1),"")</f>
        <v>-0.005009568404</v>
      </c>
    </row>
    <row r="895" ht="15.75" customHeight="1">
      <c r="A895" s="4">
        <f>IF(PRECIOS!A895="","",PRECIOS!A895)</f>
        <v>45714</v>
      </c>
      <c r="B895" s="7">
        <f>IFERROR(IF(OR(PRECIOS!B895="",PRECIOS!B894=""),"",PRECIOS!B895/PRECIOS!B894-1),"")</f>
        <v>-0.002460585072</v>
      </c>
      <c r="C895" s="7">
        <f>IFERROR(IF(OR(PRECIOS!C895="",PRECIOS!C894=""),"",PRECIOS!C895/PRECIOS!C894-1),"")</f>
        <v>-0.0122426266</v>
      </c>
      <c r="D895" s="7">
        <f>IFERROR(IF(OR(PRECIOS!D895="",PRECIOS!D894=""),"",PRECIOS!D895/PRECIOS!D894-1),"")</f>
        <v>0.07446345708</v>
      </c>
      <c r="E895" s="7">
        <f>IFERROR(IF(OR(PRECIOS!E895="",PRECIOS!E894=""),"",PRECIOS!E895/PRECIOS!E894-1),"")</f>
        <v>0.03408102939</v>
      </c>
      <c r="F895" s="7">
        <f>IFERROR(IF(OR(PRECIOS!F895="",PRECIOS!F894=""),"",PRECIOS!F895/PRECIOS!F894-1),"")</f>
        <v>0.007340485601</v>
      </c>
      <c r="G895" s="7">
        <f>IFERROR(IF(OR(PRECIOS!G895="",PRECIOS!G894=""),"",PRECIOS!G895/PRECIOS!G894-1),"")</f>
        <v>0.01281594874</v>
      </c>
      <c r="H895" s="7">
        <f>IFERROR(IF(OR(PRECIOS!H895="",PRECIOS!H894=""),"",PRECIOS!H895/PRECIOS!H894-1),"")</f>
        <v>-0.005688119508</v>
      </c>
      <c r="I895" s="7">
        <f>IFERROR(IF(OR(PRECIOS!I895="",PRECIOS!I894=""),"",PRECIOS!I895/PRECIOS!I894-1),"")</f>
        <v>0.004152084326</v>
      </c>
    </row>
    <row r="896" ht="15.75" customHeight="1">
      <c r="A896" s="4">
        <f>IF(PRECIOS!A896="","",PRECIOS!A896)</f>
        <v>45715</v>
      </c>
      <c r="B896" s="7">
        <f>IFERROR(IF(OR(PRECIOS!B896="",PRECIOS!B895=""),"",PRECIOS!B896/PRECIOS!B895-1),"")</f>
        <v>0.006303672574</v>
      </c>
      <c r="C896" s="7">
        <f>IFERROR(IF(OR(PRECIOS!C896="",PRECIOS!C895=""),"",PRECIOS!C896/PRECIOS!C895-1),"")</f>
        <v>-0.005183098592</v>
      </c>
      <c r="D896" s="7">
        <f>IFERROR(IF(OR(PRECIOS!D896="",PRECIOS!D895=""),"",PRECIOS!D896/PRECIOS!D895-1),"")</f>
        <v>-0.1226803428</v>
      </c>
      <c r="E896" s="7">
        <f>IFERROR(IF(OR(PRECIOS!E896="",PRECIOS!E895=""),"",PRECIOS!E896/PRECIOS!E895-1),"")</f>
        <v>-0.02344039011</v>
      </c>
      <c r="F896" s="7">
        <f>IFERROR(IF(OR(PRECIOS!F896="",PRECIOS!F895=""),"",PRECIOS!F896/PRECIOS!F895-1),"")</f>
        <v>-0.03447309417</v>
      </c>
      <c r="G896" s="7">
        <f>IFERROR(IF(OR(PRECIOS!G896="",PRECIOS!G895=""),"",PRECIOS!G896/PRECIOS!G895-1),"")</f>
        <v>-0.01124780316</v>
      </c>
      <c r="H896" s="7">
        <f>IFERROR(IF(OR(PRECIOS!H896="",PRECIOS!H895=""),"",PRECIOS!H896/PRECIOS!H895-1),"")</f>
        <v>0.00538442274</v>
      </c>
      <c r="I896" s="7">
        <f>IFERROR(IF(OR(PRECIOS!I896="",PRECIOS!I895=""),"",PRECIOS!I896/PRECIOS!I895-1),"")</f>
        <v>-0.0221800596</v>
      </c>
    </row>
    <row r="897" ht="15.75" customHeight="1">
      <c r="A897" s="4">
        <f>IF(PRECIOS!A897="","",PRECIOS!A897)</f>
        <v>45716</v>
      </c>
      <c r="B897" s="7">
        <f>IFERROR(IF(OR(PRECIOS!B897="",PRECIOS!B896=""),"",PRECIOS!B897/PRECIOS!B896-1),"")</f>
        <v>0.01071266455</v>
      </c>
      <c r="C897" s="7">
        <f>IFERROR(IF(OR(PRECIOS!C897="",PRECIOS!C896=""),"",PRECIOS!C897/PRECIOS!C896-1),"")</f>
        <v>0.01698946653</v>
      </c>
      <c r="D897" s="7">
        <f>IFERROR(IF(OR(PRECIOS!D897="",PRECIOS!D896=""),"",PRECIOS!D897/PRECIOS!D896-1),"")</f>
        <v>0.02807476348</v>
      </c>
      <c r="E897" s="7">
        <f>IFERROR(IF(OR(PRECIOS!E897="",PRECIOS!E896=""),"",PRECIOS!E897/PRECIOS!E896-1),"")</f>
        <v>0.01012466423</v>
      </c>
      <c r="F897" s="7">
        <f>IFERROR(IF(OR(PRECIOS!F897="",PRECIOS!F896=""),"",PRECIOS!F897/PRECIOS!F896-1),"")</f>
        <v>0.01741654572</v>
      </c>
      <c r="G897" s="7">
        <f>IFERROR(IF(OR(PRECIOS!G897="",PRECIOS!G896=""),"",PRECIOS!G897/PRECIOS!G896-1),"")</f>
        <v>0.03412726626</v>
      </c>
      <c r="H897" s="7">
        <f>IFERROR(IF(OR(PRECIOS!H897="",PRECIOS!H896=""),"",PRECIOS!H897/PRECIOS!H896-1),"")</f>
        <v>0.01551090261</v>
      </c>
      <c r="I897" s="7">
        <f>IFERROR(IF(OR(PRECIOS!I897="",PRECIOS!I896=""),"",PRECIOS!I897/PRECIOS!I896-1),"")</f>
        <v>0.01525129709</v>
      </c>
    </row>
    <row r="898" ht="15.75" customHeight="1">
      <c r="A898" s="4">
        <f>IF(PRECIOS!A898="","",PRECIOS!A898)</f>
        <v>45719</v>
      </c>
      <c r="B898" s="7">
        <f>IFERROR(IF(OR(PRECIOS!B898="",PRECIOS!B897=""),"",PRECIOS!B898/PRECIOS!B897-1),"")</f>
        <v>-0.03206682835</v>
      </c>
      <c r="C898" s="7">
        <f>IFERROR(IF(OR(PRECIOS!C898="",PRECIOS!C897=""),"",PRECIOS!C898/PRECIOS!C897-1),"")</f>
        <v>0.01180532353</v>
      </c>
      <c r="D898" s="7">
        <f>IFERROR(IF(OR(PRECIOS!D898="",PRECIOS!D897=""),"",PRECIOS!D898/PRECIOS!D897-1),"")</f>
        <v>-0.07264701481</v>
      </c>
      <c r="E898" s="7">
        <f>IFERROR(IF(OR(PRECIOS!E898="",PRECIOS!E897=""),"",PRECIOS!E898/PRECIOS!E897-1),"")</f>
        <v>-0.0506613937</v>
      </c>
      <c r="F898" s="7">
        <f>IFERROR(IF(OR(PRECIOS!F898="",PRECIOS!F897=""),"",PRECIOS!F898/PRECIOS!F897-1),"")</f>
        <v>-0.02168330956</v>
      </c>
      <c r="G898" s="7">
        <f>IFERROR(IF(OR(PRECIOS!G898="",PRECIOS!G897=""),"",PRECIOS!G898/PRECIOS!G897-1),"")</f>
        <v>-0.009969061533</v>
      </c>
      <c r="H898" s="7">
        <f>IFERROR(IF(OR(PRECIOS!H898="",PRECIOS!H897=""),"",PRECIOS!H898/PRECIOS!H897-1),"")</f>
        <v>-0.03494279919</v>
      </c>
      <c r="I898" s="7">
        <f>IFERROR(IF(OR(PRECIOS!I898="",PRECIOS!I897=""),"",PRECIOS!I898/PRECIOS!I897-1),"")</f>
        <v>0.00138666362</v>
      </c>
    </row>
    <row r="899" ht="15.75" customHeight="1">
      <c r="A899" s="4">
        <f>IF(PRECIOS!A899="","",PRECIOS!A899)</f>
        <v>45720</v>
      </c>
      <c r="B899" s="7">
        <f>IFERROR(IF(OR(PRECIOS!B899="",PRECIOS!B898=""),"",PRECIOS!B899/PRECIOS!B898-1),"")</f>
        <v>-0.002041573868</v>
      </c>
      <c r="C899" s="7">
        <f>IFERROR(IF(OR(PRECIOS!C899="",PRECIOS!C898=""),"",PRECIOS!C899/PRECIOS!C898-1),"")</f>
        <v>-0.01056686846</v>
      </c>
      <c r="D899" s="7">
        <f>IFERROR(IF(OR(PRECIOS!D899="",PRECIOS!D898=""),"",PRECIOS!D899/PRECIOS!D898-1),"")</f>
        <v>0.02412263009</v>
      </c>
      <c r="E899" s="7">
        <f>IFERROR(IF(OR(PRECIOS!E899="",PRECIOS!E898=""),"",PRECIOS!E899/PRECIOS!E898-1),"")</f>
        <v>0.002729296847</v>
      </c>
      <c r="F899" s="7">
        <f>IFERROR(IF(OR(PRECIOS!F899="",PRECIOS!F898=""),"",PRECIOS!F899/PRECIOS!F898-1),"")</f>
        <v>-0.02303878682</v>
      </c>
      <c r="G899" s="7">
        <f>IFERROR(IF(OR(PRECIOS!G899="",PRECIOS!G898=""),"",PRECIOS!G899/PRECIOS!G898-1),"")</f>
        <v>-0.01388888889</v>
      </c>
      <c r="H899" s="7">
        <f>IFERROR(IF(OR(PRECIOS!H899="",PRECIOS!H898=""),"",PRECIOS!H899/PRECIOS!H898-1),"")</f>
        <v>-0.009679788</v>
      </c>
      <c r="I899" s="7">
        <f>IFERROR(IF(OR(PRECIOS!I899="",PRECIOS!I898=""),"",PRECIOS!I899/PRECIOS!I898-1),"")</f>
        <v>-0.01626165946</v>
      </c>
    </row>
    <row r="900" ht="15.75" customHeight="1">
      <c r="A900" s="4">
        <f>IF(PRECIOS!A900="","",PRECIOS!A900)</f>
        <v>45721</v>
      </c>
      <c r="B900" s="7">
        <f>IFERROR(IF(OR(PRECIOS!B900="",PRECIOS!B899=""),"",PRECIOS!B900/PRECIOS!B899-1),"")</f>
        <v>-0.01952761763</v>
      </c>
      <c r="C900" s="7">
        <f>IFERROR(IF(OR(PRECIOS!C900="",PRECIOS!C899=""),"",PRECIOS!C900/PRECIOS!C899-1),"")</f>
        <v>-0.01379463789</v>
      </c>
      <c r="D900" s="7">
        <f>IFERROR(IF(OR(PRECIOS!D900="",PRECIOS!D899=""),"",PRECIOS!D900/PRECIOS!D899-1),"")</f>
        <v>-0.000551441626</v>
      </c>
      <c r="E900" s="7">
        <f>IFERROR(IF(OR(PRECIOS!E900="",PRECIOS!E899=""),"",PRECIOS!E900/PRECIOS!E899-1),"")</f>
        <v>0.03047775947</v>
      </c>
      <c r="F900" s="7">
        <f>IFERROR(IF(OR(PRECIOS!F900="",PRECIOS!F899=""),"",PRECIOS!F900/PRECIOS!F899-1),"")</f>
        <v>0.01910447761</v>
      </c>
      <c r="G900" s="7">
        <f>IFERROR(IF(OR(PRECIOS!G900="",PRECIOS!G899=""),"",PRECIOS!G900/PRECIOS!G899-1),"")</f>
        <v>-0.01021126761</v>
      </c>
      <c r="H900" s="7">
        <f>IFERROR(IF(OR(PRECIOS!H900="",PRECIOS!H899=""),"",PRECIOS!H900/PRECIOS!H899-1),"")</f>
        <v>-0.01460337981</v>
      </c>
      <c r="I900" s="7">
        <f>IFERROR(IF(OR(PRECIOS!I900="",PRECIOS!I899=""),"",PRECIOS!I900/PRECIOS!I899-1),"")</f>
        <v>-0.007046077604</v>
      </c>
    </row>
    <row r="901" ht="15.75" customHeight="1">
      <c r="A901" s="4">
        <f>IF(PRECIOS!A901="","",PRECIOS!A901)</f>
        <v>45722</v>
      </c>
      <c r="B901" s="7">
        <f>IFERROR(IF(OR(PRECIOS!B901="",PRECIOS!B900=""),"",PRECIOS!B901/PRECIOS!B900-1),"")</f>
        <v>0.02067526555</v>
      </c>
      <c r="C901" s="7">
        <f>IFERROR(IF(OR(PRECIOS!C901="",PRECIOS!C900=""),"",PRECIOS!C901/PRECIOS!C900-1),"")</f>
        <v>0.0007896221094</v>
      </c>
      <c r="D901" s="7">
        <f>IFERROR(IF(OR(PRECIOS!D901="",PRECIOS!D900=""),"",PRECIOS!D901/PRECIOS!D900-1),"")</f>
        <v>-0.09821076693</v>
      </c>
      <c r="E901" s="7">
        <f>IFERROR(IF(OR(PRECIOS!E901="",PRECIOS!E900=""),"",PRECIOS!E901/PRECIOS!E900-1),"")</f>
        <v>-0.03538039134</v>
      </c>
      <c r="F901" s="7">
        <f>IFERROR(IF(OR(PRECIOS!F901="",PRECIOS!F900=""),"",PRECIOS!F901/PRECIOS!F900-1),"")</f>
        <v>-0.02138254247</v>
      </c>
      <c r="G901" s="7">
        <f>IFERROR(IF(OR(PRECIOS!G901="",PRECIOS!G900=""),"",PRECIOS!G901/PRECIOS!G900-1),"")</f>
        <v>-0.02863749555</v>
      </c>
      <c r="H901" s="7">
        <f>IFERROR(IF(OR(PRECIOS!H901="",PRECIOS!H900=""),"",PRECIOS!H901/PRECIOS!H900-1),"")</f>
        <v>0.003033898632</v>
      </c>
      <c r="I901" s="7">
        <f>IFERROR(IF(OR(PRECIOS!I901="",PRECIOS!I900=""),"",PRECIOS!I901/PRECIOS!I900-1),"")</f>
        <v>-0.02077586962</v>
      </c>
    </row>
    <row r="902" ht="15.75" customHeight="1">
      <c r="A902" s="4">
        <f>IF(PRECIOS!A902="","",PRECIOS!A902)</f>
        <v>45723</v>
      </c>
      <c r="B902" s="7">
        <f>IFERROR(IF(OR(PRECIOS!B902="",PRECIOS!B901=""),"",PRECIOS!B902/PRECIOS!B901-1),"")</f>
        <v>0.01300873444</v>
      </c>
      <c r="C902" s="7">
        <f>IFERROR(IF(OR(PRECIOS!C902="",PRECIOS!C901=""),"",PRECIOS!C902/PRECIOS!C901-1),"")</f>
        <v>0.03020739405</v>
      </c>
      <c r="D902" s="7">
        <f>IFERROR(IF(OR(PRECIOS!D902="",PRECIOS!D901=""),"",PRECIOS!D902/PRECIOS!D901-1),"")</f>
        <v>-0.0007866445241</v>
      </c>
      <c r="E902" s="7">
        <f>IFERROR(IF(OR(PRECIOS!E902="",PRECIOS!E901=""),"",PRECIOS!E902/PRECIOS!E901-1),"")</f>
        <v>0.02676995136</v>
      </c>
      <c r="F902" s="7">
        <f>IFERROR(IF(OR(PRECIOS!F902="",PRECIOS!F901=""),"",PRECIOS!F902/PRECIOS!F901-1),"")</f>
        <v>-0.0005986231667</v>
      </c>
      <c r="G902" s="7">
        <f>IFERROR(IF(OR(PRECIOS!G902="",PRECIOS!G901=""),"",PRECIOS!G902/PRECIOS!G901-1),"")</f>
        <v>-0.004211682842</v>
      </c>
      <c r="H902" s="7">
        <f>IFERROR(IF(OR(PRECIOS!H902="",PRECIOS!H901=""),"",PRECIOS!H902/PRECIOS!H901-1),"")</f>
        <v>0.01710001779</v>
      </c>
      <c r="I902" s="7">
        <f>IFERROR(IF(OR(PRECIOS!I902="",PRECIOS!I901=""),"",PRECIOS!I902/PRECIOS!I901-1),"")</f>
        <v>0.01858152529</v>
      </c>
    </row>
    <row r="903" ht="15.75" customHeight="1">
      <c r="A903" s="4">
        <f>IF(PRECIOS!A903="","",PRECIOS!A903)</f>
        <v>45726</v>
      </c>
      <c r="B903" s="7">
        <f>IFERROR(IF(OR(PRECIOS!B903="",PRECIOS!B902=""),"",PRECIOS!B903/PRECIOS!B902-1),"")</f>
        <v>0.02549990827</v>
      </c>
      <c r="C903" s="7">
        <f>IFERROR(IF(OR(PRECIOS!C903="",PRECIOS!C902=""),"",PRECIOS!C903/PRECIOS!C902-1),"")</f>
        <v>0.0170678337</v>
      </c>
      <c r="D903" s="7">
        <f>IFERROR(IF(OR(PRECIOS!D903="",PRECIOS!D902=""),"",PRECIOS!D903/PRECIOS!D902-1),"")</f>
        <v>-0.05099720084</v>
      </c>
      <c r="E903" s="7">
        <f>IFERROR(IF(OR(PRECIOS!E903="",PRECIOS!E902=""),"",PRECIOS!E903/PRECIOS!E902-1),"")</f>
        <v>-0.02586146396</v>
      </c>
      <c r="F903" s="7">
        <f>IFERROR(IF(OR(PRECIOS!F903="",PRECIOS!F902=""),"",PRECIOS!F903/PRECIOS!F902-1),"")</f>
        <v>-0.05480682839</v>
      </c>
      <c r="G903" s="7">
        <f>IFERROR(IF(OR(PRECIOS!G903="",PRECIOS!G902=""),"",PRECIOS!G903/PRECIOS!G902-1),"")</f>
        <v>-0.006620080912</v>
      </c>
      <c r="H903" s="7">
        <f>IFERROR(IF(OR(PRECIOS!H903="",PRECIOS!H902=""),"",PRECIOS!H903/PRECIOS!H902-1),"")</f>
        <v>0.007434671811</v>
      </c>
      <c r="I903" s="7">
        <f>IFERROR(IF(OR(PRECIOS!I903="",PRECIOS!I902=""),"",PRECIOS!I903/PRECIOS!I902-1),"")</f>
        <v>0.01099503613</v>
      </c>
    </row>
    <row r="904" ht="15.75" customHeight="1">
      <c r="A904" s="4">
        <f>IF(PRECIOS!A904="","",PRECIOS!A904)</f>
        <v>45727</v>
      </c>
      <c r="B904" s="7">
        <f>IFERROR(IF(OR(PRECIOS!B904="",PRECIOS!B903=""),"",PRECIOS!B904/PRECIOS!B903-1),"")</f>
        <v>-0.02361359571</v>
      </c>
      <c r="C904" s="7">
        <f>IFERROR(IF(OR(PRECIOS!C904="",PRECIOS!C903=""),"",PRECIOS!C904/PRECIOS!C903-1),"")</f>
        <v>-0.03076592083</v>
      </c>
      <c r="D904" s="7">
        <f>IFERROR(IF(OR(PRECIOS!D904="",PRECIOS!D903=""),"",PRECIOS!D904/PRECIOS!D903-1),"")</f>
        <v>0.05410636925</v>
      </c>
      <c r="E904" s="7">
        <f>IFERROR(IF(OR(PRECIOS!E904="",PRECIOS!E903=""),"",PRECIOS!E904/PRECIOS!E903-1),"")</f>
        <v>0.01693022586</v>
      </c>
      <c r="F904" s="7">
        <f>IFERROR(IF(OR(PRECIOS!F904="",PRECIOS!F903=""),"",PRECIOS!F904/PRECIOS!F903-1),"")</f>
        <v>0.01045627376</v>
      </c>
      <c r="G904" s="7">
        <f>IFERROR(IF(OR(PRECIOS!G904="",PRECIOS!G903=""),"",PRECIOS!G904/PRECIOS!G903-1),"")</f>
        <v>0.01721584598</v>
      </c>
      <c r="H904" s="7">
        <f>IFERROR(IF(OR(PRECIOS!H904="",PRECIOS!H903=""),"",PRECIOS!H904/PRECIOS!H903-1),"")</f>
        <v>-0.007947663218</v>
      </c>
      <c r="I904" s="7">
        <f>IFERROR(IF(OR(PRECIOS!I904="",PRECIOS!I903=""),"",PRECIOS!I904/PRECIOS!I903-1),"")</f>
        <v>-0.009340627517</v>
      </c>
    </row>
    <row r="905" ht="15.75" customHeight="1">
      <c r="A905" s="4">
        <f>IF(PRECIOS!A905="","",PRECIOS!A905)</f>
        <v>45728</v>
      </c>
      <c r="B905" s="7">
        <f>IFERROR(IF(OR(PRECIOS!B905="",PRECIOS!B904=""),"",PRECIOS!B905/PRECIOS!B904-1),"")</f>
        <v>-0.0002748259436</v>
      </c>
      <c r="C905" s="7">
        <f>IFERROR(IF(OR(PRECIOS!C905="",PRECIOS!C904=""),"",PRECIOS!C905/PRECIOS!C904-1),"")</f>
        <v>-0.01576026637</v>
      </c>
      <c r="D905" s="7">
        <f>IFERROR(IF(OR(PRECIOS!D905="",PRECIOS!D904=""),"",PRECIOS!D905/PRECIOS!D904-1),"")</f>
        <v>0.06610703043</v>
      </c>
      <c r="E905" s="7">
        <f>IFERROR(IF(OR(PRECIOS!E905="",PRECIOS!E904=""),"",PRECIOS!E905/PRECIOS!E904-1),"")</f>
        <v>0.03446565832</v>
      </c>
      <c r="F905" s="7">
        <f>IFERROR(IF(OR(PRECIOS!F905="",PRECIOS!F904=""),"",PRECIOS!F905/PRECIOS!F904-1),"")</f>
        <v>0.06271558482</v>
      </c>
      <c r="G905" s="7">
        <f>IFERROR(IF(OR(PRECIOS!G905="",PRECIOS!G904=""),"",PRECIOS!G905/PRECIOS!G904-1),"")</f>
        <v>0.0245677889</v>
      </c>
      <c r="H905" s="7">
        <f>IFERROR(IF(OR(PRECIOS!H905="",PRECIOS!H904=""),"",PRECIOS!H905/PRECIOS!H904-1),"")</f>
        <v>0.004576891782</v>
      </c>
      <c r="I905" s="7">
        <f>IFERROR(IF(OR(PRECIOS!I905="",PRECIOS!I904=""),"",PRECIOS!I905/PRECIOS!I904-1),"")</f>
        <v>-0.003098608018</v>
      </c>
    </row>
    <row r="906" ht="15.75" customHeight="1">
      <c r="A906" s="4">
        <f>IF(PRECIOS!A906="","",PRECIOS!A906)</f>
        <v>45729</v>
      </c>
      <c r="B906" s="7">
        <f>IFERROR(IF(OR(PRECIOS!B906="",PRECIOS!B905=""),"",PRECIOS!B906/PRECIOS!B905-1),"")</f>
        <v>-0.004215156236</v>
      </c>
      <c r="C906" s="7">
        <f>IFERROR(IF(OR(PRECIOS!C906="",PRECIOS!C905=""),"",PRECIOS!C906/PRECIOS!C905-1),"")</f>
        <v>0.01071267479</v>
      </c>
      <c r="D906" s="7">
        <f>IFERROR(IF(OR(PRECIOS!D906="",PRECIOS!D905=""),"",PRECIOS!D906/PRECIOS!D905-1),"")</f>
        <v>-0.03215223097</v>
      </c>
      <c r="E906" s="7">
        <f>IFERROR(IF(OR(PRECIOS!E906="",PRECIOS!E905=""),"",PRECIOS!E906/PRECIOS!E905-1),"")</f>
        <v>-0.02855773182</v>
      </c>
      <c r="F906" s="7">
        <f>IFERROR(IF(OR(PRECIOS!F906="",PRECIOS!F905=""),"",PRECIOS!F906/PRECIOS!F905-1),"")</f>
        <v>-0.005311301269</v>
      </c>
      <c r="G906" s="7">
        <f>IFERROR(IF(OR(PRECIOS!G906="",PRECIOS!G905=""),"",PRECIOS!G906/PRECIOS!G905-1),"")</f>
        <v>-0.002131438721</v>
      </c>
      <c r="H906" s="7">
        <f>IFERROR(IF(OR(PRECIOS!H906="",PRECIOS!H905=""),"",PRECIOS!H906/PRECIOS!H905-1),"")</f>
        <v>-0.006835236196</v>
      </c>
      <c r="I906" s="7">
        <f>IFERROR(IF(OR(PRECIOS!I906="",PRECIOS!I905=""),"",PRECIOS!I906/PRECIOS!I905-1),"")</f>
        <v>0.002460467249</v>
      </c>
    </row>
    <row r="907" ht="15.75" customHeight="1">
      <c r="A907" s="4">
        <f>IF(PRECIOS!A907="","",PRECIOS!A907)</f>
        <v>45730</v>
      </c>
      <c r="B907" s="7">
        <f>IFERROR(IF(OR(PRECIOS!B907="",PRECIOS!B906=""),"",PRECIOS!B907/PRECIOS!B906-1),"")</f>
        <v>0.02972301463</v>
      </c>
      <c r="C907" s="7">
        <f>IFERROR(IF(OR(PRECIOS!C907="",PRECIOS!C906=""),"",PRECIOS!C907/PRECIOS!C906-1),"")</f>
        <v>0.008367734018</v>
      </c>
      <c r="D907" s="7">
        <f>IFERROR(IF(OR(PRECIOS!D907="",PRECIOS!D906=""),"",PRECIOS!D907/PRECIOS!D906-1),"")</f>
        <v>0.05474576271</v>
      </c>
      <c r="E907" s="7">
        <f>IFERROR(IF(OR(PRECIOS!E907="",PRECIOS!E906=""),"",PRECIOS!E907/PRECIOS!E906-1),"")</f>
        <v>0.03493126542</v>
      </c>
      <c r="F907" s="7">
        <f>IFERROR(IF(OR(PRECIOS!F907="",PRECIOS!F906=""),"",PRECIOS!F907/PRECIOS!F906-1),"")</f>
        <v>0.06140611095</v>
      </c>
      <c r="G907" s="7">
        <f>IFERROR(IF(OR(PRECIOS!G907="",PRECIOS!G906=""),"",PRECIOS!G907/PRECIOS!G906-1),"")</f>
        <v>0.01940192239</v>
      </c>
      <c r="H907" s="7">
        <f>IFERROR(IF(OR(PRECIOS!H907="",PRECIOS!H906=""),"",PRECIOS!H907/PRECIOS!H906-1),"")</f>
        <v>0.02959640405</v>
      </c>
      <c r="I907" s="7">
        <f>IFERROR(IF(OR(PRECIOS!I907="",PRECIOS!I906=""),"",PRECIOS!I907/PRECIOS!I906-1),"")</f>
        <v>0.01951842151</v>
      </c>
    </row>
    <row r="908" ht="15.75" customHeight="1">
      <c r="A908" s="4">
        <f>IF(PRECIOS!A908="","",PRECIOS!A908)</f>
        <v>45733</v>
      </c>
      <c r="B908" s="7">
        <f>IFERROR(IF(OR(PRECIOS!B908="",PRECIOS!B907=""),"",PRECIOS!B908/PRECIOS!B907-1),"")</f>
        <v>0.01662198391</v>
      </c>
      <c r="C908" s="7">
        <f>IFERROR(IF(OR(PRECIOS!C908="",PRECIOS!C907=""),"",PRECIOS!C908/PRECIOS!C907-1),"")</f>
        <v>0.001770303164</v>
      </c>
      <c r="D908" s="7">
        <f>IFERROR(IF(OR(PRECIOS!D908="",PRECIOS!D907=""),"",PRECIOS!D908/PRECIOS!D907-1),"")</f>
        <v>0.0147035192</v>
      </c>
      <c r="E908" s="7">
        <f>IFERROR(IF(OR(PRECIOS!E908="",PRECIOS!E907=""),"",PRECIOS!E908/PRECIOS!E907-1),"")</f>
        <v>0.01232928034</v>
      </c>
      <c r="F908" s="7">
        <f>IFERROR(IF(OR(PRECIOS!F908="",PRECIOS!F907=""),"",PRECIOS!F908/PRECIOS!F907-1),"")</f>
        <v>0.01117942985</v>
      </c>
      <c r="G908" s="7">
        <f>IFERROR(IF(OR(PRECIOS!G908="",PRECIOS!G907=""),"",PRECIOS!G908/PRECIOS!G907-1),"")</f>
        <v>0.01955648682</v>
      </c>
      <c r="H908" s="7">
        <f>IFERROR(IF(OR(PRECIOS!H908="",PRECIOS!H907=""),"",PRECIOS!H908/PRECIOS!H907-1),"")</f>
        <v>0.0159316773</v>
      </c>
      <c r="I908" s="7">
        <f>IFERROR(IF(OR(PRECIOS!I908="",PRECIOS!I907=""),"",PRECIOS!I908/PRECIOS!I907-1),"")</f>
        <v>0.004186283076</v>
      </c>
    </row>
    <row r="909" ht="15.75" customHeight="1">
      <c r="A909" s="4">
        <f>IF(PRECIOS!A909="","",PRECIOS!A909)</f>
        <v>45734</v>
      </c>
      <c r="B909" s="7">
        <f>IFERROR(IF(OR(PRECIOS!B909="",PRECIOS!B908=""),"",PRECIOS!B909/PRECIOS!B908-1),"")</f>
        <v>-0.001054852321</v>
      </c>
      <c r="C909" s="7">
        <f>IFERROR(IF(OR(PRECIOS!C909="",PRECIOS!C908=""),"",PRECIOS!C909/PRECIOS!C908-1),"")</f>
        <v>-0.003423901038</v>
      </c>
      <c r="D909" s="7">
        <f>IFERROR(IF(OR(PRECIOS!D909="",PRECIOS!D908=""),"",PRECIOS!D909/PRECIOS!D908-1),"")</f>
        <v>-0.01449045847</v>
      </c>
      <c r="E909" s="7">
        <f>IFERROR(IF(OR(PRECIOS!E909="",PRECIOS!E908=""),"",PRECIOS!E909/PRECIOS!E908-1),"")</f>
        <v>-0.02217138243</v>
      </c>
      <c r="F909" s="7">
        <f>IFERROR(IF(OR(PRECIOS!F909="",PRECIOS!F908=""),"",PRECIOS!F909/PRECIOS!F908-1),"")</f>
        <v>-0.06605859591</v>
      </c>
      <c r="G909" s="7">
        <f>IFERROR(IF(OR(PRECIOS!G909="",PRECIOS!G908=""),"",PRECIOS!G909/PRECIOS!G908-1),"")</f>
        <v>0.0001712622024</v>
      </c>
      <c r="H909" s="7">
        <f>IFERROR(IF(OR(PRECIOS!H909="",PRECIOS!H908=""),"",PRECIOS!H909/PRECIOS!H908-1),"")</f>
        <v>0.001645471214</v>
      </c>
      <c r="I909" s="7">
        <f>IFERROR(IF(OR(PRECIOS!I909="",PRECIOS!I908=""),"",PRECIOS!I909/PRECIOS!I908-1),"")</f>
        <v>-0.006945454545</v>
      </c>
    </row>
    <row r="910" ht="15.75" customHeight="1">
      <c r="A910" s="4">
        <f>IF(PRECIOS!A910="","",PRECIOS!A910)</f>
        <v>45735</v>
      </c>
      <c r="B910" s="7">
        <f>IFERROR(IF(OR(PRECIOS!B910="",PRECIOS!B909=""),"",PRECIOS!B910/PRECIOS!B909-1),"")</f>
        <v>0.01557550158</v>
      </c>
      <c r="C910" s="7">
        <f>IFERROR(IF(OR(PRECIOS!C910="",PRECIOS!C909=""),"",PRECIOS!C910/PRECIOS!C909-1),"")</f>
        <v>-0.006982156711</v>
      </c>
      <c r="D910" s="7">
        <f>IFERROR(IF(OR(PRECIOS!D910="",PRECIOS!D909=""),"",PRECIOS!D910/PRECIOS!D909-1),"")</f>
        <v>0.04330708661</v>
      </c>
      <c r="E910" s="7">
        <f>IFERROR(IF(OR(PRECIOS!E910="",PRECIOS!E909=""),"",PRECIOS!E910/PRECIOS!E909-1),"")</f>
        <v>0.01348747592</v>
      </c>
      <c r="F910" s="7">
        <f>IFERROR(IF(OR(PRECIOS!F910="",PRECIOS!F909=""),"",PRECIOS!F910/PRECIOS!F909-1),"")</f>
        <v>0.05001479728</v>
      </c>
      <c r="G910" s="7">
        <f>IFERROR(IF(OR(PRECIOS!G910="",PRECIOS!G909=""),"",PRECIOS!G910/PRECIOS!G909-1),"")</f>
        <v>0.01575342466</v>
      </c>
      <c r="H910" s="7">
        <f>IFERROR(IF(OR(PRECIOS!H910="",PRECIOS!H909=""),"",PRECIOS!H910/PRECIOS!H909-1),"")</f>
        <v>0.0163122798</v>
      </c>
      <c r="I910" s="7">
        <f>IFERROR(IF(OR(PRECIOS!I910="",PRECIOS!I909=""),"",PRECIOS!I910/PRECIOS!I909-1),"")</f>
        <v>0.003685336598</v>
      </c>
    </row>
    <row r="911" ht="15.75" customHeight="1">
      <c r="A911" s="4">
        <f>IF(PRECIOS!A911="","",PRECIOS!A911)</f>
        <v>45736</v>
      </c>
      <c r="B911" s="7">
        <f>IFERROR(IF(OR(PRECIOS!B911="",PRECIOS!B910=""),"",PRECIOS!B911/PRECIOS!B910-1),"")</f>
        <v>0.004245732605</v>
      </c>
      <c r="C911" s="7">
        <f>IFERROR(IF(OR(PRECIOS!C911="",PRECIOS!C910=""),"",PRECIOS!C911/PRECIOS!C910-1),"")</f>
        <v>0.004129464286</v>
      </c>
      <c r="D911" s="7">
        <f>IFERROR(IF(OR(PRECIOS!D911="",PRECIOS!D910=""),"",PRECIOS!D911/PRECIOS!D910-1),"")</f>
        <v>0.01578744705</v>
      </c>
      <c r="E911" s="7">
        <f>IFERROR(IF(OR(PRECIOS!E911="",PRECIOS!E910=""),"",PRECIOS!E911/PRECIOS!E910-1),"")</f>
        <v>0.003293047257</v>
      </c>
      <c r="F911" s="7">
        <f>IFERROR(IF(OR(PRECIOS!F911="",PRECIOS!F910=""),"",PRECIOS!F911/PRECIOS!F910-1),"")</f>
        <v>0.001409244645</v>
      </c>
      <c r="G911" s="7">
        <f>IFERROR(IF(OR(PRECIOS!G911="",PRECIOS!G910=""),"",PRECIOS!G911/PRECIOS!G910-1),"")</f>
        <v>0.00724881996</v>
      </c>
      <c r="H911" s="7">
        <f>IFERROR(IF(OR(PRECIOS!H911="",PRECIOS!H910=""),"",PRECIOS!H911/PRECIOS!H910-1),"")</f>
        <v>0.003660279731</v>
      </c>
      <c r="I911" s="7">
        <f>IFERROR(IF(OR(PRECIOS!I911="",PRECIOS!I910=""),"",PRECIOS!I911/PRECIOS!I910-1),"")</f>
        <v>0.004057487589</v>
      </c>
    </row>
    <row r="912" ht="15.75" customHeight="1">
      <c r="A912" s="4">
        <f>IF(PRECIOS!A912="","",PRECIOS!A912)</f>
        <v>45737</v>
      </c>
      <c r="B912" s="7">
        <f>IFERROR(IF(OR(PRECIOS!B912="",PRECIOS!B911=""),"",PRECIOS!B912/PRECIOS!B911-1),"")</f>
        <v>-0.003451251079</v>
      </c>
      <c r="C912" s="7">
        <f>IFERROR(IF(OR(PRECIOS!C912="",PRECIOS!C911=""),"",PRECIOS!C912/PRECIOS!C911-1),"")</f>
        <v>-0.00678003779</v>
      </c>
      <c r="D912" s="7">
        <f>IFERROR(IF(OR(PRECIOS!D912="",PRECIOS!D911=""),"",PRECIOS!D912/PRECIOS!D911-1),"")</f>
        <v>-0.0100075815</v>
      </c>
      <c r="E912" s="7">
        <f>IFERROR(IF(OR(PRECIOS!E912="",PRECIOS!E911=""),"",PRECIOS!E912/PRECIOS!E911-1),"")</f>
        <v>-0.0003045376104</v>
      </c>
      <c r="F912" s="7">
        <f>IFERROR(IF(OR(PRECIOS!F912="",PRECIOS!F911=""),"",PRECIOS!F912/PRECIOS!F911-1),"")</f>
        <v>0.02814522938</v>
      </c>
      <c r="G912" s="7">
        <f>IFERROR(IF(OR(PRECIOS!G912="",PRECIOS!G911=""),"",PRECIOS!G912/PRECIOS!G911-1),"")</f>
        <v>-0.002510460251</v>
      </c>
      <c r="H912" s="7">
        <f>IFERROR(IF(OR(PRECIOS!H912="",PRECIOS!H911=""),"",PRECIOS!H912/PRECIOS!H911-1),"")</f>
        <v>-0.00697442268</v>
      </c>
      <c r="I912" s="7">
        <f>IFERROR(IF(OR(PRECIOS!I912="",PRECIOS!I911=""),"",PRECIOS!I912/PRECIOS!I911-1),"")</f>
        <v>-0.006436676599</v>
      </c>
    </row>
    <row r="913" ht="15.75" customHeight="1">
      <c r="A913" s="4">
        <f>IF(PRECIOS!A913="","",PRECIOS!A913)</f>
        <v>45740</v>
      </c>
      <c r="B913" s="7">
        <f>IFERROR(IF(OR(PRECIOS!B913="",PRECIOS!B912=""),"",PRECIOS!B913/PRECIOS!B912-1),"")</f>
        <v>0.002597402597</v>
      </c>
      <c r="C913" s="7">
        <f>IFERROR(IF(OR(PRECIOS!C913="",PRECIOS!C912=""),"",PRECIOS!C913/PRECIOS!C912-1),"")</f>
        <v>-0.005371530886</v>
      </c>
      <c r="D913" s="7">
        <f>IFERROR(IF(OR(PRECIOS!D913="",PRECIOS!D912=""),"",PRECIOS!D913/PRECIOS!D912-1),"")</f>
        <v>0.03338949303</v>
      </c>
      <c r="E913" s="7">
        <f>IFERROR(IF(OR(PRECIOS!E913="",PRECIOS!E912=""),"",PRECIOS!E913/PRECIOS!E912-1),"")</f>
        <v>0.02504738695</v>
      </c>
      <c r="F913" s="7">
        <f>IFERROR(IF(OR(PRECIOS!F913="",PRECIOS!F912=""),"",PRECIOS!F913/PRECIOS!F912-1),"")</f>
        <v>-0.00985491377</v>
      </c>
      <c r="G913" s="7">
        <f>IFERROR(IF(OR(PRECIOS!G913="",PRECIOS!G912=""),"",PRECIOS!G913/PRECIOS!G912-1),"")</f>
        <v>0.025</v>
      </c>
      <c r="H913" s="7">
        <f>IFERROR(IF(OR(PRECIOS!H913="",PRECIOS!H912=""),"",PRECIOS!H913/PRECIOS!H912-1),"")</f>
        <v>0.01139739884</v>
      </c>
      <c r="I913" s="7">
        <f>IFERROR(IF(OR(PRECIOS!I913="",PRECIOS!I912=""),"",PRECIOS!I913/PRECIOS!I912-1),"")</f>
        <v>-0.0003213065421</v>
      </c>
    </row>
    <row r="914" ht="15.75" customHeight="1">
      <c r="A914" s="4">
        <f>IF(PRECIOS!A914="","",PRECIOS!A914)</f>
        <v>45741</v>
      </c>
      <c r="B914" s="7">
        <f>IFERROR(IF(OR(PRECIOS!B914="",PRECIOS!B913=""),"",PRECIOS!B914/PRECIOS!B913-1),"")</f>
        <v>0.006822107081</v>
      </c>
      <c r="C914" s="7">
        <f>IFERROR(IF(OR(PRECIOS!C914="",PRECIOS!C913=""),"",PRECIOS!C914/PRECIOS!C913-1),"")</f>
        <v>-0.01293879388</v>
      </c>
      <c r="D914" s="7">
        <f>IFERROR(IF(OR(PRECIOS!D914="",PRECIOS!D913=""),"",PRECIOS!D914/PRECIOS!D913-1),"")</f>
        <v>-0.02319549429</v>
      </c>
      <c r="E914" s="7">
        <f>IFERROR(IF(OR(PRECIOS!E914="",PRECIOS!E913=""),"",PRECIOS!E914/PRECIOS!E913-1),"")</f>
        <v>-0.009377889314</v>
      </c>
      <c r="F914" s="7">
        <f>IFERROR(IF(OR(PRECIOS!F914="",PRECIOS!F913=""),"",PRECIOS!F914/PRECIOS!F913-1),"")</f>
        <v>0.04147083218</v>
      </c>
      <c r="G914" s="7">
        <f>IFERROR(IF(OR(PRECIOS!G914="",PRECIOS!G913=""),"",PRECIOS!G914/PRECIOS!G913-1),"")</f>
        <v>-0.002946472418</v>
      </c>
      <c r="H914" s="7">
        <f>IFERROR(IF(OR(PRECIOS!H914="",PRECIOS!H913=""),"",PRECIOS!H914/PRECIOS!H913-1),"")</f>
        <v>0.004092784507</v>
      </c>
      <c r="I914" s="7">
        <f>IFERROR(IF(OR(PRECIOS!I914="",PRECIOS!I913=""),"",PRECIOS!I914/PRECIOS!I913-1),"")</f>
        <v>-0.01598948493</v>
      </c>
    </row>
    <row r="915" ht="15.75" customHeight="1">
      <c r="A915" s="4">
        <f>IF(PRECIOS!A915="","",PRECIOS!A915)</f>
        <v>45742</v>
      </c>
      <c r="B915" s="7">
        <f>IFERROR(IF(OR(PRECIOS!B915="",PRECIOS!B914=""),"",PRECIOS!B915/PRECIOS!B914-1),"")</f>
        <v>0.01440946908</v>
      </c>
      <c r="C915" s="7">
        <f>IFERROR(IF(OR(PRECIOS!C915="",PRECIOS!C914=""),"",PRECIOS!C915/PRECIOS!C914-1),"")</f>
        <v>0.01516015046</v>
      </c>
      <c r="D915" s="7">
        <f>IFERROR(IF(OR(PRECIOS!D915="",PRECIOS!D914=""),"",PRECIOS!D915/PRECIOS!D914-1),"")</f>
        <v>-0.05917608679</v>
      </c>
      <c r="E915" s="7">
        <f>IFERROR(IF(OR(PRECIOS!E915="",PRECIOS!E914=""),"",PRECIOS!E915/PRECIOS!E914-1),"")</f>
        <v>-0.04826666667</v>
      </c>
      <c r="F915" s="7">
        <f>IFERROR(IF(OR(PRECIOS!F915="",PRECIOS!F914=""),"",PRECIOS!F915/PRECIOS!F914-1),"")</f>
        <v>-0.0111494558</v>
      </c>
      <c r="G915" s="7">
        <f>IFERROR(IF(OR(PRECIOS!G915="",PRECIOS!G914=""),"",PRECIOS!G915/PRECIOS!G914-1),"")</f>
        <v>-0.01576095879</v>
      </c>
      <c r="H915" s="7">
        <f>IFERROR(IF(OR(PRECIOS!H915="",PRECIOS!H914=""),"",PRECIOS!H915/PRECIOS!H914-1),"")</f>
        <v>0.005899679059</v>
      </c>
      <c r="I915" s="7">
        <f>IFERROR(IF(OR(PRECIOS!I915="",PRECIOS!I914=""),"",PRECIOS!I915/PRECIOS!I914-1),"")</f>
        <v>0.006628249728</v>
      </c>
    </row>
    <row r="916" ht="15.75" customHeight="1">
      <c r="A916" s="4">
        <f>IF(PRECIOS!A916="","",PRECIOS!A916)</f>
        <v>45743</v>
      </c>
      <c r="B916" s="7">
        <f>IFERROR(IF(OR(PRECIOS!B916="",PRECIOS!B915=""),"",PRECIOS!B916/PRECIOS!B915-1),"")</f>
        <v>-0.003212987233</v>
      </c>
      <c r="C916" s="7">
        <f>IFERROR(IF(OR(PRECIOS!C916="",PRECIOS!C915=""),"",PRECIOS!C916/PRECIOS!C915-1),"")</f>
        <v>0.0108915338</v>
      </c>
      <c r="D916" s="7">
        <f>IFERROR(IF(OR(PRECIOS!D916="",PRECIOS!D915=""),"",PRECIOS!D916/PRECIOS!D915-1),"")</f>
        <v>-0.03790016934</v>
      </c>
      <c r="E916" s="7">
        <f>IFERROR(IF(OR(PRECIOS!E916="",PRECIOS!E915=""),"",PRECIOS!E916/PRECIOS!E915-1),"")</f>
        <v>-0.01614597927</v>
      </c>
      <c r="F916" s="7">
        <f>IFERROR(IF(OR(PRECIOS!F916="",PRECIOS!F915=""),"",PRECIOS!F916/PRECIOS!F915-1),"")</f>
        <v>0.00322147651</v>
      </c>
      <c r="G916" s="7">
        <f>IFERROR(IF(OR(PRECIOS!G916="",PRECIOS!G915=""),"",PRECIOS!G916/PRECIOS!G915-1),"")</f>
        <v>-0.008673894912</v>
      </c>
      <c r="H916" s="7">
        <f>IFERROR(IF(OR(PRECIOS!H916="",PRECIOS!H915=""),"",PRECIOS!H916/PRECIOS!H915-1),"")</f>
        <v>-0.009702962935</v>
      </c>
      <c r="I916" s="7">
        <f>IFERROR(IF(OR(PRECIOS!I916="",PRECIOS!I915=""),"",PRECIOS!I916/PRECIOS!I915-1),"")</f>
        <v>-0.0002558921138</v>
      </c>
    </row>
    <row r="917" ht="15.75" customHeight="1">
      <c r="A917" s="4">
        <f>IF(PRECIOS!A917="","",PRECIOS!A917)</f>
        <v>45744</v>
      </c>
      <c r="B917" s="7">
        <f>IFERROR(IF(OR(PRECIOS!B917="",PRECIOS!B916=""),"",PRECIOS!B917/PRECIOS!B916-1),"")</f>
        <v>-0.001357197387</v>
      </c>
      <c r="C917" s="7">
        <f>IFERROR(IF(OR(PRECIOS!C917="",PRECIOS!C916=""),"",PRECIOS!C917/PRECIOS!C916-1),"")</f>
        <v>0.01221814951</v>
      </c>
      <c r="D917" s="7">
        <f>IFERROR(IF(OR(PRECIOS!D917="",PRECIOS!D916=""),"",PRECIOS!D917/PRECIOS!D916-1),"")</f>
        <v>-0.00217919705</v>
      </c>
      <c r="E917" s="7">
        <f>IFERROR(IF(OR(PRECIOS!E917="",PRECIOS!E916=""),"",PRECIOS!E917/PRECIOS!E916-1),"")</f>
        <v>-0.02399344986</v>
      </c>
      <c r="F917" s="7">
        <f>IFERROR(IF(OR(PRECIOS!F917="",PRECIOS!F916=""),"",PRECIOS!F917/PRECIOS!F916-1),"")</f>
        <v>-0.0366604228</v>
      </c>
      <c r="G917" s="7">
        <f>IFERROR(IF(OR(PRECIOS!G917="",PRECIOS!G916=""),"",PRECIOS!G917/PRECIOS!G916-1),"")</f>
        <v>-0.004038364462</v>
      </c>
      <c r="H917" s="7">
        <f>IFERROR(IF(OR(PRECIOS!H917="",PRECIOS!H916=""),"",PRECIOS!H917/PRECIOS!H916-1),"")</f>
        <v>-0.004738917866</v>
      </c>
      <c r="I917" s="7">
        <f>IFERROR(IF(OR(PRECIOS!I917="",PRECIOS!I916=""),"",PRECIOS!I917/PRECIOS!I916-1),"")</f>
        <v>0.007364718486</v>
      </c>
    </row>
    <row r="918" ht="15.75" customHeight="1">
      <c r="A918" s="4">
        <f>IF(PRECIOS!A918="","",PRECIOS!A918)</f>
        <v>45747</v>
      </c>
      <c r="B918" s="7">
        <f>IFERROR(IF(OR(PRECIOS!B918="",PRECIOS!B917=""),"",PRECIOS!B918/PRECIOS!B917-1),"")</f>
        <v>0.01019281407</v>
      </c>
      <c r="C918" s="7">
        <f>IFERROR(IF(OR(PRECIOS!C918="",PRECIOS!C917=""),"",PRECIOS!C918/PRECIOS!C917-1),"")</f>
        <v>0.008998134533</v>
      </c>
      <c r="D918" s="7">
        <f>IFERROR(IF(OR(PRECIOS!D918="",PRECIOS!D917=""),"",PRECIOS!D918/PRECIOS!D917-1),"")</f>
        <v>-0.01352372953</v>
      </c>
      <c r="E918" s="7">
        <f>IFERROR(IF(OR(PRECIOS!E918="",PRECIOS!E917=""),"",PRECIOS!E918/PRECIOS!E917-1),"")</f>
        <v>-0.00853485064</v>
      </c>
      <c r="F918" s="7">
        <f>IFERROR(IF(OR(PRECIOS!F918="",PRECIOS!F917=""),"",PRECIOS!F918/PRECIOS!F917-1),"")</f>
        <v>-0.02666666667</v>
      </c>
      <c r="G918" s="7">
        <f>IFERROR(IF(OR(PRECIOS!G918="",PRECIOS!G917=""),"",PRECIOS!G918/PRECIOS!G917-1),"")</f>
        <v>0.009630005068</v>
      </c>
      <c r="H918" s="7">
        <f>IFERROR(IF(OR(PRECIOS!H918="",PRECIOS!H917=""),"",PRECIOS!H918/PRECIOS!H917-1),"")</f>
        <v>0.01103394719</v>
      </c>
      <c r="I918" s="7">
        <f>IFERROR(IF(OR(PRECIOS!I918="",PRECIOS!I917=""),"",PRECIOS!I918/PRECIOS!I917-1),"")</f>
        <v>0.01115360436</v>
      </c>
    </row>
    <row r="919" ht="15.75" customHeight="1">
      <c r="A919" s="4">
        <f>IF(PRECIOS!A919="","",PRECIOS!A919)</f>
        <v>45748</v>
      </c>
      <c r="B919" s="7">
        <f>IFERROR(IF(OR(PRECIOS!B919="",PRECIOS!B918=""),"",PRECIOS!B919/PRECIOS!B918-1),"")</f>
        <v>0.0009249138148</v>
      </c>
      <c r="C919" s="7">
        <f>IFERROR(IF(OR(PRECIOS!C919="",PRECIOS!C918=""),"",PRECIOS!C919/PRECIOS!C918-1),"")</f>
        <v>-0.001413811854</v>
      </c>
      <c r="D919" s="7">
        <f>IFERROR(IF(OR(PRECIOS!D919="",PRECIOS!D918=""),"",PRECIOS!D919/PRECIOS!D918-1),"")</f>
        <v>0.0408719346</v>
      </c>
      <c r="E919" s="7">
        <f>IFERROR(IF(OR(PRECIOS!E919="",PRECIOS!E918=""),"",PRECIOS!E919/PRECIOS!E918-1),"")</f>
        <v>0.01791560902</v>
      </c>
      <c r="F919" s="7">
        <f>IFERROR(IF(OR(PRECIOS!F919="",PRECIOS!F918=""),"",PRECIOS!F919/PRECIOS!F918-1),"")</f>
        <v>0.01312785388</v>
      </c>
      <c r="G919" s="7">
        <f>IFERROR(IF(OR(PRECIOS!G919="",PRECIOS!G918=""),"",PRECIOS!G919/PRECIOS!G918-1),"")</f>
        <v>0.01355421687</v>
      </c>
      <c r="H919" s="7">
        <f>IFERROR(IF(OR(PRECIOS!H919="",PRECIOS!H918=""),"",PRECIOS!H919/PRECIOS!H918-1),"")</f>
        <v>0.005885799685</v>
      </c>
      <c r="I919" s="7">
        <f>IFERROR(IF(OR(PRECIOS!I919="",PRECIOS!I918=""),"",PRECIOS!I919/PRECIOS!I918-1),"")</f>
        <v>0.002538741717</v>
      </c>
    </row>
    <row r="920" ht="15.75" customHeight="1">
      <c r="A920" s="4">
        <f>IF(PRECIOS!A920="","",PRECIOS!A920)</f>
        <v>45749</v>
      </c>
      <c r="B920" s="7">
        <f>IFERROR(IF(OR(PRECIOS!B920="",PRECIOS!B919=""),"",PRECIOS!B920/PRECIOS!B919-1),"")</f>
        <v>-0.003108198925</v>
      </c>
      <c r="C920" s="7">
        <f>IFERROR(IF(OR(PRECIOS!C920="",PRECIOS!C919=""),"",PRECIOS!C920/PRECIOS!C919-1),"")</f>
        <v>-0.005663254193</v>
      </c>
      <c r="D920" s="7">
        <f>IFERROR(IF(OR(PRECIOS!D920="",PRECIOS!D919=""),"",PRECIOS!D920/PRECIOS!D919-1),"")</f>
        <v>0.04049410995</v>
      </c>
      <c r="E920" s="7">
        <f>IFERROR(IF(OR(PRECIOS!E920="",PRECIOS!E919=""),"",PRECIOS!E920/PRECIOS!E919-1),"")</f>
        <v>0.02580411999</v>
      </c>
      <c r="F920" s="7">
        <f>IFERROR(IF(OR(PRECIOS!F920="",PRECIOS!F919=""),"",PRECIOS!F920/PRECIOS!F919-1),"")</f>
        <v>0</v>
      </c>
      <c r="G920" s="7">
        <f>IFERROR(IF(OR(PRECIOS!G920="",PRECIOS!G919=""),"",PRECIOS!G920/PRECIOS!G919-1),"")</f>
        <v>0.01700511805</v>
      </c>
      <c r="H920" s="7">
        <f>IFERROR(IF(OR(PRECIOS!H920="",PRECIOS!H919=""),"",PRECIOS!H920/PRECIOS!H919-1),"")</f>
        <v>0.001383207339</v>
      </c>
      <c r="I920" s="7">
        <f>IFERROR(IF(OR(PRECIOS!I920="",PRECIOS!I919=""),"",PRECIOS!I920/PRECIOS!I919-1),"")</f>
        <v>0.004679610747</v>
      </c>
    </row>
    <row r="921" ht="15.75" customHeight="1">
      <c r="A921" s="4">
        <f>IF(PRECIOS!A921="","",PRECIOS!A921)</f>
        <v>45750</v>
      </c>
      <c r="B921" s="7">
        <f>IFERROR(IF(OR(PRECIOS!B921="",PRECIOS!B920=""),"",PRECIOS!B921/PRECIOS!B920-1),"")</f>
        <v>-0.05258279262</v>
      </c>
      <c r="C921" s="7">
        <f>IFERROR(IF(OR(PRECIOS!C921="",PRECIOS!C920=""),"",PRECIOS!C921/PRECIOS!C920-1),"")</f>
        <v>0.01380065717</v>
      </c>
      <c r="D921" s="7">
        <f>IFERROR(IF(OR(PRECIOS!D921="",PRECIOS!D920=""),"",PRECIOS!D921/PRECIOS!D920-1),"")</f>
        <v>-0.149225568</v>
      </c>
      <c r="E921" s="7">
        <f>IFERROR(IF(OR(PRECIOS!E921="",PRECIOS!E920=""),"",PRECIOS!E921/PRECIOS!E920-1),"")</f>
        <v>-0.08099633596</v>
      </c>
      <c r="F921" s="7">
        <f>IFERROR(IF(OR(PRECIOS!F921="",PRECIOS!F920=""),"",PRECIOS!F921/PRECIOS!F920-1),"")</f>
        <v>-0.05492957746</v>
      </c>
      <c r="G921" s="7">
        <f>IFERROR(IF(OR(PRECIOS!G921="",PRECIOS!G920=""),"",PRECIOS!G921/PRECIOS!G920-1),"")</f>
        <v>-0.04172077922</v>
      </c>
      <c r="H921" s="7">
        <f>IFERROR(IF(OR(PRECIOS!H921="",PRECIOS!H920=""),"",PRECIOS!H921/PRECIOS!H920-1),"")</f>
        <v>-0.07850950676</v>
      </c>
      <c r="I921" s="7">
        <f>IFERROR(IF(OR(PRECIOS!I921="",PRECIOS!I920=""),"",PRECIOS!I921/PRECIOS!I920-1),"")</f>
        <v>-0.006293578595</v>
      </c>
    </row>
    <row r="922" ht="15.75" customHeight="1">
      <c r="A922" s="4">
        <f>IF(PRECIOS!A922="","",PRECIOS!A922)</f>
        <v>45751</v>
      </c>
      <c r="B922" s="7">
        <f>IFERROR(IF(OR(PRECIOS!B922="",PRECIOS!B921=""),"",PRECIOS!B922/PRECIOS!B921-1),"")</f>
        <v>-0.07195588366</v>
      </c>
      <c r="C922" s="7">
        <f>IFERROR(IF(OR(PRECIOS!C922="",PRECIOS!C921=""),"",PRECIOS!C922/PRECIOS!C921-1),"")</f>
        <v>-0.03910976664</v>
      </c>
      <c r="D922" s="7">
        <f>IFERROR(IF(OR(PRECIOS!D922="",PRECIOS!D921=""),"",PRECIOS!D922/PRECIOS!D921-1),"")</f>
        <v>-0.09370668145</v>
      </c>
      <c r="E922" s="7">
        <f>IFERROR(IF(OR(PRECIOS!E922="",PRECIOS!E921=""),"",PRECIOS!E922/PRECIOS!E921-1),"")</f>
        <v>-0.05493578685</v>
      </c>
      <c r="F922" s="7">
        <f>IFERROR(IF(OR(PRECIOS!F922="",PRECIOS!F921=""),"",PRECIOS!F922/PRECIOS!F921-1),"")</f>
        <v>-0.1058122206</v>
      </c>
      <c r="G922" s="7">
        <f>IFERROR(IF(OR(PRECIOS!G922="",PRECIOS!G921=""),"",PRECIOS!G922/PRECIOS!G921-1),"")</f>
        <v>-0.07555480264</v>
      </c>
      <c r="H922" s="7">
        <f>IFERROR(IF(OR(PRECIOS!H922="",PRECIOS!H921=""),"",PRECIOS!H922/PRECIOS!H921-1),"")</f>
        <v>-0.0919981842</v>
      </c>
      <c r="I922" s="7">
        <f>IFERROR(IF(OR(PRECIOS!I922="",PRECIOS!I921=""),"",PRECIOS!I922/PRECIOS!I921-1),"")</f>
        <v>-0.05562658854</v>
      </c>
    </row>
    <row r="923" ht="15.75" customHeight="1">
      <c r="A923" s="4">
        <f>IF(PRECIOS!A923="","",PRECIOS!A923)</f>
        <v>45754</v>
      </c>
      <c r="B923" s="7">
        <f>IFERROR(IF(OR(PRECIOS!B923="",PRECIOS!B922=""),"",PRECIOS!B923/PRECIOS!B922-1),"")</f>
        <v>-0.01341767299</v>
      </c>
      <c r="C923" s="7">
        <f>IFERROR(IF(OR(PRECIOS!C923="",PRECIOS!C922=""),"",PRECIOS!C923/PRECIOS!C922-1),"")</f>
        <v>-0.01933888014</v>
      </c>
      <c r="D923" s="7">
        <f>IFERROR(IF(OR(PRECIOS!D923="",PRECIOS!D922=""),"",PRECIOS!D923/PRECIOS!D922-1),"")</f>
        <v>0.04710920771</v>
      </c>
      <c r="E923" s="7">
        <f>IFERROR(IF(OR(PRECIOS!E923="",PRECIOS!E922=""),"",PRECIOS!E923/PRECIOS!E922-1),"")</f>
        <v>0.02405484342</v>
      </c>
      <c r="F923" s="7">
        <f>IFERROR(IF(OR(PRECIOS!F923="",PRECIOS!F922=""),"",PRECIOS!F923/PRECIOS!F922-1),"")</f>
        <v>-0.05033333333</v>
      </c>
      <c r="G923" s="7">
        <f>IFERROR(IF(OR(PRECIOS!G923="",PRECIOS!G922=""),"",PRECIOS!G923/PRECIOS!G922-1),"")</f>
        <v>0.005131024372</v>
      </c>
      <c r="H923" s="7">
        <f>IFERROR(IF(OR(PRECIOS!H923="",PRECIOS!H922=""),"",PRECIOS!H923/PRECIOS!H922-1),"")</f>
        <v>-0.006473233466</v>
      </c>
      <c r="I923" s="7">
        <f>IFERROR(IF(OR(PRECIOS!I923="",PRECIOS!I922=""),"",PRECIOS!I923/PRECIOS!I922-1),"")</f>
        <v>-0.0152985995</v>
      </c>
    </row>
    <row r="924" ht="15.75" customHeight="1">
      <c r="A924" s="4">
        <f>IF(PRECIOS!A924="","",PRECIOS!A924)</f>
        <v>45755</v>
      </c>
      <c r="B924" s="7">
        <f>IFERROR(IF(OR(PRECIOS!B924="",PRECIOS!B923=""),"",PRECIOS!B924/PRECIOS!B923-1),"")</f>
        <v>-0.02108024092</v>
      </c>
      <c r="C924" s="7">
        <f>IFERROR(IF(OR(PRECIOS!C924="",PRECIOS!C923=""),"",PRECIOS!C924/PRECIOS!C923-1),"")</f>
        <v>-0.004127493694</v>
      </c>
      <c r="D924" s="7">
        <f>IFERROR(IF(OR(PRECIOS!D924="",PRECIOS!D923=""),"",PRECIOS!D924/PRECIOS!D923-1),"")</f>
        <v>-0.004869023274</v>
      </c>
      <c r="E924" s="7">
        <f>IFERROR(IF(OR(PRECIOS!E924="",PRECIOS!E923=""),"",PRECIOS!E924/PRECIOS!E923-1),"")</f>
        <v>-0.00376312141</v>
      </c>
      <c r="F924" s="7">
        <f>IFERROR(IF(OR(PRECIOS!F924="",PRECIOS!F923=""),"",PRECIOS!F924/PRECIOS!F923-1),"")</f>
        <v>-0.04668304668</v>
      </c>
      <c r="G924" s="7">
        <f>IFERROR(IF(OR(PRECIOS!G924="",PRECIOS!G923=""),"",PRECIOS!G924/PRECIOS!G923-1),"")</f>
        <v>-0.009480401094</v>
      </c>
      <c r="H924" s="7">
        <f>IFERROR(IF(OR(PRECIOS!H924="",PRECIOS!H923=""),"",PRECIOS!H924/PRECIOS!H923-1),"")</f>
        <v>-0.02312891652</v>
      </c>
      <c r="I924" s="7">
        <f>IFERROR(IF(OR(PRECIOS!I924="",PRECIOS!I923=""),"",PRECIOS!I924/PRECIOS!I923-1),"")</f>
        <v>-0.004085858698</v>
      </c>
    </row>
    <row r="925" ht="15.75" customHeight="1">
      <c r="A925" s="4">
        <f>IF(PRECIOS!A925="","",PRECIOS!A925)</f>
        <v>45756</v>
      </c>
      <c r="B925" s="7">
        <f>IFERROR(IF(OR(PRECIOS!B925="",PRECIOS!B924=""),"",PRECIOS!B925/PRECIOS!B924-1),"")</f>
        <v>0.0499156495</v>
      </c>
      <c r="C925" s="7">
        <f>IFERROR(IF(OR(PRECIOS!C925="",PRECIOS!C924=""),"",PRECIOS!C925/PRECIOS!C924-1),"")</f>
        <v>0.01082201243</v>
      </c>
      <c r="D925" s="7">
        <f>IFERROR(IF(OR(PRECIOS!D925="",PRECIOS!D924=""),"",PRECIOS!D925/PRECIOS!D924-1),"")</f>
        <v>0.1549075252</v>
      </c>
      <c r="E925" s="7">
        <f>IFERROR(IF(OR(PRECIOS!E925="",PRECIOS!E924=""),"",PRECIOS!E925/PRECIOS!E924-1),"")</f>
        <v>0.1275944334</v>
      </c>
      <c r="F925" s="7">
        <f>IFERROR(IF(OR(PRECIOS!F925="",PRECIOS!F924=""),"",PRECIOS!F925/PRECIOS!F924-1),"")</f>
        <v>0.08946980854</v>
      </c>
      <c r="G925" s="7">
        <f>IFERROR(IF(OR(PRECIOS!G925="",PRECIOS!G924=""),"",PRECIOS!G925/PRECIOS!G924-1),"")</f>
        <v>0.03846861771</v>
      </c>
      <c r="H925" s="7">
        <f>IFERROR(IF(OR(PRECIOS!H925="",PRECIOS!H924=""),"",PRECIOS!H925/PRECIOS!H924-1),"")</f>
        <v>0.07744170074</v>
      </c>
      <c r="I925" s="7">
        <f>IFERROR(IF(OR(PRECIOS!I925="",PRECIOS!I924=""),"",PRECIOS!I925/PRECIOS!I924-1),"")</f>
        <v>0.03940528757</v>
      </c>
    </row>
    <row r="926" ht="15.75" customHeight="1">
      <c r="A926" s="4">
        <f>IF(PRECIOS!A926="","",PRECIOS!A926)</f>
        <v>45757</v>
      </c>
      <c r="B926" s="7">
        <f>IFERROR(IF(OR(PRECIOS!B926="",PRECIOS!B925=""),"",PRECIOS!B926/PRECIOS!B925-1),"")</f>
        <v>-0.05548204159</v>
      </c>
      <c r="C926" s="7">
        <f>IFERROR(IF(OR(PRECIOS!C926="",PRECIOS!C925=""),"",PRECIOS!C926/PRECIOS!C925-1),"")</f>
        <v>0.01241457859</v>
      </c>
      <c r="D926" s="7">
        <f>IFERROR(IF(OR(PRECIOS!D926="",PRECIOS!D925=""),"",PRECIOS!D926/PRECIOS!D925-1),"")</f>
        <v>-0.07422470768</v>
      </c>
      <c r="E926" s="7">
        <f>IFERROR(IF(OR(PRECIOS!E926="",PRECIOS!E925=""),"",PRECIOS!E926/PRECIOS!E925-1),"")</f>
        <v>-0.04538241828</v>
      </c>
      <c r="F926" s="7">
        <f>IFERROR(IF(OR(PRECIOS!F926="",PRECIOS!F925=""),"",PRECIOS!F926/PRECIOS!F925-1),"")</f>
        <v>-0.06792835417</v>
      </c>
      <c r="G926" s="7">
        <f>IFERROR(IF(OR(PRECIOS!G926="",PRECIOS!G925=""),"",PRECIOS!G926/PRECIOS!G925-1),"")</f>
        <v>-0.02392768522</v>
      </c>
      <c r="H926" s="7">
        <f>IFERROR(IF(OR(PRECIOS!H926="",PRECIOS!H925=""),"",PRECIOS!H926/PRECIOS!H925-1),"")</f>
        <v>-0.0653217031</v>
      </c>
      <c r="I926" s="7">
        <f>IFERROR(IF(OR(PRECIOS!I926="",PRECIOS!I925=""),"",PRECIOS!I926/PRECIOS!I925-1),"")</f>
        <v>-0.007504302</v>
      </c>
    </row>
    <row r="927" ht="15.75" customHeight="1">
      <c r="A927" s="4">
        <f>IF(PRECIOS!A927="","",PRECIOS!A927)</f>
        <v>45758</v>
      </c>
      <c r="B927" s="7">
        <f>IFERROR(IF(OR(PRECIOS!B927="",PRECIOS!B926=""),"",PRECIOS!B927/PRECIOS!B926-1),"")</f>
        <v>0.03212248574</v>
      </c>
      <c r="C927" s="7">
        <f>IFERROR(IF(OR(PRECIOS!C927="",PRECIOS!C926=""),"",PRECIOS!C927/PRECIOS!C926-1),"")</f>
        <v>0.0109123636</v>
      </c>
      <c r="D927" s="7">
        <f>IFERROR(IF(OR(PRECIOS!D927="",PRECIOS!D926=""),"",PRECIOS!D927/PRECIOS!D926-1),"")</f>
        <v>0.02242357679</v>
      </c>
      <c r="E927" s="7">
        <f>IFERROR(IF(OR(PRECIOS!E927="",PRECIOS!E926=""),"",PRECIOS!E927/PRECIOS!E926-1),"")</f>
        <v>0.02515514184</v>
      </c>
      <c r="F927" s="7">
        <f>IFERROR(IF(OR(PRECIOS!F927="",PRECIOS!F926=""),"",PRECIOS!F927/PRECIOS!F926-1),"")</f>
        <v>0.08883248731</v>
      </c>
      <c r="G927" s="7">
        <f>IFERROR(IF(OR(PRECIOS!G927="",PRECIOS!G926=""),"",PRECIOS!G927/PRECIOS!G926-1),"")</f>
        <v>0.02396949337</v>
      </c>
      <c r="H927" s="7">
        <f>IFERROR(IF(OR(PRECIOS!H927="",PRECIOS!H926=""),"",PRECIOS!H927/PRECIOS!H926-1),"")</f>
        <v>0.02481058386</v>
      </c>
      <c r="I927" s="7">
        <f>IFERROR(IF(OR(PRECIOS!I927="",PRECIOS!I926=""),"",PRECIOS!I927/PRECIOS!I926-1),"")</f>
        <v>0.01220169643</v>
      </c>
    </row>
    <row r="928" ht="15.75" customHeight="1">
      <c r="A928" s="4">
        <f>IF(PRECIOS!A928="","",PRECIOS!A928)</f>
        <v>45761</v>
      </c>
      <c r="B928" s="7">
        <f>IFERROR(IF(OR(PRECIOS!B928="",PRECIOS!B927=""),"",PRECIOS!B928/PRECIOS!B927-1),"")</f>
        <v>0.002423889858</v>
      </c>
      <c r="C928" s="7">
        <f>IFERROR(IF(OR(PRECIOS!C928="",PRECIOS!C927=""),"",PRECIOS!C928/PRECIOS!C927-1),"")</f>
        <v>0.01446694859</v>
      </c>
      <c r="D928" s="7">
        <f>IFERROR(IF(OR(PRECIOS!D928="",PRECIOS!D927=""),"",PRECIOS!D928/PRECIOS!D927-1),"")</f>
        <v>0.008772715066</v>
      </c>
      <c r="E928" s="7">
        <f>IFERROR(IF(OR(PRECIOS!E928="",PRECIOS!E927=""),"",PRECIOS!E928/PRECIOS!E927-1),"")</f>
        <v>0.00108096422</v>
      </c>
      <c r="F928" s="7">
        <f>IFERROR(IF(OR(PRECIOS!F928="",PRECIOS!F927=""),"",PRECIOS!F928/PRECIOS!F927-1),"")</f>
        <v>0.1032301032</v>
      </c>
      <c r="G928" s="7">
        <f>IFERROR(IF(OR(PRECIOS!G928="",PRECIOS!G927=""),"",PRECIOS!G928/PRECIOS!G927-1),"")</f>
        <v>0.01720163149</v>
      </c>
      <c r="H928" s="7">
        <f>IFERROR(IF(OR(PRECIOS!H928="",PRECIOS!H927=""),"",PRECIOS!H928/PRECIOS!H927-1),"")</f>
        <v>0.003551031125</v>
      </c>
      <c r="I928" s="7">
        <f>IFERROR(IF(OR(PRECIOS!I928="",PRECIOS!I927=""),"",PRECIOS!I928/PRECIOS!I927-1),"")</f>
        <v>0.01795076987</v>
      </c>
    </row>
    <row r="929" ht="15.75" customHeight="1">
      <c r="A929" s="4">
        <f>IF(PRECIOS!A929="","",PRECIOS!A929)</f>
        <v>45762</v>
      </c>
      <c r="B929" s="7">
        <f>IFERROR(IF(OR(PRECIOS!B929="",PRECIOS!B928=""),"",PRECIOS!B929/PRECIOS!B928-1),"")</f>
        <v>-0.002804913435</v>
      </c>
      <c r="C929" s="7">
        <f>IFERROR(IF(OR(PRECIOS!C929="",PRECIOS!C928=""),"",PRECIOS!C929/PRECIOS!C928-1),"")</f>
        <v>-0.001535761299</v>
      </c>
      <c r="D929" s="7">
        <f>IFERROR(IF(OR(PRECIOS!D929="",PRECIOS!D928=""),"",PRECIOS!D929/PRECIOS!D928-1),"")</f>
        <v>0.02715413968</v>
      </c>
      <c r="E929" s="7">
        <f>IFERROR(IF(OR(PRECIOS!E929="",PRECIOS!E928=""),"",PRECIOS!E929/PRECIOS!E928-1),"")</f>
        <v>-0.002555519562</v>
      </c>
      <c r="F929" s="7">
        <f>IFERROR(IF(OR(PRECIOS!F929="",PRECIOS!F928=""),"",PRECIOS!F929/PRECIOS!F928-1),"")</f>
        <v>-0.03893751887</v>
      </c>
      <c r="G929" s="7">
        <f>IFERROR(IF(OR(PRECIOS!G929="",PRECIOS!G928=""),"",PRECIOS!G929/PRECIOS!G928-1),"")</f>
        <v>0.02057182706</v>
      </c>
      <c r="H929" s="7">
        <f>IFERROR(IF(OR(PRECIOS!H929="",PRECIOS!H928=""),"",PRECIOS!H929/PRECIOS!H928-1),"")</f>
        <v>-0.00151537523</v>
      </c>
      <c r="I929" s="7">
        <f>IFERROR(IF(OR(PRECIOS!I929="",PRECIOS!I928=""),"",PRECIOS!I929/PRECIOS!I928-1),"")</f>
        <v>-0.0001288320976</v>
      </c>
    </row>
    <row r="930" ht="15.75" customHeight="1">
      <c r="A930" s="4">
        <f>IF(PRECIOS!A930="","",PRECIOS!A930)</f>
        <v>45763</v>
      </c>
      <c r="B930" s="7">
        <f>IFERROR(IF(OR(PRECIOS!B930="",PRECIOS!B929=""),"",PRECIOS!B930/PRECIOS!B929-1),"")</f>
        <v>0.01057225994</v>
      </c>
      <c r="C930" s="7">
        <f>IFERROR(IF(OR(PRECIOS!C930="",PRECIOS!C929=""),"",PRECIOS!C930/PRECIOS!C929-1),"")</f>
        <v>-0.006042627994</v>
      </c>
      <c r="D930" s="7">
        <f>IFERROR(IF(OR(PRECIOS!D930="",PRECIOS!D929=""),"",PRECIOS!D930/PRECIOS!D929-1),"")</f>
        <v>0.001036717063</v>
      </c>
      <c r="E930" s="7">
        <f>IFERROR(IF(OR(PRECIOS!E930="",PRECIOS!E929=""),"",PRECIOS!E930/PRECIOS!E929-1),"")</f>
        <v>-0.02872401848</v>
      </c>
      <c r="F930" s="7">
        <f>IFERROR(IF(OR(PRECIOS!F930="",PRECIOS!F929=""),"",PRECIOS!F930/PRECIOS!F929-1),"")</f>
        <v>0.02041457286</v>
      </c>
      <c r="G930" s="7">
        <f>IFERROR(IF(OR(PRECIOS!G930="",PRECIOS!G929=""),"",PRECIOS!G930/PRECIOS!G929-1),"")</f>
        <v>-0.004783054322</v>
      </c>
      <c r="H930" s="7">
        <f>IFERROR(IF(OR(PRECIOS!H930="",PRECIOS!H929=""),"",PRECIOS!H930/PRECIOS!H929-1),"")</f>
        <v>0.008221388582</v>
      </c>
      <c r="I930" s="7">
        <f>IFERROR(IF(OR(PRECIOS!I930="",PRECIOS!I929=""),"",PRECIOS!I930/PRECIOS!I929-1),"")</f>
        <v>-0.009011520125</v>
      </c>
    </row>
    <row r="931" ht="15.75" customHeight="1">
      <c r="A931" s="4">
        <f>IF(PRECIOS!A931="","",PRECIOS!A931)</f>
        <v>45764</v>
      </c>
      <c r="B931" s="7">
        <f>IFERROR(IF(OR(PRECIOS!B931="",PRECIOS!B930=""),"",PRECIOS!B931/PRECIOS!B930-1),"")</f>
        <v>0.02620213072</v>
      </c>
      <c r="C931" s="7">
        <f>IFERROR(IF(OR(PRECIOS!C931="",PRECIOS!C930=""),"",PRECIOS!C931/PRECIOS!C930-1),"")</f>
        <v>0.01481153974</v>
      </c>
      <c r="D931" s="7">
        <f>IFERROR(IF(OR(PRECIOS!D931="",PRECIOS!D930=""),"",PRECIOS!D931/PRECIOS!D930-1),"")</f>
        <v>-0.003883662725</v>
      </c>
      <c r="E931" s="7">
        <f>IFERROR(IF(OR(PRECIOS!E931="",PRECIOS!E930=""),"",PRECIOS!E931/PRECIOS!E930-1),"")</f>
        <v>-0.00312082033</v>
      </c>
      <c r="F931" s="7">
        <f>IFERROR(IF(OR(PRECIOS!F931="",PRECIOS!F930=""),"",PRECIOS!F931/PRECIOS!F930-1),"")</f>
        <v>0.01815943367</v>
      </c>
      <c r="G931" s="7">
        <f>IFERROR(IF(OR(PRECIOS!G931="",PRECIOS!G930=""),"",PRECIOS!G931/PRECIOS!G930-1),"")</f>
        <v>0.006179196704</v>
      </c>
      <c r="H931" s="7">
        <f>IFERROR(IF(OR(PRECIOS!H931="",PRECIOS!H930=""),"",PRECIOS!H931/PRECIOS!H930-1),"")</f>
        <v>0.02258463771</v>
      </c>
      <c r="I931" s="7">
        <f>IFERROR(IF(OR(PRECIOS!I931="",PRECIOS!I930=""),"",PRECIOS!I931/PRECIOS!I930-1),"")</f>
        <v>0.01026364949</v>
      </c>
    </row>
    <row r="932" ht="15.75" customHeight="1">
      <c r="A932" s="4">
        <f>IF(PRECIOS!A932="","",PRECIOS!A932)</f>
        <v>45768</v>
      </c>
      <c r="B932" s="7">
        <f>IFERROR(IF(OR(PRECIOS!B932="",PRECIOS!B931=""),"",PRECIOS!B932/PRECIOS!B931-1),"")</f>
        <v>-0.01468387579</v>
      </c>
      <c r="C932" s="7">
        <f>IFERROR(IF(OR(PRECIOS!C932="",PRECIOS!C931=""),"",PRECIOS!C932/PRECIOS!C931-1),"")</f>
        <v>-0.01720945431</v>
      </c>
      <c r="D932" s="7">
        <f>IFERROR(IF(OR(PRECIOS!D932="",PRECIOS!D931=""),"",PRECIOS!D932/PRECIOS!D931-1),"")</f>
        <v>-0.07710968636</v>
      </c>
      <c r="E932" s="7">
        <f>IFERROR(IF(OR(PRECIOS!E932="",PRECIOS!E931=""),"",PRECIOS!E932/PRECIOS!E931-1),"")</f>
        <v>-0.03298300537</v>
      </c>
      <c r="F932" s="7">
        <f>IFERROR(IF(OR(PRECIOS!F932="",PRECIOS!F931=""),"",PRECIOS!F932/PRECIOS!F931-1),"")</f>
        <v>-0.03808948005</v>
      </c>
      <c r="G932" s="7">
        <f>IFERROR(IF(OR(PRECIOS!G932="",PRECIOS!G931=""),"",PRECIOS!G932/PRECIOS!G931-1),"")</f>
        <v>-0.03718867281</v>
      </c>
      <c r="H932" s="7">
        <f>IFERROR(IF(OR(PRECIOS!H932="",PRECIOS!H931=""),"",PRECIOS!H932/PRECIOS!H931-1),"")</f>
        <v>-0.02613461364</v>
      </c>
      <c r="I932" s="7">
        <f>IFERROR(IF(OR(PRECIOS!I932="",PRECIOS!I931=""),"",PRECIOS!I932/PRECIOS!I931-1),"")</f>
        <v>-0.02366231365</v>
      </c>
    </row>
    <row r="933" ht="15.75" customHeight="1">
      <c r="A933" s="4">
        <f>IF(PRECIOS!A933="","",PRECIOS!A933)</f>
        <v>45769</v>
      </c>
      <c r="B933" s="7">
        <f>IFERROR(IF(OR(PRECIOS!B933="",PRECIOS!B932=""),"",PRECIOS!B933/PRECIOS!B932-1),"")</f>
        <v>0.02800189843</v>
      </c>
      <c r="C933" s="7">
        <f>IFERROR(IF(OR(PRECIOS!C933="",PRECIOS!C932=""),"",PRECIOS!C933/PRECIOS!C932-1),"")</f>
        <v>0.01806494514</v>
      </c>
      <c r="D933" s="7">
        <f>IFERROR(IF(OR(PRECIOS!D933="",PRECIOS!D932=""),"",PRECIOS!D933/PRECIOS!D932-1),"")</f>
        <v>0.05736012017</v>
      </c>
      <c r="E933" s="7">
        <f>IFERROR(IF(OR(PRECIOS!E933="",PRECIOS!E932=""),"",PRECIOS!E933/PRECIOS!E932-1),"")</f>
        <v>0.02867383513</v>
      </c>
      <c r="F933" s="7">
        <f>IFERROR(IF(OR(PRECIOS!F933="",PRECIOS!F932=""),"",PRECIOS!F933/PRECIOS!F932-1),"")</f>
        <v>0.03708359522</v>
      </c>
      <c r="G933" s="7">
        <f>IFERROR(IF(OR(PRECIOS!G933="",PRECIOS!G932=""),"",PRECIOS!G933/PRECIOS!G932-1),"")</f>
        <v>0.03118355776</v>
      </c>
      <c r="H933" s="7">
        <f>IFERROR(IF(OR(PRECIOS!H933="",PRECIOS!H932=""),"",PRECIOS!H933/PRECIOS!H932-1),"")</f>
        <v>0.02544842876</v>
      </c>
      <c r="I933" s="7">
        <f>IFERROR(IF(OR(PRECIOS!I933="",PRECIOS!I932=""),"",PRECIOS!I933/PRECIOS!I932-1),"")</f>
        <v>0.02726223559</v>
      </c>
    </row>
    <row r="934" ht="15.75" customHeight="1">
      <c r="A934" s="4">
        <f>IF(PRECIOS!A934="","",PRECIOS!A934)</f>
        <v>45770</v>
      </c>
      <c r="B934" s="7">
        <f>IFERROR(IF(OR(PRECIOS!B934="",PRECIOS!B933=""),"",PRECIOS!B934/PRECIOS!B933-1),"")</f>
        <v>-0.008587257618</v>
      </c>
      <c r="C934" s="7">
        <f>IFERROR(IF(OR(PRECIOS!C934="",PRECIOS!C933=""),"",PRECIOS!C934/PRECIOS!C933-1),"")</f>
        <v>-0.00794687568</v>
      </c>
      <c r="D934" s="7">
        <f>IFERROR(IF(OR(PRECIOS!D934="",PRECIOS!D933=""),"",PRECIOS!D934/PRECIOS!D933-1),"")</f>
        <v>0.06543549676</v>
      </c>
      <c r="E934" s="7">
        <f>IFERROR(IF(OR(PRECIOS!E934="",PRECIOS!E933=""),"",PRECIOS!E934/PRECIOS!E933-1),"")</f>
        <v>0.03278258589</v>
      </c>
      <c r="F934" s="7">
        <f>IFERROR(IF(OR(PRECIOS!F934="",PRECIOS!F933=""),"",PRECIOS!F934/PRECIOS!F933-1),"")</f>
        <v>-0.01060606061</v>
      </c>
      <c r="G934" s="7">
        <f>IFERROR(IF(OR(PRECIOS!G934="",PRECIOS!G933=""),"",PRECIOS!G934/PRECIOS!G933-1),"")</f>
        <v>0.004810996564</v>
      </c>
      <c r="H934" s="7">
        <f>IFERROR(IF(OR(PRECIOS!H934="",PRECIOS!H933=""),"",PRECIOS!H934/PRECIOS!H933-1),"")</f>
        <v>-0.001841926892</v>
      </c>
      <c r="I934" s="7">
        <f>IFERROR(IF(OR(PRECIOS!I934="",PRECIOS!I933=""),"",PRECIOS!I934/PRECIOS!I933-1),"")</f>
        <v>0.004229331923</v>
      </c>
    </row>
    <row r="935" ht="15.75" customHeight="1">
      <c r="A935" s="4">
        <f>IF(PRECIOS!A935="","",PRECIOS!A935)</f>
        <v>45771</v>
      </c>
      <c r="B935" s="7">
        <f>IFERROR(IF(OR(PRECIOS!B935="",PRECIOS!B934=""),"",PRECIOS!B935/PRECIOS!B934-1),"")</f>
        <v>0.01173512154</v>
      </c>
      <c r="C935" s="7">
        <f>IFERROR(IF(OR(PRECIOS!C935="",PRECIOS!C934=""),"",PRECIOS!C935/PRECIOS!C934-1),"")</f>
        <v>-0.0008778667837</v>
      </c>
      <c r="D935" s="7">
        <f>IFERROR(IF(OR(PRECIOS!D935="",PRECIOS!D934=""),"",PRECIOS!D935/PRECIOS!D934-1),"")</f>
        <v>0.03525</v>
      </c>
      <c r="E935" s="7">
        <f>IFERROR(IF(OR(PRECIOS!E935="",PRECIOS!E934=""),"",PRECIOS!E935/PRECIOS!E934-1),"")</f>
        <v>0.04121018646</v>
      </c>
      <c r="F935" s="7">
        <f>IFERROR(IF(OR(PRECIOS!F935="",PRECIOS!F934=""),"",PRECIOS!F935/PRECIOS!F934-1),"")</f>
        <v>-0.01255742726</v>
      </c>
      <c r="G935" s="7">
        <f>IFERROR(IF(OR(PRECIOS!G935="",PRECIOS!G934=""),"",PRECIOS!G935/PRECIOS!G934-1),"")</f>
        <v>0.01932284542</v>
      </c>
      <c r="H935" s="7">
        <f>IFERROR(IF(OR(PRECIOS!H935="",PRECIOS!H934=""),"",PRECIOS!H935/PRECIOS!H934-1),"")</f>
        <v>0.01600208009</v>
      </c>
      <c r="I935" s="7">
        <f>IFERROR(IF(OR(PRECIOS!I935="",PRECIOS!I934=""),"",PRECIOS!I935/PRECIOS!I934-1),"")</f>
        <v>0.00153596612</v>
      </c>
    </row>
    <row r="936" ht="15.75" customHeight="1">
      <c r="A936" s="4">
        <f>IF(PRECIOS!A936="","",PRECIOS!A936)</f>
        <v>45772</v>
      </c>
      <c r="B936" s="7">
        <f>IFERROR(IF(OR(PRECIOS!B936="",PRECIOS!B935=""),"",PRECIOS!B936/PRECIOS!B935-1),"")</f>
        <v>-0.0005523336095</v>
      </c>
      <c r="C936" s="7">
        <f>IFERROR(IF(OR(PRECIOS!C936="",PRECIOS!C935=""),"",PRECIOS!C936/PRECIOS!C935-1),"")</f>
        <v>-0.00680944536</v>
      </c>
      <c r="D936" s="7">
        <f>IFERROR(IF(OR(PRECIOS!D936="",PRECIOS!D935=""),"",PRECIOS!D936/PRECIOS!D935-1),"")</f>
        <v>0.01939950093</v>
      </c>
      <c r="E936" s="7">
        <f>IFERROR(IF(OR(PRECIOS!E936="",PRECIOS!E935=""),"",PRECIOS!E936/PRECIOS!E935-1),"")</f>
        <v>0.006271339976</v>
      </c>
      <c r="F936" s="7">
        <f>IFERROR(IF(OR(PRECIOS!F936="",PRECIOS!F935=""),"",PRECIOS!F936/PRECIOS!F935-1),"")</f>
        <v>-0.007444168734</v>
      </c>
      <c r="G936" s="7">
        <f>IFERROR(IF(OR(PRECIOS!G936="",PRECIOS!G935=""),"",PRECIOS!G936/PRECIOS!G935-1),"")</f>
        <v>-0.009729911089</v>
      </c>
      <c r="H936" s="7">
        <f>IFERROR(IF(OR(PRECIOS!H936="",PRECIOS!H935=""),"",PRECIOS!H936/PRECIOS!H935-1),"")</f>
        <v>-0.001818746506</v>
      </c>
      <c r="I936" s="7">
        <f>IFERROR(IF(OR(PRECIOS!I936="",PRECIOS!I935=""),"",PRECIOS!I936/PRECIOS!I935-1),"")</f>
        <v>-0.003059409833</v>
      </c>
    </row>
    <row r="937" ht="15.75" customHeight="1">
      <c r="A937" s="4">
        <f>IF(PRECIOS!A937="","",PRECIOS!A937)</f>
        <v>45775</v>
      </c>
      <c r="B937" s="7">
        <f>IFERROR(IF(OR(PRECIOS!B937="",PRECIOS!B936=""),"",PRECIOS!B937/PRECIOS!B936-1),"")</f>
        <v>0.0005526388505</v>
      </c>
      <c r="C937" s="7">
        <f>IFERROR(IF(OR(PRECIOS!C937="",PRECIOS!C936=""),"",PRECIOS!C937/PRECIOS!C936-1),"")</f>
        <v>0.003538648679</v>
      </c>
      <c r="D937" s="7">
        <f>IFERROR(IF(OR(PRECIOS!D937="",PRECIOS!D936=""),"",PRECIOS!D937/PRECIOS!D936-1),"")</f>
        <v>0.02353126974</v>
      </c>
      <c r="E937" s="7">
        <f>IFERROR(IF(OR(PRECIOS!E937="",PRECIOS!E936=""),"",PRECIOS!E937/PRECIOS!E936-1),"")</f>
        <v>-0.00373935323</v>
      </c>
      <c r="F937" s="7">
        <f>IFERROR(IF(OR(PRECIOS!F937="",PRECIOS!F936=""),"",PRECIOS!F937/PRECIOS!F936-1),"")</f>
        <v>-0.0171875</v>
      </c>
      <c r="G937" s="7">
        <f>IFERROR(IF(OR(PRECIOS!G937="",PRECIOS!G936=""),"",PRECIOS!G937/PRECIOS!G936-1),"")</f>
        <v>0.01067253939</v>
      </c>
      <c r="H937" s="7">
        <f>IFERROR(IF(OR(PRECIOS!H937="",PRECIOS!H936=""),"",PRECIOS!H937/PRECIOS!H936-1),"")</f>
        <v>0.00704181529</v>
      </c>
      <c r="I937" s="7">
        <f>IFERROR(IF(OR(PRECIOS!I937="",PRECIOS!I936=""),"",PRECIOS!I937/PRECIOS!I936-1),"")</f>
        <v>0.006137597092</v>
      </c>
    </row>
    <row r="938" ht="15.75" customHeight="1">
      <c r="A938" s="4">
        <f>IF(PRECIOS!A938="","",PRECIOS!A938)</f>
        <v>45776</v>
      </c>
      <c r="B938" s="7">
        <f>IFERROR(IF(OR(PRECIOS!B938="",PRECIOS!B937=""),"",PRECIOS!B938/PRECIOS!B937-1),"")</f>
        <v>-0.002485501243</v>
      </c>
      <c r="C938" s="7">
        <f>IFERROR(IF(OR(PRECIOS!C938="",PRECIOS!C937=""),"",PRECIOS!C938/PRECIOS!C937-1),"")</f>
        <v>0.007713498623</v>
      </c>
      <c r="D938" s="7">
        <f>IFERROR(IF(OR(PRECIOS!D938="",PRECIOS!D937=""),"",PRECIOS!D938/PRECIOS!D937-1),"")</f>
        <v>-0.002237309057</v>
      </c>
      <c r="E938" s="7">
        <f>IFERROR(IF(OR(PRECIOS!E938="",PRECIOS!E937=""),"",PRECIOS!E938/PRECIOS!E937-1),"")</f>
        <v>0.01025231111</v>
      </c>
      <c r="F938" s="7">
        <f>IFERROR(IF(OR(PRECIOS!F938="",PRECIOS!F937=""),"",PRECIOS!F938/PRECIOS!F937-1),"")</f>
        <v>-0.01017488076</v>
      </c>
      <c r="G938" s="7">
        <f>IFERROR(IF(OR(PRECIOS!G938="",PRECIOS!G937=""),"",PRECIOS!G938/PRECIOS!G937-1),"")</f>
        <v>0.0001676164935</v>
      </c>
      <c r="H938" s="7">
        <f>IFERROR(IF(OR(PRECIOS!H938="",PRECIOS!H937=""),"",PRECIOS!H938/PRECIOS!H937-1),"")</f>
        <v>-0.002894416816</v>
      </c>
      <c r="I938" s="7">
        <f>IFERROR(IF(OR(PRECIOS!I938="",PRECIOS!I937=""),"",PRECIOS!I938/PRECIOS!I937-1),"")</f>
        <v>0.007751092837</v>
      </c>
    </row>
    <row r="939" ht="15.75" customHeight="1">
      <c r="A939" s="4">
        <f>IF(PRECIOS!A939="","",PRECIOS!A939)</f>
        <v>45777</v>
      </c>
      <c r="B939" s="7">
        <f>IFERROR(IF(OR(PRECIOS!B939="",PRECIOS!B938=""),"",PRECIOS!B939/PRECIOS!B938-1),"")</f>
        <v>-0.02519379845</v>
      </c>
      <c r="C939" s="7">
        <f>IFERROR(IF(OR(PRECIOS!C939="",PRECIOS!C938=""),"",PRECIOS!C939/PRECIOS!C938-1),"")</f>
        <v>0.004811372335</v>
      </c>
      <c r="D939" s="7">
        <f>IFERROR(IF(OR(PRECIOS!D939="",PRECIOS!D938=""),"",PRECIOS!D939/PRECIOS!D938-1),"")</f>
        <v>0.002319647414</v>
      </c>
      <c r="E939" s="7">
        <f>IFERROR(IF(OR(PRECIOS!E939="",PRECIOS!E938=""),"",PRECIOS!E939/PRECIOS!E938-1),"")</f>
        <v>0.01265953421</v>
      </c>
      <c r="F939" s="7">
        <f>IFERROR(IF(OR(PRECIOS!F939="",PRECIOS!F938=""),"",PRECIOS!F939/PRECIOS!F938-1),"")</f>
        <v>-0.04272406039</v>
      </c>
      <c r="G939" s="7">
        <f>IFERROR(IF(OR(PRECIOS!G939="",PRECIOS!G938=""),"",PRECIOS!G939/PRECIOS!G938-1),"")</f>
        <v>-0.01843472432</v>
      </c>
      <c r="H939" s="7">
        <f>IFERROR(IF(OR(PRECIOS!H939="",PRECIOS!H938=""),"",PRECIOS!H939/PRECIOS!H938-1),"")</f>
        <v>-0.02695332932</v>
      </c>
      <c r="I939" s="7">
        <f>IFERROR(IF(OR(PRECIOS!I939="",PRECIOS!I938=""),"",PRECIOS!I939/PRECIOS!I938-1),"")</f>
        <v>-0.005043506035</v>
      </c>
    </row>
    <row r="940" ht="15.75" customHeight="1">
      <c r="A940" s="4">
        <f>IF(PRECIOS!A940="","",PRECIOS!A940)</f>
        <v>45778</v>
      </c>
      <c r="B940" s="7">
        <f>IFERROR(IF(OR(PRECIOS!B940="",PRECIOS!B939=""),"",PRECIOS!B940/PRECIOS!B939-1),"")</f>
        <v>0.001420051122</v>
      </c>
      <c r="C940" s="7">
        <f>IFERROR(IF(OR(PRECIOS!C940="",PRECIOS!C939=""),"",PRECIOS!C940/PRECIOS!C939-1),"")</f>
        <v>-0.004679508108</v>
      </c>
      <c r="D940" s="7">
        <f>IFERROR(IF(OR(PRECIOS!D940="",PRECIOS!D939=""),"",PRECIOS!D940/PRECIOS!D939-1),"")</f>
        <v>0.05916840238</v>
      </c>
      <c r="E940" s="7">
        <f>IFERROR(IF(OR(PRECIOS!E940="",PRECIOS!E939=""),"",PRECIOS!E940/PRECIOS!E939-1),"")</f>
        <v>0.02476475184</v>
      </c>
      <c r="F940" s="7">
        <f>IFERROR(IF(OR(PRECIOS!F940="",PRECIOS!F939=""),"",PRECIOS!F940/PRECIOS!F939-1),"")</f>
        <v>-0.01879194631</v>
      </c>
      <c r="G940" s="7">
        <f>IFERROR(IF(OR(PRECIOS!G940="",PRECIOS!G939=""),"",PRECIOS!G940/PRECIOS!G939-1),"")</f>
        <v>0.003926925047</v>
      </c>
      <c r="H940" s="7">
        <f>IFERROR(IF(OR(PRECIOS!H940="",PRECIOS!H939=""),"",PRECIOS!H940/PRECIOS!H939-1),"")</f>
        <v>0.003727122651</v>
      </c>
      <c r="I940" s="7">
        <f>IFERROR(IF(OR(PRECIOS!I940="",PRECIOS!I939=""),"",PRECIOS!I940/PRECIOS!I939-1),"")</f>
        <v>0.002915104695</v>
      </c>
    </row>
    <row r="941" ht="15.75" customHeight="1">
      <c r="A941" s="4">
        <f>IF(PRECIOS!A941="","",PRECIOS!A941)</f>
        <v>45779</v>
      </c>
      <c r="B941" s="7">
        <f>IFERROR(IF(OR(PRECIOS!B941="",PRECIOS!B940=""),"",PRECIOS!B941/PRECIOS!B940-1),"")</f>
        <v>0.00406504065</v>
      </c>
      <c r="C941" s="7">
        <f>IFERROR(IF(OR(PRECIOS!C941="",PRECIOS!C940=""),"",PRECIOS!C941/PRECIOS!C940-1),"")</f>
        <v>-0.004482834026</v>
      </c>
      <c r="D941" s="7">
        <f>IFERROR(IF(OR(PRECIOS!D941="",PRECIOS!D940=""),"",PRECIOS!D941/PRECIOS!D940-1),"")</f>
        <v>0.01442097597</v>
      </c>
      <c r="E941" s="7">
        <f>IFERROR(IF(OR(PRECIOS!E941="",PRECIOS!E940=""),"",PRECIOS!E941/PRECIOS!E940-1),"")</f>
        <v>-0.006464231254</v>
      </c>
      <c r="F941" s="7">
        <f>IFERROR(IF(OR(PRECIOS!F941="",PRECIOS!F940=""),"",PRECIOS!F941/PRECIOS!F940-1),"")</f>
        <v>-0.00512995896</v>
      </c>
      <c r="G941" s="7">
        <f>IFERROR(IF(OR(PRECIOS!G941="",PRECIOS!G940=""),"",PRECIOS!G941/PRECIOS!G940-1),"")</f>
        <v>0.02040816327</v>
      </c>
      <c r="H941" s="7">
        <f>IFERROR(IF(OR(PRECIOS!H941="",PRECIOS!H940=""),"",PRECIOS!H941/PRECIOS!H940-1),"")</f>
        <v>0.01460185639</v>
      </c>
      <c r="I941" s="7">
        <f>IFERROR(IF(OR(PRECIOS!I941="",PRECIOS!I940=""),"",PRECIOS!I941/PRECIOS!I940-1),"")</f>
        <v>0.007834482047</v>
      </c>
    </row>
    <row r="942" ht="15.75" customHeight="1">
      <c r="A942" s="4">
        <f>IF(PRECIOS!A942="","",PRECIOS!A942)</f>
        <v>45782</v>
      </c>
      <c r="B942" s="7">
        <f>IFERROR(IF(OR(PRECIOS!B942="",PRECIOS!B941=""),"",PRECIOS!B942/PRECIOS!B941-1),"")</f>
        <v>-0.02768100932</v>
      </c>
      <c r="C942" s="7">
        <f>IFERROR(IF(OR(PRECIOS!C942="",PRECIOS!C941=""),"",PRECIOS!C942/PRECIOS!C941-1),"")</f>
        <v>0</v>
      </c>
      <c r="D942" s="7">
        <f>IFERROR(IF(OR(PRECIOS!D942="",PRECIOS!D941=""),"",PRECIOS!D942/PRECIOS!D941-1),"")</f>
        <v>0.005169442849</v>
      </c>
      <c r="E942" s="7">
        <f>IFERROR(IF(OR(PRECIOS!E942="",PRECIOS!E941=""),"",PRECIOS!E942/PRECIOS!E941-1),"")</f>
        <v>-0.003770311301</v>
      </c>
      <c r="F942" s="7">
        <f>IFERROR(IF(OR(PRECIOS!F942="",PRECIOS!F941=""),"",PRECIOS!F942/PRECIOS!F941-1),"")</f>
        <v>-0.03403231351</v>
      </c>
      <c r="G942" s="7">
        <f>IFERROR(IF(OR(PRECIOS!G942="",PRECIOS!G941=""),"",PRECIOS!G942/PRECIOS!G941-1),"")</f>
        <v>0.002833333333</v>
      </c>
      <c r="H942" s="7">
        <f>IFERROR(IF(OR(PRECIOS!H942="",PRECIOS!H941=""),"",PRECIOS!H942/PRECIOS!H941-1),"")</f>
        <v>-0.01805155299</v>
      </c>
      <c r="I942" s="7">
        <f>IFERROR(IF(OR(PRECIOS!I942="",PRECIOS!I941=""),"",PRECIOS!I942/PRECIOS!I941-1),"")</f>
        <v>-0.002510085164</v>
      </c>
    </row>
    <row r="943" ht="15.75" customHeight="1">
      <c r="A943" s="4">
        <f>IF(PRECIOS!A943="","",PRECIOS!A943)</f>
        <v>45783</v>
      </c>
      <c r="B943" s="7">
        <f>IFERROR(IF(OR(PRECIOS!B943="",PRECIOS!B942=""),"",PRECIOS!B943/PRECIOS!B942-1),"")</f>
        <v>0.01394403021</v>
      </c>
      <c r="C943" s="7">
        <f>IFERROR(IF(OR(PRECIOS!C943="",PRECIOS!C942=""),"",PRECIOS!C943/PRECIOS!C942-1),"")</f>
        <v>0.001867105986</v>
      </c>
      <c r="D943" s="7">
        <f>IFERROR(IF(OR(PRECIOS!D943="",PRECIOS!D942=""),"",PRECIOS!D943/PRECIOS!D942-1),"")</f>
        <v>0.03428571429</v>
      </c>
      <c r="E943" s="7">
        <f>IFERROR(IF(OR(PRECIOS!E943="",PRECIOS!E942=""),"",PRECIOS!E943/PRECIOS!E942-1),"")</f>
        <v>-0.001574117489</v>
      </c>
      <c r="F943" s="7">
        <f>IFERROR(IF(OR(PRECIOS!F943="",PRECIOS!F942=""),"",PRECIOS!F943/PRECIOS!F942-1),"")</f>
        <v>0.07402135231</v>
      </c>
      <c r="G943" s="7">
        <f>IFERROR(IF(OR(PRECIOS!G943="",PRECIOS!G942=""),"",PRECIOS!G943/PRECIOS!G942-1),"")</f>
        <v>-0.02443077946</v>
      </c>
      <c r="H943" s="7">
        <f>IFERROR(IF(OR(PRECIOS!H943="",PRECIOS!H942=""),"",PRECIOS!H943/PRECIOS!H942-1),"")</f>
        <v>0.0002471161293</v>
      </c>
      <c r="I943" s="7">
        <f>IFERROR(IF(OR(PRECIOS!I943="",PRECIOS!I942=""),"",PRECIOS!I943/PRECIOS!I942-1),"")</f>
        <v>0.01219684423</v>
      </c>
    </row>
    <row r="944" ht="15.75" customHeight="1">
      <c r="A944" s="4">
        <f>IF(PRECIOS!A944="","",PRECIOS!A944)</f>
        <v>45784</v>
      </c>
      <c r="B944" s="7">
        <f>IFERROR(IF(OR(PRECIOS!B944="",PRECIOS!B943=""),"",PRECIOS!B944/PRECIOS!B943-1),"")</f>
        <v>-0.0009550186229</v>
      </c>
      <c r="C944" s="7">
        <f>IFERROR(IF(OR(PRECIOS!C944="",PRECIOS!C943=""),"",PRECIOS!C944/PRECIOS!C943-1),"")</f>
        <v>0.009756632317</v>
      </c>
      <c r="D944" s="7">
        <f>IFERROR(IF(OR(PRECIOS!D944="",PRECIOS!D943=""),"",PRECIOS!D944/PRECIOS!D943-1),"")</f>
        <v>-0.03660220994</v>
      </c>
      <c r="E944" s="7">
        <f>IFERROR(IF(OR(PRECIOS!E944="",PRECIOS!E943=""),"",PRECIOS!E944/PRECIOS!E943-1),"")</f>
        <v>0.01371976787</v>
      </c>
      <c r="F944" s="7">
        <f>IFERROR(IF(OR(PRECIOS!F944="",PRECIOS!F943=""),"",PRECIOS!F944/PRECIOS!F943-1),"")</f>
        <v>0.002982107356</v>
      </c>
      <c r="G944" s="7">
        <f>IFERROR(IF(OR(PRECIOS!G944="",PRECIOS!G943=""),"",PRECIOS!G944/PRECIOS!G943-1),"")</f>
        <v>0.004088586031</v>
      </c>
      <c r="H944" s="7">
        <f>IFERROR(IF(OR(PRECIOS!H944="",PRECIOS!H943=""),"",PRECIOS!H944/PRECIOS!H943-1),"")</f>
        <v>0.0003744030564</v>
      </c>
      <c r="I944" s="7">
        <f>IFERROR(IF(OR(PRECIOS!I944="",PRECIOS!I943=""),"",PRECIOS!I944/PRECIOS!I943-1),"")</f>
        <v>0.002853917477</v>
      </c>
    </row>
    <row r="945" ht="15.75" customHeight="1">
      <c r="A945" s="4">
        <f>IF(PRECIOS!A945="","",PRECIOS!A945)</f>
        <v>45785</v>
      </c>
      <c r="B945" s="7">
        <f>IFERROR(IF(OR(PRECIOS!B945="",PRECIOS!B944=""),"",PRECIOS!B945/PRECIOS!B944-1),"")</f>
        <v>0.01395660071</v>
      </c>
      <c r="C945" s="7">
        <f>IFERROR(IF(OR(PRECIOS!C945="",PRECIOS!C944=""),"",PRECIOS!C945/PRECIOS!C944-1),"")</f>
        <v>-0.01954185213</v>
      </c>
      <c r="D945" s="7">
        <f>IFERROR(IF(OR(PRECIOS!D945="",PRECIOS!D944=""),"",PRECIOS!D945/PRECIOS!D944-1),"")</f>
        <v>0.01010752688</v>
      </c>
      <c r="E945" s="7">
        <f>IFERROR(IF(OR(PRECIOS!E945="",PRECIOS!E944=""),"",PRECIOS!E945/PRECIOS!E944-1),"")</f>
        <v>0.01601588352</v>
      </c>
      <c r="F945" s="7">
        <f>IFERROR(IF(OR(PRECIOS!F945="",PRECIOS!F944=""),"",PRECIOS!F945/PRECIOS!F944-1),"")</f>
        <v>0.01883052527</v>
      </c>
      <c r="G945" s="7">
        <f>IFERROR(IF(OR(PRECIOS!G945="",PRECIOS!G944=""),"",PRECIOS!G945/PRECIOS!G944-1),"")</f>
        <v>-0.03189684425</v>
      </c>
      <c r="H945" s="7">
        <f>IFERROR(IF(OR(PRECIOS!H945="",PRECIOS!H944=""),"",PRECIOS!H945/PRECIOS!H944-1),"")</f>
        <v>0.01315776074</v>
      </c>
      <c r="I945" s="7">
        <f>IFERROR(IF(OR(PRECIOS!I945="",PRECIOS!I944=""),"",PRECIOS!I945/PRECIOS!I944-1),"")</f>
        <v>-0.008049175352</v>
      </c>
    </row>
    <row r="946" ht="15.75" customHeight="1">
      <c r="A946" s="4">
        <f>IF(PRECIOS!A946="","",PRECIOS!A946)</f>
        <v>45786</v>
      </c>
      <c r="B946" s="7">
        <f>IFERROR(IF(OR(PRECIOS!B946="",PRECIOS!B945=""),"",PRECIOS!B946/PRECIOS!B945-1),"")</f>
        <v>0.01169039314</v>
      </c>
      <c r="C946" s="7">
        <f>IFERROR(IF(OR(PRECIOS!C946="",PRECIOS!C945=""),"",PRECIOS!C946/PRECIOS!C945-1),"")</f>
        <v>0.0004429188351</v>
      </c>
      <c r="D946" s="7">
        <f>IFERROR(IF(OR(PRECIOS!D946="",PRECIOS!D945=""),"",PRECIOS!D946/PRECIOS!D945-1),"")</f>
        <v>-0.03661911859</v>
      </c>
      <c r="E946" s="7">
        <f>IFERROR(IF(OR(PRECIOS!E946="",PRECIOS!E945=""),"",PRECIOS!E946/PRECIOS!E945-1),"")</f>
        <v>0.009217040125</v>
      </c>
      <c r="F946" s="7">
        <f>IFERROR(IF(OR(PRECIOS!F946="",PRECIOS!F945=""),"",PRECIOS!F946/PRECIOS!F945-1),"")</f>
        <v>0.06031128405</v>
      </c>
      <c r="G946" s="7">
        <f>IFERROR(IF(OR(PRECIOS!G946="",PRECIOS!G945=""),"",PRECIOS!G946/PRECIOS!G945-1),"")</f>
        <v>0.01051524711</v>
      </c>
      <c r="H946" s="7">
        <f>IFERROR(IF(OR(PRECIOS!H946="",PRECIOS!H945=""),"",PRECIOS!H946/PRECIOS!H945-1),"")</f>
        <v>0.01004925366</v>
      </c>
      <c r="I946" s="7">
        <f>IFERROR(IF(OR(PRECIOS!I946="",PRECIOS!I945=""),"",PRECIOS!I946/PRECIOS!I945-1),"")</f>
        <v>0.001746834023</v>
      </c>
    </row>
    <row r="947" ht="15.75" customHeight="1">
      <c r="A947" s="4">
        <f>IF(PRECIOS!A947="","",PRECIOS!A947)</f>
        <v>45789</v>
      </c>
      <c r="B947" s="7">
        <f>IFERROR(IF(OR(PRECIOS!B947="",PRECIOS!B946=""),"",PRECIOS!B947/PRECIOS!B946-1),"")</f>
        <v>0.01723977262</v>
      </c>
      <c r="C947" s="7">
        <f>IFERROR(IF(OR(PRECIOS!C947="",PRECIOS!C946=""),"",PRECIOS!C947/PRECIOS!C946-1),"")</f>
        <v>-0.02844493636</v>
      </c>
      <c r="D947" s="7">
        <f>IFERROR(IF(OR(PRECIOS!D947="",PRECIOS!D946=""),"",PRECIOS!D947/PRECIOS!D946-1),"")</f>
        <v>0.0761694291</v>
      </c>
      <c r="E947" s="7">
        <f>IFERROR(IF(OR(PRECIOS!E947="",PRECIOS!E946=""),"",PRECIOS!E947/PRECIOS!E946-1),"")</f>
        <v>0.03943589247</v>
      </c>
      <c r="F947" s="7">
        <f>IFERROR(IF(OR(PRECIOS!F947="",PRECIOS!F946=""),"",PRECIOS!F947/PRECIOS!F946-1),"")</f>
        <v>0.08654434251</v>
      </c>
      <c r="G947" s="7">
        <f>IFERROR(IF(OR(PRECIOS!G947="",PRECIOS!G946=""),"",PRECIOS!G947/PRECIOS!G946-1),"")</f>
        <v>-0.009191814083</v>
      </c>
      <c r="H947" s="7">
        <f>IFERROR(IF(OR(PRECIOS!H947="",PRECIOS!H946=""),"",PRECIOS!H947/PRECIOS!H946-1),"")</f>
        <v>0.02608355994</v>
      </c>
      <c r="I947" s="7">
        <f>IFERROR(IF(OR(PRECIOS!I947="",PRECIOS!I946=""),"",PRECIOS!I947/PRECIOS!I946-1),"")</f>
        <v>-0.005982338101</v>
      </c>
    </row>
    <row r="948" ht="15.75" customHeight="1">
      <c r="A948" s="4">
        <f>IF(PRECIOS!A948="","",PRECIOS!A948)</f>
        <v>45790</v>
      </c>
      <c r="B948" s="7">
        <f>IFERROR(IF(OR(PRECIOS!B948="",PRECIOS!B947=""),"",PRECIOS!B948/PRECIOS!B947-1),"")</f>
        <v>0.002748259436</v>
      </c>
      <c r="C948" s="7">
        <f>IFERROR(IF(OR(PRECIOS!C948="",PRECIOS!C947=""),"",PRECIOS!C948/PRECIOS!C947-1),"")</f>
        <v>-0.02517657781</v>
      </c>
      <c r="D948" s="7">
        <f>IFERROR(IF(OR(PRECIOS!D948="",PRECIOS!D947=""),"",PRECIOS!D948/PRECIOS!D947-1),"")</f>
        <v>0.06098980081</v>
      </c>
      <c r="E948" s="7">
        <f>IFERROR(IF(OR(PRECIOS!E948="",PRECIOS!E947=""),"",PRECIOS!E948/PRECIOS!E947-1),"")</f>
        <v>0.02688689497</v>
      </c>
      <c r="F948" s="7">
        <f>IFERROR(IF(OR(PRECIOS!F948="",PRECIOS!F947=""),"",PRECIOS!F948/PRECIOS!F947-1),"")</f>
        <v>0.01069518717</v>
      </c>
      <c r="G948" s="7">
        <f>IFERROR(IF(OR(PRECIOS!G948="",PRECIOS!G947=""),"",PRECIOS!G948/PRECIOS!G947-1),"")</f>
        <v>0.01645370208</v>
      </c>
      <c r="H948" s="7">
        <f>IFERROR(IF(OR(PRECIOS!H948="",PRECIOS!H947=""),"",PRECIOS!H948/PRECIOS!H947-1),"")</f>
        <v>0.01406808059</v>
      </c>
      <c r="I948" s="7">
        <f>IFERROR(IF(OR(PRECIOS!I948="",PRECIOS!I947=""),"",PRECIOS!I948/PRECIOS!I947-1),"")</f>
        <v>-0.001375255139</v>
      </c>
    </row>
    <row r="949" ht="15.75" customHeight="1">
      <c r="A949" s="4">
        <f>IF(PRECIOS!A949="","",PRECIOS!A949)</f>
        <v>45791</v>
      </c>
      <c r="B949" s="7">
        <f>IFERROR(IF(OR(PRECIOS!B949="",PRECIOS!B948=""),"",PRECIOS!B949/PRECIOS!B948-1),"")</f>
        <v>-0.008953042207</v>
      </c>
      <c r="C949" s="7">
        <f>IFERROR(IF(OR(PRECIOS!C949="",PRECIOS!C948=""),"",PRECIOS!C949/PRECIOS!C948-1),"")</f>
        <v>-0.007712983522</v>
      </c>
      <c r="D949" s="7">
        <f>IFERROR(IF(OR(PRECIOS!D949="",PRECIOS!D948=""),"",PRECIOS!D949/PRECIOS!D948-1),"")</f>
        <v>-0.001806451613</v>
      </c>
      <c r="E949" s="7">
        <f>IFERROR(IF(OR(PRECIOS!E949="",PRECIOS!E948=""),"",PRECIOS!E949/PRECIOS!E948-1),"")</f>
        <v>-0.005018896447</v>
      </c>
      <c r="F949" s="7">
        <f>IFERROR(IF(OR(PRECIOS!F949="",PRECIOS!F948=""),"",PRECIOS!F949/PRECIOS!F948-1),"")</f>
        <v>0.009189640769</v>
      </c>
      <c r="G949" s="7">
        <f>IFERROR(IF(OR(PRECIOS!G949="",PRECIOS!G948=""),"",PRECIOS!G949/PRECIOS!G948-1),"")</f>
        <v>0.002238677458</v>
      </c>
      <c r="H949" s="7">
        <f>IFERROR(IF(OR(PRECIOS!H949="",PRECIOS!H948=""),"",PRECIOS!H949/PRECIOS!H948-1),"")</f>
        <v>-0.006063721681</v>
      </c>
      <c r="I949" s="7">
        <f>IFERROR(IF(OR(PRECIOS!I949="",PRECIOS!I948=""),"",PRECIOS!I949/PRECIOS!I948-1),"")</f>
        <v>-0.004395593123</v>
      </c>
    </row>
    <row r="950" ht="15.75" customHeight="1">
      <c r="A950" s="4">
        <f>IF(PRECIOS!A950="","",PRECIOS!A950)</f>
        <v>45792</v>
      </c>
      <c r="B950" s="7">
        <f>IFERROR(IF(OR(PRECIOS!B950="",PRECIOS!B949=""),"",PRECIOS!B950/PRECIOS!B949-1),"")</f>
        <v>0.0009218289086</v>
      </c>
      <c r="C950" s="7">
        <f>IFERROR(IF(OR(PRECIOS!C950="",PRECIOS!C949=""),"",PRECIOS!C950/PRECIOS!C949-1),"")</f>
        <v>0.02908962431</v>
      </c>
      <c r="D950" s="7">
        <f>IFERROR(IF(OR(PRECIOS!D950="",PRECIOS!D949=""),"",PRECIOS!D950/PRECIOS!D949-1),"")</f>
        <v>-0.01719234747</v>
      </c>
      <c r="E950" s="7">
        <f>IFERROR(IF(OR(PRECIOS!E950="",PRECIOS!E949=""),"",PRECIOS!E950/PRECIOS!E949-1),"")</f>
        <v>-0.00689780911</v>
      </c>
      <c r="F950" s="7">
        <f>IFERROR(IF(OR(PRECIOS!F950="",PRECIOS!F949=""),"",PRECIOS!F950/PRECIOS!F949-1),"")</f>
        <v>-0.01296909492</v>
      </c>
      <c r="G950" s="7">
        <f>IFERROR(IF(OR(PRECIOS!G950="",PRECIOS!G949=""),"",PRECIOS!G950/PRECIOS!G949-1),"")</f>
        <v>0.009793814433</v>
      </c>
      <c r="H950" s="7">
        <f>IFERROR(IF(OR(PRECIOS!H950="",PRECIOS!H949=""),"",PRECIOS!H950/PRECIOS!H949-1),"")</f>
        <v>0.004221906281</v>
      </c>
      <c r="I950" s="7">
        <f>IFERROR(IF(OR(PRECIOS!I950="",PRECIOS!I949=""),"",PRECIOS!I950/PRECIOS!I949-1),"")</f>
        <v>0.02131254798</v>
      </c>
    </row>
    <row r="951" ht="15.75" customHeight="1">
      <c r="A951" s="4">
        <f>IF(PRECIOS!A951="","",PRECIOS!A951)</f>
        <v>45793</v>
      </c>
      <c r="B951" s="7">
        <f>IFERROR(IF(OR(PRECIOS!B951="",PRECIOS!B950=""),"",PRECIOS!B951/PRECIOS!B950-1),"")</f>
        <v>-0.003591821698</v>
      </c>
      <c r="C951" s="7">
        <f>IFERROR(IF(OR(PRECIOS!C951="",PRECIOS!C950=""),"",PRECIOS!C951/PRECIOS!C950-1),"")</f>
        <v>0.01522087434</v>
      </c>
      <c r="D951" s="7">
        <f>IFERROR(IF(OR(PRECIOS!D951="",PRECIOS!D950=""),"",PRECIOS!D951/PRECIOS!D950-1),"")</f>
        <v>0.02998816257</v>
      </c>
      <c r="E951" s="7">
        <f>IFERROR(IF(OR(PRECIOS!E951="",PRECIOS!E950=""),"",PRECIOS!E951/PRECIOS!E950-1),"")</f>
        <v>0.006884523591</v>
      </c>
      <c r="F951" s="7">
        <f>IFERROR(IF(OR(PRECIOS!F951="",PRECIOS!F950=""),"",PRECIOS!F951/PRECIOS!F950-1),"")</f>
        <v>0.003075202684</v>
      </c>
      <c r="G951" s="7">
        <f>IFERROR(IF(OR(PRECIOS!G951="",PRECIOS!G950=""),"",PRECIOS!G951/PRECIOS!G950-1),"")</f>
        <v>0.0003403096818</v>
      </c>
      <c r="H951" s="7">
        <f>IFERROR(IF(OR(PRECIOS!H951="",PRECIOS!H950=""),"",PRECIOS!H951/PRECIOS!H950-1),"")</f>
        <v>-0.001516371058</v>
      </c>
      <c r="I951" s="7">
        <f>IFERROR(IF(OR(PRECIOS!I951="",PRECIOS!I950=""),"",PRECIOS!I951/PRECIOS!I950-1),"")</f>
        <v>0.01469119487</v>
      </c>
    </row>
    <row r="952" ht="15.75" customHeight="1">
      <c r="A952" s="4">
        <f>IF(PRECIOS!A952="","",PRECIOS!A952)</f>
        <v>45796</v>
      </c>
      <c r="B952" s="7">
        <f>IFERROR(IF(OR(PRECIOS!B952="",PRECIOS!B951=""),"",PRECIOS!B952/PRECIOS!B951-1),"")</f>
        <v>-0.0158979573</v>
      </c>
      <c r="C952" s="7">
        <f>IFERROR(IF(OR(PRECIOS!C952="",PRECIOS!C951=""),"",PRECIOS!C952/PRECIOS!C951-1),"")</f>
        <v>0.008679968436</v>
      </c>
      <c r="D952" s="7">
        <f>IFERROR(IF(OR(PRECIOS!D952="",PRECIOS!D951=""),"",PRECIOS!D952/PRECIOS!D951-1),"")</f>
        <v>0.004469416422</v>
      </c>
      <c r="E952" s="7">
        <f>IFERROR(IF(OR(PRECIOS!E952="",PRECIOS!E951=""),"",PRECIOS!E952/PRECIOS!E951-1),"")</f>
        <v>0.0006685507643</v>
      </c>
      <c r="F952" s="7">
        <f>IFERROR(IF(OR(PRECIOS!F952="",PRECIOS!F951=""),"",PRECIOS!F952/PRECIOS!F951-1),"")</f>
        <v>0.02870680045</v>
      </c>
      <c r="G952" s="7">
        <f>IFERROR(IF(OR(PRECIOS!G952="",PRECIOS!G951=""),"",PRECIOS!G952/PRECIOS!G951-1),"")</f>
        <v>-0.004252423882</v>
      </c>
      <c r="H952" s="7">
        <f>IFERROR(IF(OR(PRECIOS!H952="",PRECIOS!H951=""),"",PRECIOS!H952/PRECIOS!H951-1),"")</f>
        <v>-0.01298430224</v>
      </c>
      <c r="I952" s="7">
        <f>IFERROR(IF(OR(PRECIOS!I952="",PRECIOS!I951=""),"",PRECIOS!I952/PRECIOS!I951-1),"")</f>
        <v>0.004260279727</v>
      </c>
    </row>
    <row r="953" ht="15.75" customHeight="1">
      <c r="A953" s="4">
        <f>IF(PRECIOS!A953="","",PRECIOS!A953)</f>
        <v>45797</v>
      </c>
      <c r="B953" s="7">
        <f>IFERROR(IF(OR(PRECIOS!B953="",PRECIOS!B952=""),"",PRECIOS!B953/PRECIOS!B952-1),"")</f>
        <v>-0.01427632197</v>
      </c>
      <c r="C953" s="7">
        <f>IFERROR(IF(OR(PRECIOS!C953="",PRECIOS!C952=""),"",PRECIOS!C953/PRECIOS!C952-1),"")</f>
        <v>0.01508717032</v>
      </c>
      <c r="D953" s="7">
        <f>IFERROR(IF(OR(PRECIOS!D953="",PRECIOS!D952=""),"",PRECIOS!D953/PRECIOS!D952-1),"")</f>
        <v>-0.001843376557</v>
      </c>
      <c r="E953" s="7">
        <f>IFERROR(IF(OR(PRECIOS!E953="",PRECIOS!E952=""),"",PRECIOS!E953/PRECIOS!E952-1),"")</f>
        <v>-0.003158310304</v>
      </c>
      <c r="F953" s="7">
        <f>IFERROR(IF(OR(PRECIOS!F953="",PRECIOS!F952=""),"",PRECIOS!F953/PRECIOS!F952-1),"")</f>
        <v>-0.01110810079</v>
      </c>
      <c r="G953" s="7">
        <f>IFERROR(IF(OR(PRECIOS!G953="",PRECIOS!G952=""),"",PRECIOS!G953/PRECIOS!G952-1),"")</f>
        <v>0.003928937479</v>
      </c>
      <c r="H953" s="7">
        <f>IFERROR(IF(OR(PRECIOS!H953="",PRECIOS!H952=""),"",PRECIOS!H953/PRECIOS!H952-1),"")</f>
        <v>-0.009246497925</v>
      </c>
      <c r="I953" s="7">
        <f>IFERROR(IF(OR(PRECIOS!I953="",PRECIOS!I952=""),"",PRECIOS!I953/PRECIOS!I952-1),"")</f>
        <v>0.002908163897</v>
      </c>
    </row>
    <row r="954" ht="15.75" customHeight="1">
      <c r="A954" s="4">
        <f>IF(PRECIOS!A954="","",PRECIOS!A954)</f>
        <v>45798</v>
      </c>
      <c r="B954" s="7">
        <f>IFERROR(IF(OR(PRECIOS!B954="",PRECIOS!B953=""),"",PRECIOS!B954/PRECIOS!B953-1),"")</f>
        <v>-0.01229156741</v>
      </c>
      <c r="C954" s="7">
        <f>IFERROR(IF(OR(PRECIOS!C954="",PRECIOS!C953=""),"",PRECIOS!C954/PRECIOS!C953-1),"")</f>
        <v>-0.01288120665</v>
      </c>
      <c r="D954" s="7">
        <f>IFERROR(IF(OR(PRECIOS!D954="",PRECIOS!D953=""),"",PRECIOS!D954/PRECIOS!D953-1),"")</f>
        <v>-0.03158632109</v>
      </c>
      <c r="E954" s="7">
        <f>IFERROR(IF(OR(PRECIOS!E954="",PRECIOS!E953=""),"",PRECIOS!E954/PRECIOS!E953-1),"")</f>
        <v>-0.01803503427</v>
      </c>
      <c r="F954" s="7">
        <f>IFERROR(IF(OR(PRECIOS!F954="",PRECIOS!F953=""),"",PRECIOS!F954/PRECIOS!F953-1),"")</f>
        <v>-0.01561643836</v>
      </c>
      <c r="G954" s="7">
        <f>IFERROR(IF(OR(PRECIOS!G954="",PRECIOS!G953=""),"",PRECIOS!G954/PRECIOS!G953-1),"")</f>
        <v>-0.01429300664</v>
      </c>
      <c r="H954" s="7">
        <f>IFERROR(IF(OR(PRECIOS!H954="",PRECIOS!H953=""),"",PRECIOS!H954/PRECIOS!H953-1),"")</f>
        <v>-0.01842515242</v>
      </c>
      <c r="I954" s="7">
        <f>IFERROR(IF(OR(PRECIOS!I954="",PRECIOS!I953=""),"",PRECIOS!I954/PRECIOS!I953-1),"")</f>
        <v>-0.01824486069</v>
      </c>
    </row>
    <row r="955" ht="15.75" customHeight="1">
      <c r="A955" s="4">
        <f>IF(PRECIOS!A955="","",PRECIOS!A955)</f>
        <v>45799</v>
      </c>
      <c r="B955" s="7">
        <f>IFERROR(IF(OR(PRECIOS!B955="",PRECIOS!B954=""),"",PRECIOS!B955/PRECIOS!B954-1),"")</f>
        <v>-0.006656376616</v>
      </c>
      <c r="C955" s="7">
        <f>IFERROR(IF(OR(PRECIOS!C955="",PRECIOS!C954=""),"",PRECIOS!C955/PRECIOS!C954-1),"")</f>
        <v>-0.009145661387</v>
      </c>
      <c r="D955" s="7">
        <f>IFERROR(IF(OR(PRECIOS!D955="",PRECIOS!D954=""),"",PRECIOS!D955/PRECIOS!D954-1),"")</f>
        <v>0.01742618531</v>
      </c>
      <c r="E955" s="7">
        <f>IFERROR(IF(OR(PRECIOS!E955="",PRECIOS!E954=""),"",PRECIOS!E955/PRECIOS!E954-1),"")</f>
        <v>-0.003909037322</v>
      </c>
      <c r="F955" s="7">
        <f>IFERROR(IF(OR(PRECIOS!F955="",PRECIOS!F954=""),"",PRECIOS!F955/PRECIOS!F954-1),"")</f>
        <v>0.005288060117</v>
      </c>
      <c r="G955" s="7">
        <f>IFERROR(IF(OR(PRECIOS!G955="",PRECIOS!G954=""),"",PRECIOS!G955/PRECIOS!G954-1),"")</f>
        <v>-0.003107198343</v>
      </c>
      <c r="H955" s="7">
        <f>IFERROR(IF(OR(PRECIOS!H955="",PRECIOS!H954=""),"",PRECIOS!H955/PRECIOS!H954-1),"")</f>
        <v>-0.003896671957</v>
      </c>
      <c r="I955" s="7">
        <f>IFERROR(IF(OR(PRECIOS!I955="",PRECIOS!I954=""),"",PRECIOS!I955/PRECIOS!I954-1),"")</f>
        <v>-0.01427540804</v>
      </c>
    </row>
    <row r="956" ht="15.75" customHeight="1">
      <c r="A956" s="4">
        <f>IF(PRECIOS!A956="","",PRECIOS!A956)</f>
        <v>45800</v>
      </c>
      <c r="B956" s="7">
        <f>IFERROR(IF(OR(PRECIOS!B956="",PRECIOS!B955=""),"",PRECIOS!B956/PRECIOS!B955-1),"")</f>
        <v>0.0005826939885</v>
      </c>
      <c r="C956" s="7">
        <f>IFERROR(IF(OR(PRECIOS!C956="",PRECIOS!C955=""),"",PRECIOS!C956/PRECIOS!C955-1),"")</f>
        <v>0.009004952724</v>
      </c>
      <c r="D956" s="7">
        <f>IFERROR(IF(OR(PRECIOS!D956="",PRECIOS!D955=""),"",PRECIOS!D956/PRECIOS!D955-1),"")</f>
        <v>0.02223371251</v>
      </c>
      <c r="E956" s="7">
        <f>IFERROR(IF(OR(PRECIOS!E956="",PRECIOS!E955=""),"",PRECIOS!E956/PRECIOS!E955-1),"")</f>
        <v>-0.00003114585604</v>
      </c>
      <c r="F956" s="7">
        <f>IFERROR(IF(OR(PRECIOS!F956="",PRECIOS!F955=""),"",PRECIOS!F956/PRECIOS!F955-1),"")</f>
        <v>0.01107419712</v>
      </c>
      <c r="G956" s="7">
        <f>IFERROR(IF(OR(PRECIOS!G956="",PRECIOS!G955=""),"",PRECIOS!G956/PRECIOS!G955-1),"")</f>
        <v>0.02147186147</v>
      </c>
      <c r="H956" s="7">
        <f>IFERROR(IF(OR(PRECIOS!H956="",PRECIOS!H955=""),"",PRECIOS!H956/PRECIOS!H955-1),"")</f>
        <v>0.003181724655</v>
      </c>
      <c r="I956" s="7">
        <f>IFERROR(IF(OR(PRECIOS!I956="",PRECIOS!I955=""),"",PRECIOS!I956/PRECIOS!I955-1),"")</f>
        <v>0.01198557651</v>
      </c>
    </row>
    <row r="957" ht="15.75" customHeight="1">
      <c r="A957" s="4">
        <f>IF(PRECIOS!A957="","",PRECIOS!A957)</f>
        <v>45804</v>
      </c>
      <c r="B957" s="7">
        <f>IFERROR(IF(OR(PRECIOS!B957="",PRECIOS!B956=""),"",PRECIOS!B957/PRECIOS!B956-1),"")</f>
        <v>0.004755896341</v>
      </c>
      <c r="C957" s="7">
        <f>IFERROR(IF(OR(PRECIOS!C957="",PRECIOS!C956=""),"",PRECIOS!C957/PRECIOS!C956-1),"")</f>
        <v>0.003123605533</v>
      </c>
      <c r="D957" s="7">
        <f>IFERROR(IF(OR(PRECIOS!D957="",PRECIOS!D956=""),"",PRECIOS!D957/PRECIOS!D956-1),"")</f>
        <v>0.03603945372</v>
      </c>
      <c r="E957" s="7">
        <f>IFERROR(IF(OR(PRECIOS!E957="",PRECIOS!E956=""),"",PRECIOS!E957/PRECIOS!E956-1),"")</f>
        <v>0.02211424656</v>
      </c>
      <c r="F957" s="7">
        <f>IFERROR(IF(OR(PRECIOS!F957="",PRECIOS!F956=""),"",PRECIOS!F957/PRECIOS!F956-1),"")</f>
        <v>0.001369112815</v>
      </c>
      <c r="G957" s="7">
        <f>IFERROR(IF(OR(PRECIOS!G957="",PRECIOS!G956=""),"",PRECIOS!G957/PRECIOS!G956-1),"")</f>
        <v>0.0188167486</v>
      </c>
      <c r="H957" s="7">
        <f>IFERROR(IF(OR(PRECIOS!H957="",PRECIOS!H956=""),"",PRECIOS!H957/PRECIOS!H956-1),"")</f>
        <v>0.008654457045</v>
      </c>
      <c r="I957" s="7">
        <f>IFERROR(IF(OR(PRECIOS!I957="",PRECIOS!I956=""),"",PRECIOS!I957/PRECIOS!I956-1),"")</f>
        <v>0.007527000942</v>
      </c>
    </row>
    <row r="958" ht="15.75" customHeight="1">
      <c r="A958" s="4">
        <f>IF(PRECIOS!A958="","",PRECIOS!A958)</f>
        <v>45805</v>
      </c>
      <c r="B958" s="7">
        <f>IFERROR(IF(OR(PRECIOS!B958="",PRECIOS!B957=""),"",PRECIOS!B958/PRECIOS!B957-1),"")</f>
        <v>-0.01362055641</v>
      </c>
      <c r="C958" s="7">
        <f>IFERROR(IF(OR(PRECIOS!C958="",PRECIOS!C957=""),"",PRECIOS!C958/PRECIOS!C957-1),"")</f>
        <v>-0.01890569395</v>
      </c>
      <c r="D958" s="7">
        <f>IFERROR(IF(OR(PRECIOS!D958="",PRECIOS!D957=""),"",PRECIOS!D958/PRECIOS!D957-1),"")</f>
        <v>-0.009154155987</v>
      </c>
      <c r="E958" s="7">
        <f>IFERROR(IF(OR(PRECIOS!E958="",PRECIOS!E957=""),"",PRECIOS!E958/PRECIOS!E957-1),"")</f>
        <v>-0.007587762067</v>
      </c>
      <c r="F958" s="7">
        <f>IFERROR(IF(OR(PRECIOS!F958="",PRECIOS!F957=""),"",PRECIOS!F958/PRECIOS!F957-1),"")</f>
        <v>0.01066447908</v>
      </c>
      <c r="G958" s="7">
        <f>IFERROR(IF(OR(PRECIOS!G958="",PRECIOS!G957=""),"",PRECIOS!G958/PRECIOS!G957-1),"")</f>
        <v>0.008652246256</v>
      </c>
      <c r="H958" s="7">
        <f>IFERROR(IF(OR(PRECIOS!H958="",PRECIOS!H957=""),"",PRECIOS!H958/PRECIOS!H957-1),"")</f>
        <v>-0.01269423242</v>
      </c>
      <c r="I958" s="7">
        <f>IFERROR(IF(OR(PRECIOS!I958="",PRECIOS!I957=""),"",PRECIOS!I958/PRECIOS!I957-1),"")</f>
        <v>-0.01396360908</v>
      </c>
    </row>
    <row r="959" ht="15.75" customHeight="1">
      <c r="A959" s="4">
        <f>IF(PRECIOS!A959="","",PRECIOS!A959)</f>
        <v>45806</v>
      </c>
      <c r="B959" s="7">
        <f>IFERROR(IF(OR(PRECIOS!B959="",PRECIOS!B958=""),"",PRECIOS!B959/PRECIOS!B958-1),"")</f>
        <v>0.005680148859</v>
      </c>
      <c r="C959" s="7">
        <f>IFERROR(IF(OR(PRECIOS!C959="",PRECIOS!C958=""),"",PRECIOS!C959/PRECIOS!C958-1),"")</f>
        <v>0.006007708003</v>
      </c>
      <c r="D959" s="7">
        <f>IFERROR(IF(OR(PRECIOS!D959="",PRECIOS!D958=""),"",PRECIOS!D959/PRECIOS!D958-1),"")</f>
        <v>-0.01619857108</v>
      </c>
      <c r="E959" s="7">
        <f>IFERROR(IF(OR(PRECIOS!E959="",PRECIOS!E958=""),"",PRECIOS!E959/PRECIOS!E958-1),"")</f>
        <v>-0.002640709921</v>
      </c>
      <c r="F959" s="7">
        <f>IFERROR(IF(OR(PRECIOS!F959="",PRECIOS!F958=""),"",PRECIOS!F959/PRECIOS!F958-1),"")</f>
        <v>-0.01893939394</v>
      </c>
      <c r="G959" s="7">
        <f>IFERROR(IF(OR(PRECIOS!G959="",PRECIOS!G958=""),"",PRECIOS!G959/PRECIOS!G958-1),"")</f>
        <v>-0.005773672055</v>
      </c>
      <c r="H959" s="7">
        <f>IFERROR(IF(OR(PRECIOS!H959="",PRECIOS!H958=""),"",PRECIOS!H959/PRECIOS!H958-1),"")</f>
        <v>0.007472339784</v>
      </c>
      <c r="I959" s="7">
        <f>IFERROR(IF(OR(PRECIOS!I959="",PRECIOS!I958=""),"",PRECIOS!I959/PRECIOS!I958-1),"")</f>
        <v>0.00695765545</v>
      </c>
    </row>
    <row r="960" ht="15.75" customHeight="1">
      <c r="A960" s="4">
        <f>IF(PRECIOS!A960="","",PRECIOS!A960)</f>
        <v>45807</v>
      </c>
      <c r="B960" s="7">
        <f>IFERROR(IF(OR(PRECIOS!B960="",PRECIOS!B959=""),"",PRECIOS!B960/PRECIOS!B959-1),"")</f>
        <v>-0.003797838154</v>
      </c>
      <c r="C960" s="7">
        <f>IFERROR(IF(OR(PRECIOS!C960="",PRECIOS!C959=""),"",PRECIOS!C960/PRECIOS!C959-1),"")</f>
        <v>0.01408450704</v>
      </c>
      <c r="D960" s="7">
        <f>IFERROR(IF(OR(PRECIOS!D960="",PRECIOS!D959=""),"",PRECIOS!D960/PRECIOS!D959-1),"")</f>
        <v>0.00525887435</v>
      </c>
      <c r="E960" s="7">
        <f>IFERROR(IF(OR(PRECIOS!E960="",PRECIOS!E959=""),"",PRECIOS!E960/PRECIOS!E959-1),"")</f>
        <v>-0.01419291278</v>
      </c>
      <c r="F960" s="7">
        <f>IFERROR(IF(OR(PRECIOS!F960="",PRECIOS!F959=""),"",PRECIOS!F960/PRECIOS!F959-1),"")</f>
        <v>-0.02426916713</v>
      </c>
      <c r="G960" s="7">
        <f>IFERROR(IF(OR(PRECIOS!G960="",PRECIOS!G959=""),"",PRECIOS!G960/PRECIOS!G959-1),"")</f>
        <v>0.003982080637</v>
      </c>
      <c r="H960" s="7">
        <f>IFERROR(IF(OR(PRECIOS!H960="",PRECIOS!H959=""),"",PRECIOS!H960/PRECIOS!H959-1),"")</f>
        <v>-0.008872877764</v>
      </c>
      <c r="I960" s="7">
        <f>IFERROR(IF(OR(PRECIOS!I960="",PRECIOS!I959=""),"",PRECIOS!I960/PRECIOS!I959-1),"")</f>
        <v>0.01023212464</v>
      </c>
    </row>
    <row r="961" ht="15.75" customHeight="1">
      <c r="A961" s="4">
        <f>IF(PRECIOS!A961="","",PRECIOS!A961)</f>
        <v>45810</v>
      </c>
      <c r="B961" s="7">
        <f>IFERROR(IF(OR(PRECIOS!B961="",PRECIOS!B960=""),"",PRECIOS!B961/PRECIOS!B960-1),"")</f>
        <v>0.007331378299</v>
      </c>
      <c r="C961" s="7">
        <f>IFERROR(IF(OR(PRECIOS!C961="",PRECIOS!C960=""),"",PRECIOS!C961/PRECIOS!C960-1),"")</f>
        <v>-0.0006666666667</v>
      </c>
      <c r="D961" s="7">
        <f>IFERROR(IF(OR(PRECIOS!D961="",PRECIOS!D960=""),"",PRECIOS!D961/PRECIOS!D960-1),"")</f>
        <v>0.04297191256</v>
      </c>
      <c r="E961" s="7">
        <f>IFERROR(IF(OR(PRECIOS!E961="",PRECIOS!E960=""),"",PRECIOS!E961/PRECIOS!E960-1),"")</f>
        <v>-0.004184884447</v>
      </c>
      <c r="F961" s="7">
        <f>IFERROR(IF(OR(PRECIOS!F961="",PRECIOS!F960=""),"",PRECIOS!F961/PRECIOS!F960-1),"")</f>
        <v>-0.02148106275</v>
      </c>
      <c r="G961" s="7">
        <f>IFERROR(IF(OR(PRECIOS!G961="",PRECIOS!G960=""),"",PRECIOS!G961/PRECIOS!G960-1),"")</f>
        <v>0.01255990745</v>
      </c>
      <c r="H961" s="7">
        <f>IFERROR(IF(OR(PRECIOS!H961="",PRECIOS!H960=""),"",PRECIOS!H961/PRECIOS!H960-1),"")</f>
        <v>0.01312032922</v>
      </c>
      <c r="I961" s="7">
        <f>IFERROR(IF(OR(PRECIOS!I961="",PRECIOS!I960=""),"",PRECIOS!I961/PRECIOS!I960-1),"")</f>
        <v>0.003176685027</v>
      </c>
    </row>
    <row r="962" ht="15.75" customHeight="1">
      <c r="A962" s="4">
        <f>IF(PRECIOS!A962="","",PRECIOS!A962)</f>
        <v>45811</v>
      </c>
      <c r="B962" s="7">
        <f>IFERROR(IF(OR(PRECIOS!B962="",PRECIOS!B961=""),"",PRECIOS!B962/PRECIOS!B961-1),"")</f>
        <v>0.007278020378</v>
      </c>
      <c r="C962" s="7">
        <f>IFERROR(IF(OR(PRECIOS!C962="",PRECIOS!C961=""),"",PRECIOS!C962/PRECIOS!C961-1),"")</f>
        <v>-0.003891483211</v>
      </c>
      <c r="D962" s="7">
        <f>IFERROR(IF(OR(PRECIOS!D962="",PRECIOS!D961=""),"",PRECIOS!D962/PRECIOS!D961-1),"")</f>
        <v>0.05093449573</v>
      </c>
      <c r="E962" s="7">
        <f>IFERROR(IF(OR(PRECIOS!E962="",PRECIOS!E961=""),"",PRECIOS!E962/PRECIOS!E961-1),"")</f>
        <v>0.02189048485</v>
      </c>
      <c r="F962" s="7">
        <f>IFERROR(IF(OR(PRECIOS!F962="",PRECIOS!F961=""),"",PRECIOS!F962/PRECIOS!F961-1),"")</f>
        <v>0.02021952629</v>
      </c>
      <c r="G962" s="7">
        <f>IFERROR(IF(OR(PRECIOS!G962="",PRECIOS!G961=""),"",PRECIOS!G962/PRECIOS!G961-1),"")</f>
        <v>-0.002611392198</v>
      </c>
      <c r="H962" s="7">
        <f>IFERROR(IF(OR(PRECIOS!H962="",PRECIOS!H961=""),"",PRECIOS!H962/PRECIOS!H961-1),"")</f>
        <v>0.01186542095</v>
      </c>
      <c r="I962" s="7">
        <f>IFERROR(IF(OR(PRECIOS!I962="",PRECIOS!I961=""),"",PRECIOS!I962/PRECIOS!I961-1),"")</f>
        <v>0.0026769669</v>
      </c>
    </row>
    <row r="963" ht="15.75" customHeight="1">
      <c r="A963" s="4">
        <f>IF(PRECIOS!A963="","",PRECIOS!A963)</f>
        <v>45812</v>
      </c>
      <c r="B963" s="7">
        <f>IFERROR(IF(OR(PRECIOS!B963="",PRECIOS!B962=""),"",PRECIOS!B963/PRECIOS!B962-1),"")</f>
        <v>-0.01445086705</v>
      </c>
      <c r="C963" s="7">
        <f>IFERROR(IF(OR(PRECIOS!C963="",PRECIOS!C962=""),"",PRECIOS!C963/PRECIOS!C962-1),"")</f>
        <v>-0.01451054805</v>
      </c>
      <c r="D963" s="7">
        <f>IFERROR(IF(OR(PRECIOS!D963="",PRECIOS!D962=""),"",PRECIOS!D963/PRECIOS!D962-1),"")</f>
        <v>-0.01880681818</v>
      </c>
      <c r="E963" s="7">
        <f>IFERROR(IF(OR(PRECIOS!E963="",PRECIOS!E962=""),"",PRECIOS!E963/PRECIOS!E962-1),"")</f>
        <v>0.003805548736</v>
      </c>
      <c r="F963" s="7">
        <f>IFERROR(IF(OR(PRECIOS!F963="",PRECIOS!F962=""),"",PRECIOS!F963/PRECIOS!F962-1),"")</f>
        <v>-0.04841449604</v>
      </c>
      <c r="G963" s="7">
        <f>IFERROR(IF(OR(PRECIOS!G963="",PRECIOS!G962=""),"",PRECIOS!G963/PRECIOS!G962-1),"")</f>
        <v>-0.01620029455</v>
      </c>
      <c r="H963" s="7">
        <f>IFERROR(IF(OR(PRECIOS!H963="",PRECIOS!H962=""),"",PRECIOS!H963/PRECIOS!H962-1),"")</f>
        <v>-0.01950209302</v>
      </c>
      <c r="I963" s="7">
        <f>IFERROR(IF(OR(PRECIOS!I963="",PRECIOS!I962=""),"",PRECIOS!I963/PRECIOS!I962-1),"")</f>
        <v>-0.01747405788</v>
      </c>
    </row>
    <row r="964" ht="15.75" customHeight="1">
      <c r="A964" s="4">
        <f>IF(PRECIOS!A964="","",PRECIOS!A964)</f>
        <v>45813</v>
      </c>
      <c r="B964" s="7">
        <f>IFERROR(IF(OR(PRECIOS!B964="",PRECIOS!B963=""),"",PRECIOS!B964/PRECIOS!B963-1),"")</f>
        <v>-0.004594330401</v>
      </c>
      <c r="C964" s="7">
        <f>IFERROR(IF(OR(PRECIOS!C964="",PRECIOS!C963=""),"",PRECIOS!C964/PRECIOS!C963-1),"")</f>
        <v>0.001019367992</v>
      </c>
      <c r="D964" s="7">
        <f>IFERROR(IF(OR(PRECIOS!D964="",PRECIOS!D963=""),"",PRECIOS!D964/PRECIOS!D963-1),"")</f>
        <v>-0.01053911634</v>
      </c>
      <c r="E964" s="7">
        <f>IFERROR(IF(OR(PRECIOS!E964="",PRECIOS!E963=""),"",PRECIOS!E964/PRECIOS!E963-1),"")</f>
        <v>-0.001834413599</v>
      </c>
      <c r="F964" s="7">
        <f>IFERROR(IF(OR(PRECIOS!F964="",PRECIOS!F963=""),"",PRECIOS!F964/PRECIOS!F963-1),"")</f>
        <v>0.008033323416</v>
      </c>
      <c r="G964" s="7">
        <f>IFERROR(IF(OR(PRECIOS!G964="",PRECIOS!G963=""),"",PRECIOS!G964/PRECIOS!G963-1),"")</f>
        <v>0.007318695941</v>
      </c>
      <c r="H964" s="7">
        <f>IFERROR(IF(OR(PRECIOS!H964="",PRECIOS!H963=""),"",PRECIOS!H964/PRECIOS!H963-1),"")</f>
        <v>-0.0009759808608</v>
      </c>
      <c r="I964" s="7">
        <f>IFERROR(IF(OR(PRECIOS!I964="",PRECIOS!I963=""),"",PRECIOS!I964/PRECIOS!I963-1),"")</f>
        <v>-0.001609692468</v>
      </c>
    </row>
    <row r="965" ht="15.75" customHeight="1">
      <c r="A965" s="4">
        <f>IF(PRECIOS!A965="","",PRECIOS!A965)</f>
        <v>45814</v>
      </c>
      <c r="B965" s="7">
        <f>IFERROR(IF(OR(PRECIOS!B965="",PRECIOS!B964=""),"",PRECIOS!B965/PRECIOS!B964-1),"")</f>
        <v>0.02396150447</v>
      </c>
      <c r="C965" s="7">
        <f>IFERROR(IF(OR(PRECIOS!C965="",PRECIOS!C964=""),"",PRECIOS!C965/PRECIOS!C964-1),"")</f>
        <v>-0.001357773252</v>
      </c>
      <c r="D965" s="7">
        <f>IFERROR(IF(OR(PRECIOS!D965="",PRECIOS!D964=""),"",PRECIOS!D965/PRECIOS!D964-1),"")</f>
        <v>0.01609410663</v>
      </c>
      <c r="E965" s="7">
        <f>IFERROR(IF(OR(PRECIOS!E965="",PRECIOS!E964=""),"",PRECIOS!E965/PRECIOS!E964-1),"")</f>
        <v>0.01522298456</v>
      </c>
      <c r="F965" s="7">
        <f>IFERROR(IF(OR(PRECIOS!F965="",PRECIOS!F964=""),"",PRECIOS!F965/PRECIOS!F964-1),"")</f>
        <v>0.01151121606</v>
      </c>
      <c r="G965" s="7">
        <f>IFERROR(IF(OR(PRECIOS!G965="",PRECIOS!G964=""),"",PRECIOS!G965/PRECIOS!G964-1),"")</f>
        <v>0</v>
      </c>
      <c r="H965" s="7">
        <f>IFERROR(IF(OR(PRECIOS!H965="",PRECIOS!H964=""),"",PRECIOS!H965/PRECIOS!H964-1),"")</f>
        <v>0.01880974329</v>
      </c>
      <c r="I965" s="7">
        <f>IFERROR(IF(OR(PRECIOS!I965="",PRECIOS!I964=""),"",PRECIOS!I965/PRECIOS!I964-1),"")</f>
        <v>0.00445527165</v>
      </c>
    </row>
    <row r="966" ht="15.75" customHeight="1">
      <c r="A966" s="4">
        <f>IF(PRECIOS!A966="","",PRECIOS!A966)</f>
        <v>45817</v>
      </c>
      <c r="B966" s="7">
        <f>IFERROR(IF(OR(PRECIOS!B966="",PRECIOS!B965=""),"",PRECIOS!B966/PRECIOS!B965-1),"")</f>
        <v>0.006713340366</v>
      </c>
      <c r="C966" s="7">
        <f>IFERROR(IF(OR(PRECIOS!C966="",PRECIOS!C965=""),"",PRECIOS!C966/PRECIOS!C965-1),"")</f>
        <v>0.002719238613</v>
      </c>
      <c r="D966" s="7">
        <f>IFERROR(IF(OR(PRECIOS!D966="",PRECIOS!D965=""),"",PRECIOS!D966/PRECIOS!D965-1),"")</f>
        <v>-0.02447874669</v>
      </c>
      <c r="E966" s="7">
        <f>IFERROR(IF(OR(PRECIOS!E966="",PRECIOS!E965=""),"",PRECIOS!E966/PRECIOS!E965-1),"")</f>
        <v>-0.0170161412</v>
      </c>
      <c r="F966" s="7">
        <f>IFERROR(IF(OR(PRECIOS!F966="",PRECIOS!F965=""),"",PRECIOS!F966/PRECIOS!F965-1),"")</f>
        <v>-0.01634082288</v>
      </c>
      <c r="G966" s="7">
        <f>IFERROR(IF(OR(PRECIOS!G966="",PRECIOS!G965=""),"",PRECIOS!G966/PRECIOS!G965-1),"")</f>
        <v>-0.01486129458</v>
      </c>
      <c r="H966" s="7">
        <f>IFERROR(IF(OR(PRECIOS!H966="",PRECIOS!H965=""),"",PRECIOS!H966/PRECIOS!H965-1),"")</f>
        <v>0.00191779542</v>
      </c>
      <c r="I966" s="7">
        <f>IFERROR(IF(OR(PRECIOS!I966="",PRECIOS!I965=""),"",PRECIOS!I966/PRECIOS!I965-1),"")</f>
        <v>-0.006402934532</v>
      </c>
    </row>
    <row r="967" ht="15.75" customHeight="1">
      <c r="A967" s="4">
        <f>IF(PRECIOS!A967="","",PRECIOS!A967)</f>
        <v>45818</v>
      </c>
      <c r="B967" s="7">
        <f>IFERROR(IF(OR(PRECIOS!B967="",PRECIOS!B966=""),"",PRECIOS!B967/PRECIOS!B966-1),"")</f>
        <v>0.02143469563</v>
      </c>
      <c r="C967" s="7">
        <f>IFERROR(IF(OR(PRECIOS!C967="",PRECIOS!C966=""),"",PRECIOS!C967/PRECIOS!C966-1),"")</f>
        <v>0.009039548023</v>
      </c>
      <c r="D967" s="7">
        <f>IFERROR(IF(OR(PRECIOS!D967="",PRECIOS!D966=""),"",PRECIOS!D967/PRECIOS!D966-1),"")</f>
        <v>-0.02786798134</v>
      </c>
      <c r="E967" s="7">
        <f>IFERROR(IF(OR(PRECIOS!E967="",PRECIOS!E966=""),"",PRECIOS!E967/PRECIOS!E966-1),"")</f>
        <v>-0.0048187594</v>
      </c>
      <c r="F967" s="7">
        <f>IFERROR(IF(OR(PRECIOS!F967="",PRECIOS!F966=""),"",PRECIOS!F967/PRECIOS!F966-1),"")</f>
        <v>0.07653515277</v>
      </c>
      <c r="G967" s="7">
        <f>IFERROR(IF(OR(PRECIOS!G967="",PRECIOS!G966=""),"",PRECIOS!G967/PRECIOS!G966-1),"")</f>
        <v>-0.01173315454</v>
      </c>
      <c r="H967" s="7">
        <f>IFERROR(IF(OR(PRECIOS!H967="",PRECIOS!H966=""),"",PRECIOS!H967/PRECIOS!H966-1),"")</f>
        <v>0.01782835211</v>
      </c>
      <c r="I967" s="7">
        <f>IFERROR(IF(OR(PRECIOS!I967="",PRECIOS!I966=""),"",PRECIOS!I967/PRECIOS!I966-1),"")</f>
        <v>0.002352321557</v>
      </c>
    </row>
    <row r="968" ht="15.75" customHeight="1">
      <c r="A968" s="4">
        <f>IF(PRECIOS!A968="","",PRECIOS!A968)</f>
        <v>45819</v>
      </c>
      <c r="B968" s="7">
        <f>IFERROR(IF(OR(PRECIOS!B968="",PRECIOS!B967=""),"",PRECIOS!B968/PRECIOS!B967-1),"")</f>
        <v>0.01949263197</v>
      </c>
      <c r="C968" s="7">
        <f>IFERROR(IF(OR(PRECIOS!C968="",PRECIOS!C967=""),"",PRECIOS!C968/PRECIOS!C967-1),"")</f>
        <v>0.002799552072</v>
      </c>
      <c r="D968" s="7">
        <f>IFERROR(IF(OR(PRECIOS!D968="",PRECIOS!D967=""),"",PRECIOS!D968/PRECIOS!D967-1),"")</f>
        <v>0.01299726693</v>
      </c>
      <c r="E968" s="7">
        <f>IFERROR(IF(OR(PRECIOS!E968="",PRECIOS!E967=""),"",PRECIOS!E968/PRECIOS!E967-1),"")</f>
        <v>0.004533678756</v>
      </c>
      <c r="F968" s="7">
        <f>IFERROR(IF(OR(PRECIOS!F968="",PRECIOS!F967=""),"",PRECIOS!F968/PRECIOS!F967-1),"")</f>
        <v>-0.01019564618</v>
      </c>
      <c r="G968" s="7">
        <f>IFERROR(IF(OR(PRECIOS!G968="",PRECIOS!G967=""),"",PRECIOS!G968/PRECIOS!G967-1),"")</f>
        <v>0.007801899593</v>
      </c>
      <c r="H968" s="7">
        <f>IFERROR(IF(OR(PRECIOS!H968="",PRECIOS!H967=""),"",PRECIOS!H968/PRECIOS!H967-1),"")</f>
        <v>0.01446371654</v>
      </c>
      <c r="I968" s="7">
        <f>IFERROR(IF(OR(PRECIOS!I968="",PRECIOS!I967=""),"",PRECIOS!I968/PRECIOS!I967-1),"")</f>
        <v>0.0006189088006</v>
      </c>
    </row>
    <row r="969" ht="15.75" customHeight="1">
      <c r="A969" s="4">
        <f>IF(PRECIOS!A969="","",PRECIOS!A969)</f>
        <v>45820</v>
      </c>
      <c r="B969" s="7">
        <f>IFERROR(IF(OR(PRECIOS!B969="",PRECIOS!B968=""),"",PRECIOS!B969/PRECIOS!B968-1),"")</f>
        <v>0.003842283414</v>
      </c>
      <c r="C969" s="7">
        <f>IFERROR(IF(OR(PRECIOS!C969="",PRECIOS!C968=""),"",PRECIOS!C969/PRECIOS!C968-1),"")</f>
        <v>0.009045226131</v>
      </c>
      <c r="D969" s="7">
        <f>IFERROR(IF(OR(PRECIOS!D969="",PRECIOS!D968=""),"",PRECIOS!D969/PRECIOS!D968-1),"")</f>
        <v>0.04244858804</v>
      </c>
      <c r="E969" s="7">
        <f>IFERROR(IF(OR(PRECIOS!E969="",PRECIOS!E968=""),"",PRECIOS!E969/PRECIOS!E968-1),"")</f>
        <v>0.01421509932</v>
      </c>
      <c r="F969" s="7">
        <f>IFERROR(IF(OR(PRECIOS!F969="",PRECIOS!F968=""),"",PRECIOS!F969/PRECIOS!F968-1),"")</f>
        <v>0.008073496659</v>
      </c>
      <c r="G969" s="7">
        <f>IFERROR(IF(OR(PRECIOS!G969="",PRECIOS!G968=""),"",PRECIOS!G969/PRECIOS!G968-1),"")</f>
        <v>0.01110737126</v>
      </c>
      <c r="H969" s="7">
        <f>IFERROR(IF(OR(PRECIOS!H969="",PRECIOS!H968=""),"",PRECIOS!H969/PRECIOS!H968-1),"")</f>
        <v>0.003474656634</v>
      </c>
      <c r="I969" s="7">
        <f>IFERROR(IF(OR(PRECIOS!I969="",PRECIOS!I968=""),"",PRECIOS!I969/PRECIOS!I968-1),"")</f>
        <v>0.01211301101</v>
      </c>
    </row>
    <row r="970" ht="15.75" customHeight="1">
      <c r="A970" s="4">
        <f>IF(PRECIOS!A970="","",PRECIOS!A970)</f>
        <v>45821</v>
      </c>
      <c r="B970" s="7">
        <f>IFERROR(IF(OR(PRECIOS!B970="",PRECIOS!B969=""),"",PRECIOS!B970/PRECIOS!B969-1),"")</f>
        <v>0.02178073453</v>
      </c>
      <c r="C970" s="7">
        <f>IFERROR(IF(OR(PRECIOS!C970="",PRECIOS!C969=""),"",PRECIOS!C970/PRECIOS!C969-1),"")</f>
        <v>-0.0001106684374</v>
      </c>
      <c r="D970" s="7">
        <f>IFERROR(IF(OR(PRECIOS!D970="",PRECIOS!D969=""),"",PRECIOS!D970/PRECIOS!D969-1),"")</f>
        <v>-0.0006901708173</v>
      </c>
      <c r="E970" s="7">
        <f>IFERROR(IF(OR(PRECIOS!E970="",PRECIOS!E969=""),"",PRECIOS!E970/PRECIOS!E969-1),"")</f>
        <v>-0.02022158988</v>
      </c>
      <c r="F970" s="7">
        <f>IFERROR(IF(OR(PRECIOS!F970="",PRECIOS!F969=""),"",PRECIOS!F970/PRECIOS!F969-1),"")</f>
        <v>0.002209334438</v>
      </c>
      <c r="G970" s="7">
        <f>IFERROR(IF(OR(PRECIOS!G970="",PRECIOS!G969=""),"",PRECIOS!G970/PRECIOS!G969-1),"")</f>
        <v>-0.00499334221</v>
      </c>
      <c r="H970" s="7">
        <f>IFERROR(IF(OR(PRECIOS!H970="",PRECIOS!H969=""),"",PRECIOS!H970/PRECIOS!H969-1),"")</f>
        <v>0.01743865209</v>
      </c>
      <c r="I970" s="7">
        <f>IFERROR(IF(OR(PRECIOS!I970="",PRECIOS!I969=""),"",PRECIOS!I970/PRECIOS!I969-1),"")</f>
        <v>-0.005739571615</v>
      </c>
    </row>
    <row r="971" ht="15.75" customHeight="1">
      <c r="A971" s="4">
        <f>IF(PRECIOS!A971="","",PRECIOS!A971)</f>
        <v>45824</v>
      </c>
      <c r="B971" s="7">
        <f>IFERROR(IF(OR(PRECIOS!B971="",PRECIOS!B970=""),"",PRECIOS!B971/PRECIOS!B970-1),"")</f>
        <v>0.003210845523</v>
      </c>
      <c r="C971" s="7">
        <f>IFERROR(IF(OR(PRECIOS!C971="",PRECIOS!C970=""),"",PRECIOS!C971/PRECIOS!C970-1),"")</f>
        <v>-0.01560597676</v>
      </c>
      <c r="D971" s="7">
        <f>IFERROR(IF(OR(PRECIOS!D971="",PRECIOS!D970=""),"",PRECIOS!D971/PRECIOS!D970-1),"")</f>
        <v>0.01985611511</v>
      </c>
      <c r="E971" s="7">
        <f>IFERROR(IF(OR(PRECIOS!E971="",PRECIOS!E970=""),"",PRECIOS!E971/PRECIOS!E970-1),"")</f>
        <v>0.04433664957</v>
      </c>
      <c r="F971" s="7">
        <f>IFERROR(IF(OR(PRECIOS!F971="",PRECIOS!F970=""),"",PRECIOS!F971/PRECIOS!F970-1),"")</f>
        <v>-0.0223201984</v>
      </c>
      <c r="G971" s="7">
        <f>IFERROR(IF(OR(PRECIOS!G971="",PRECIOS!G970=""),"",PRECIOS!G971/PRECIOS!G970-1),"")</f>
        <v>-0.01053864169</v>
      </c>
      <c r="H971" s="7">
        <f>IFERROR(IF(OR(PRECIOS!H971="",PRECIOS!H970=""),"",PRECIOS!H971/PRECIOS!H970-1),"")</f>
        <v>-0.002949351236</v>
      </c>
      <c r="I971" s="7">
        <f>IFERROR(IF(OR(PRECIOS!I971="",PRECIOS!I970=""),"",PRECIOS!I971/PRECIOS!I970-1),"")</f>
        <v>-0.004912192674</v>
      </c>
    </row>
    <row r="972" ht="15.75" customHeight="1">
      <c r="A972" s="4">
        <f>IF(PRECIOS!A972="","",PRECIOS!A972)</f>
        <v>45825</v>
      </c>
      <c r="B972" s="7">
        <f>IFERROR(IF(OR(PRECIOS!B972="",PRECIOS!B971=""),"",PRECIOS!B972/PRECIOS!B971-1),"")</f>
        <v>0.01351351351</v>
      </c>
      <c r="C972" s="7">
        <f>IFERROR(IF(OR(PRECIOS!C972="",PRECIOS!C971=""),"",PRECIOS!C972/PRECIOS!C971-1),"")</f>
        <v>-0.005846638183</v>
      </c>
      <c r="D972" s="7">
        <f>IFERROR(IF(OR(PRECIOS!D972="",PRECIOS!D971=""),"",PRECIOS!D972/PRECIOS!D971-1),"")</f>
        <v>0.003103837472</v>
      </c>
      <c r="E972" s="7">
        <f>IFERROR(IF(OR(PRECIOS!E972="",PRECIOS!E971=""),"",PRECIOS!E972/PRECIOS!E971-1),"")</f>
        <v>-0.02218869264</v>
      </c>
      <c r="F972" s="7">
        <f>IFERROR(IF(OR(PRECIOS!F972="",PRECIOS!F971=""),"",PRECIOS!F972/PRECIOS!F971-1),"")</f>
        <v>-0.001409244645</v>
      </c>
      <c r="G972" s="7">
        <f>IFERROR(IF(OR(PRECIOS!G972="",PRECIOS!G971=""),"",PRECIOS!G972/PRECIOS!G971-1),"")</f>
        <v>-0.01098901099</v>
      </c>
      <c r="H972" s="7">
        <f>IFERROR(IF(OR(PRECIOS!H972="",PRECIOS!H971=""),"",PRECIOS!H972/PRECIOS!H971-1),"")</f>
        <v>0.00933416449</v>
      </c>
      <c r="I972" s="7">
        <f>IFERROR(IF(OR(PRECIOS!I972="",PRECIOS!I971=""),"",PRECIOS!I972/PRECIOS!I971-1),"")</f>
        <v>-0.008269421796</v>
      </c>
    </row>
    <row r="973" ht="15.75" customHeight="1">
      <c r="A973" s="4">
        <f>IF(PRECIOS!A973="","",PRECIOS!A973)</f>
        <v>45826</v>
      </c>
      <c r="B973" s="7">
        <f>IFERROR(IF(OR(PRECIOS!B973="",PRECIOS!B972=""),"",PRECIOS!B973/PRECIOS!B972-1),"")</f>
        <v>-0.007105263158</v>
      </c>
      <c r="C973" s="7">
        <f>IFERROR(IF(OR(PRECIOS!C973="",PRECIOS!C972=""),"",PRECIOS!C973/PRECIOS!C972-1),"")</f>
        <v>0.002375028274</v>
      </c>
      <c r="D973" s="7">
        <f>IFERROR(IF(OR(PRECIOS!D973="",PRECIOS!D972=""),"",PRECIOS!D973/PRECIOS!D972-1),"")</f>
        <v>0.01901547117</v>
      </c>
      <c r="E973" s="7">
        <f>IFERROR(IF(OR(PRECIOS!E973="",PRECIOS!E972=""),"",PRECIOS!E973/PRECIOS!E972-1),"")</f>
        <v>0.01316147772</v>
      </c>
      <c r="F973" s="7">
        <f>IFERROR(IF(OR(PRECIOS!F973="",PRECIOS!F972=""),"",PRECIOS!F973/PRECIOS!F972-1),"")</f>
        <v>-0.004233700254</v>
      </c>
      <c r="G973" s="7">
        <f>IFERROR(IF(OR(PRECIOS!G973="",PRECIOS!G972=""),"",PRECIOS!G973/PRECIOS!G972-1),"")</f>
        <v>0.0105982906</v>
      </c>
      <c r="H973" s="7">
        <f>IFERROR(IF(OR(PRECIOS!H973="",PRECIOS!H972=""),"",PRECIOS!H973/PRECIOS!H972-1),"")</f>
        <v>-0.006541496171</v>
      </c>
      <c r="I973" s="7">
        <f>IFERROR(IF(OR(PRECIOS!I973="",PRECIOS!I972=""),"",PRECIOS!I973/PRECIOS!I972-1),"")</f>
        <v>0.002610826669</v>
      </c>
    </row>
    <row r="974" ht="15.75" customHeight="1">
      <c r="A974" s="4">
        <f>IF(PRECIOS!A974="","",PRECIOS!A974)</f>
        <v>45828</v>
      </c>
      <c r="B974" s="7">
        <f>IFERROR(IF(OR(PRECIOS!B974="",PRECIOS!B973=""),"",PRECIOS!B974/PRECIOS!B973-1),"")</f>
        <v>0.0133404011</v>
      </c>
      <c r="C974" s="7">
        <f>IFERROR(IF(OR(PRECIOS!C974="",PRECIOS!C973=""),"",PRECIOS!C974/PRECIOS!C973-1),"")</f>
        <v>0.007559517094</v>
      </c>
      <c r="D974" s="7">
        <f>IFERROR(IF(OR(PRECIOS!D974="",PRECIOS!D973=""),"",PRECIOS!D974/PRECIOS!D973-1),"")</f>
        <v>0.02191795948</v>
      </c>
      <c r="E974" s="7">
        <f>IFERROR(IF(OR(PRECIOS!E974="",PRECIOS!E973=""),"",PRECIOS!E974/PRECIOS!E973-1),"")</f>
        <v>-0.01084035119</v>
      </c>
      <c r="F974" s="7">
        <f>IFERROR(IF(OR(PRECIOS!F974="",PRECIOS!F973=""),"",PRECIOS!F974/PRECIOS!F973-1),"")</f>
        <v>-0.01700680272</v>
      </c>
      <c r="G974" s="7">
        <f>IFERROR(IF(OR(PRECIOS!G974="",PRECIOS!G973=""),"",PRECIOS!G974/PRECIOS!G973-1),"")</f>
        <v>0.02317320704</v>
      </c>
      <c r="H974" s="7">
        <f>IFERROR(IF(OR(PRECIOS!H974="",PRECIOS!H973=""),"",PRECIOS!H974/PRECIOS!H973-1),"")</f>
        <v>0.01021679251</v>
      </c>
      <c r="I974" s="7">
        <f>IFERROR(IF(OR(PRECIOS!I974="",PRECIOS!I973=""),"",PRECIOS!I974/PRECIOS!I973-1),"")</f>
        <v>0.002733341954</v>
      </c>
    </row>
    <row r="975" ht="15.75" customHeight="1">
      <c r="A975" s="4">
        <f>IF(PRECIOS!A975="","",PRECIOS!A975)</f>
        <v>45831</v>
      </c>
      <c r="B975" s="7">
        <f>IFERROR(IF(OR(PRECIOS!B975="",PRECIOS!B974=""),"",PRECIOS!B975/PRECIOS!B974-1),"")</f>
        <v>-0.02580645161</v>
      </c>
      <c r="C975" s="7">
        <f>IFERROR(IF(OR(PRECIOS!C975="",PRECIOS!C974=""),"",PRECIOS!C975/PRECIOS!C974-1),"")</f>
        <v>0.01534154535</v>
      </c>
      <c r="D975" s="7">
        <f>IFERROR(IF(OR(PRECIOS!D975="",PRECIOS!D974=""),"",PRECIOS!D975/PRECIOS!D974-1),"")</f>
        <v>0.007833603458</v>
      </c>
      <c r="E975" s="7">
        <f>IFERROR(IF(OR(PRECIOS!E975="",PRECIOS!E974=""),"",PRECIOS!E975/PRECIOS!E974-1),"")</f>
        <v>0.005192766356</v>
      </c>
      <c r="F975" s="7">
        <f>IFERROR(IF(OR(PRECIOS!F975="",PRECIOS!F974=""),"",PRECIOS!F975/PRECIOS!F974-1),"")</f>
        <v>-0.02566320646</v>
      </c>
      <c r="G975" s="7">
        <f>IFERROR(IF(OR(PRECIOS!G975="",PRECIOS!G974=""),"",PRECIOS!G975/PRECIOS!G974-1),"")</f>
        <v>-0.0001653165813</v>
      </c>
      <c r="H975" s="7">
        <f>IFERROR(IF(OR(PRECIOS!H975="",PRECIOS!H974=""),"",PRECIOS!H975/PRECIOS!H974-1),"")</f>
        <v>-0.02528366334</v>
      </c>
      <c r="I975" s="7">
        <f>IFERROR(IF(OR(PRECIOS!I975="",PRECIOS!I974=""),"",PRECIOS!I975/PRECIOS!I974-1),"")</f>
        <v>0.01268373847</v>
      </c>
    </row>
    <row r="976" ht="15.75" customHeight="1">
      <c r="A976" s="4">
        <f>IF(PRECIOS!A976="","",PRECIOS!A976)</f>
        <v>45832</v>
      </c>
      <c r="B976" s="7">
        <f>IFERROR(IF(OR(PRECIOS!B976="",PRECIOS!B975=""),"",PRECIOS!B976/PRECIOS!B975-1),"")</f>
        <v>-0.03042777877</v>
      </c>
      <c r="C976" s="7">
        <f>IFERROR(IF(OR(PRECIOS!C976="",PRECIOS!C975=""),"",PRECIOS!C976/PRECIOS!C975-1),"")</f>
        <v>0.002426381383</v>
      </c>
      <c r="D976" s="7">
        <f>IFERROR(IF(OR(PRECIOS!D976="",PRECIOS!D975=""),"",PRECIOS!D976/PRECIOS!D975-1),"")</f>
        <v>-0.002036987403</v>
      </c>
      <c r="E976" s="7">
        <f>IFERROR(IF(OR(PRECIOS!E976="",PRECIOS!E975=""),"",PRECIOS!E976/PRECIOS!E975-1),"")</f>
        <v>0.03096561045</v>
      </c>
      <c r="F976" s="7">
        <f>IFERROR(IF(OR(PRECIOS!F976="",PRECIOS!F975=""),"",PRECIOS!F976/PRECIOS!F975-1),"")</f>
        <v>0.01657295058</v>
      </c>
      <c r="G976" s="7">
        <f>IFERROR(IF(OR(PRECIOS!G976="",PRECIOS!G975=""),"",PRECIOS!G976/PRECIOS!G975-1),"")</f>
        <v>0.01058201058</v>
      </c>
      <c r="H976" s="7">
        <f>IFERROR(IF(OR(PRECIOS!H976="",PRECIOS!H975=""),"",PRECIOS!H976/PRECIOS!H975-1),"")</f>
        <v>-0.01301941089</v>
      </c>
      <c r="I976" s="7">
        <f>IFERROR(IF(OR(PRECIOS!I976="",PRECIOS!I975=""),"",PRECIOS!I976/PRECIOS!I975-1),"")</f>
        <v>0.004307298937</v>
      </c>
    </row>
    <row r="977" ht="15.75" customHeight="1">
      <c r="A977" s="4">
        <f>IF(PRECIOS!A977="","",PRECIOS!A977)</f>
        <v>45833</v>
      </c>
      <c r="B977" s="7">
        <f>IFERROR(IF(OR(PRECIOS!B977="",PRECIOS!B976=""),"",PRECIOS!B977/PRECIOS!B976-1),"")</f>
        <v>0.0002769060366</v>
      </c>
      <c r="C977" s="7">
        <f>IFERROR(IF(OR(PRECIOS!C977="",PRECIOS!C976=""),"",PRECIOS!C977/PRECIOS!C976-1),"")</f>
        <v>-0.005391132138</v>
      </c>
      <c r="D977" s="7">
        <f>IFERROR(IF(OR(PRECIOS!D977="",PRECIOS!D976=""),"",PRECIOS!D977/PRECIOS!D976-1),"")</f>
        <v>0.0008057152065</v>
      </c>
      <c r="E977" s="7">
        <f>IFERROR(IF(OR(PRECIOS!E977="",PRECIOS!E976=""),"",PRECIOS!E977/PRECIOS!E976-1),"")</f>
        <v>-0.002651051681</v>
      </c>
      <c r="F977" s="7">
        <f>IFERROR(IF(OR(PRECIOS!F977="",PRECIOS!F976=""),"",PRECIOS!F977/PRECIOS!F976-1),"")</f>
        <v>-0.03755458515</v>
      </c>
      <c r="G977" s="7">
        <f>IFERROR(IF(OR(PRECIOS!G977="",PRECIOS!G976=""),"",PRECIOS!G977/PRECIOS!G976-1),"")</f>
        <v>-0.007035340314</v>
      </c>
      <c r="H977" s="7">
        <f>IFERROR(IF(OR(PRECIOS!H977="",PRECIOS!H976=""),"",PRECIOS!H977/PRECIOS!H976-1),"")</f>
        <v>-0.00436031538</v>
      </c>
      <c r="I977" s="7">
        <f>IFERROR(IF(OR(PRECIOS!I977="",PRECIOS!I976=""),"",PRECIOS!I977/PRECIOS!I976-1),"")</f>
        <v>-0.01335875965</v>
      </c>
    </row>
    <row r="978" ht="15.75" customHeight="1">
      <c r="A978" s="4">
        <f>IF(PRECIOS!A978="","",PRECIOS!A978)</f>
        <v>45834</v>
      </c>
      <c r="B978" s="7">
        <f>IFERROR(IF(OR(PRECIOS!B978="",PRECIOS!B977=""),"",PRECIOS!B978/PRECIOS!B977-1),"")</f>
        <v>0.01494878656</v>
      </c>
      <c r="C978" s="7">
        <f>IFERROR(IF(OR(PRECIOS!C978="",PRECIOS!C977=""),"",PRECIOS!C978/PRECIOS!C977-1),"")</f>
        <v>-0.0005530973451</v>
      </c>
      <c r="D978" s="7">
        <f>IFERROR(IF(OR(PRECIOS!D978="",PRECIOS!D977=""),"",PRECIOS!D978/PRECIOS!D977-1),"")</f>
        <v>0.02189781022</v>
      </c>
      <c r="E978" s="7">
        <f>IFERROR(IF(OR(PRECIOS!E978="",PRECIOS!E977=""),"",PRECIOS!E978/PRECIOS!E977-1),"")</f>
        <v>0.01691251643</v>
      </c>
      <c r="F978" s="7">
        <f>IFERROR(IF(OR(PRECIOS!F978="",PRECIOS!F977=""),"",PRECIOS!F978/PRECIOS!F977-1),"")</f>
        <v>0.009679370841</v>
      </c>
      <c r="G978" s="7">
        <f>IFERROR(IF(OR(PRECIOS!G978="",PRECIOS!G977=""),"",PRECIOS!G978/PRECIOS!G977-1),"")</f>
        <v>0.03592025045</v>
      </c>
      <c r="H978" s="7">
        <f>IFERROR(IF(OR(PRECIOS!H978="",PRECIOS!H977=""),"",PRECIOS!H978/PRECIOS!H977-1),"")</f>
        <v>0.01431730517</v>
      </c>
      <c r="I978" s="7">
        <f>IFERROR(IF(OR(PRECIOS!I978="",PRECIOS!I977=""),"",PRECIOS!I978/PRECIOS!I977-1),"")</f>
        <v>0.008320838636</v>
      </c>
    </row>
    <row r="979" ht="15.75" customHeight="1">
      <c r="A979" s="4">
        <f>IF(PRECIOS!A979="","",PRECIOS!A979)</f>
        <v>45835</v>
      </c>
      <c r="B979" s="7">
        <f>IFERROR(IF(OR(PRECIOS!B979="",PRECIOS!B978=""),"",PRECIOS!B979/PRECIOS!B978-1),"")</f>
        <v>-0.005545958724</v>
      </c>
      <c r="C979" s="7">
        <f>IFERROR(IF(OR(PRECIOS!C979="",PRECIOS!C978=""),"",PRECIOS!C979/PRECIOS!C978-1),"")</f>
        <v>0.006087437742</v>
      </c>
      <c r="D979" s="7">
        <f>IFERROR(IF(OR(PRECIOS!D979="",PRECIOS!D978=""),"",PRECIOS!D979/PRECIOS!D978-1),"")</f>
        <v>0.0243697479</v>
      </c>
      <c r="E979" s="7">
        <f>IFERROR(IF(OR(PRECIOS!E979="",PRECIOS!E978=""),"",PRECIOS!E979/PRECIOS!E978-1),"")</f>
        <v>0.01462055495</v>
      </c>
      <c r="F979" s="7">
        <f>IFERROR(IF(OR(PRECIOS!F979="",PRECIOS!F978=""),"",PRECIOS!F979/PRECIOS!F978-1),"")</f>
        <v>-0.001497902936</v>
      </c>
      <c r="G979" s="7">
        <f>IFERROR(IF(OR(PRECIOS!G979="",PRECIOS!G978=""),"",PRECIOS!G979/PRECIOS!G978-1),"")</f>
        <v>-0.003181167488</v>
      </c>
      <c r="H979" s="7">
        <f>IFERROR(IF(OR(PRECIOS!H979="",PRECIOS!H978=""),"",PRECIOS!H979/PRECIOS!H978-1),"")</f>
        <v>-0.00525228275</v>
      </c>
      <c r="I979" s="7">
        <f>IFERROR(IF(OR(PRECIOS!I979="",PRECIOS!I978=""),"",PRECIOS!I979/PRECIOS!I978-1),"")</f>
        <v>0.00197182465</v>
      </c>
    </row>
    <row r="980" ht="15.75" customHeight="1">
      <c r="A980" s="4">
        <f>IF(PRECIOS!A980="","",PRECIOS!A980)</f>
        <v>45838</v>
      </c>
      <c r="B980" s="7">
        <f>IFERROR(IF(OR(PRECIOS!B980="",PRECIOS!B979=""),"",PRECIOS!B980/PRECIOS!B979-1),"")</f>
        <v>-0.01444505394</v>
      </c>
      <c r="C980" s="7">
        <f>IFERROR(IF(OR(PRECIOS!C980="",PRECIOS!C979=""),"",PRECIOS!C980/PRECIOS!C979-1),"")</f>
        <v>0.0102310231</v>
      </c>
      <c r="D980" s="7">
        <f>IFERROR(IF(OR(PRECIOS!D980="",PRECIOS!D979=""),"",PRECIOS!D980/PRECIOS!D979-1),"")</f>
        <v>-0.006306398687</v>
      </c>
      <c r="E980" s="7">
        <f>IFERROR(IF(OR(PRECIOS!E980="",PRECIOS!E979=""),"",PRECIOS!E980/PRECIOS!E979-1),"")</f>
        <v>0.01064462248</v>
      </c>
      <c r="F980" s="7">
        <f>IFERROR(IF(OR(PRECIOS!F980="",PRECIOS!F979=""),"",PRECIOS!F980/PRECIOS!F979-1),"")</f>
        <v>-0.05640564056</v>
      </c>
      <c r="G980" s="7">
        <f>IFERROR(IF(OR(PRECIOS!G980="",PRECIOS!G979=""),"",PRECIOS!G980/PRECIOS!G979-1),"")</f>
        <v>0.002233923727</v>
      </c>
      <c r="H980" s="7">
        <f>IFERROR(IF(OR(PRECIOS!H980="",PRECIOS!H979=""),"",PRECIOS!H980/PRECIOS!H979-1),"")</f>
        <v>-0.005742672012</v>
      </c>
      <c r="I980" s="7">
        <f>IFERROR(IF(OR(PRECIOS!I980="",PRECIOS!I979=""),"",PRECIOS!I980/PRECIOS!I979-1),"")</f>
        <v>0.004058105486</v>
      </c>
    </row>
    <row r="981" ht="15.75" customHeight="1">
      <c r="A981" s="4">
        <f>IF(PRECIOS!A981="","",PRECIOS!A981)</f>
        <v>45839</v>
      </c>
      <c r="B981" s="7">
        <f>IFERROR(IF(OR(PRECIOS!B981="",PRECIOS!B980=""),"",PRECIOS!B981/PRECIOS!B980-1),"")</f>
        <v>0.0133580705</v>
      </c>
      <c r="C981" s="7">
        <f>IFERROR(IF(OR(PRECIOS!C981="",PRECIOS!C980=""),"",PRECIOS!C981/PRECIOS!C980-1),"")</f>
        <v>0.005118153109</v>
      </c>
      <c r="D981" s="7">
        <f>IFERROR(IF(OR(PRECIOS!D981="",PRECIOS!D980=""),"",PRECIOS!D981/PRECIOS!D980-1),"")</f>
        <v>-0.04494092152</v>
      </c>
      <c r="E981" s="7">
        <f>IFERROR(IF(OR(PRECIOS!E981="",PRECIOS!E980=""),"",PRECIOS!E981/PRECIOS!E980-1),"")</f>
        <v>-0.005462337881</v>
      </c>
      <c r="F981" s="7">
        <f>IFERROR(IF(OR(PRECIOS!F981="",PRECIOS!F980=""),"",PRECIOS!F981/PRECIOS!F980-1),"")</f>
        <v>0</v>
      </c>
      <c r="G981" s="7">
        <f>IFERROR(IF(OR(PRECIOS!G981="",PRECIOS!G980=""),"",PRECIOS!G981/PRECIOS!G980-1),"")</f>
        <v>-0.06511701958</v>
      </c>
      <c r="H981" s="7">
        <f>IFERROR(IF(OR(PRECIOS!H981="",PRECIOS!H980=""),"",PRECIOS!H981/PRECIOS!H980-1),"")</f>
        <v>0.007665941488</v>
      </c>
      <c r="I981" s="7">
        <f>IFERROR(IF(OR(PRECIOS!I981="",PRECIOS!I980=""),"",PRECIOS!I981/PRECIOS!I980-1),"")</f>
        <v>0.003430604169</v>
      </c>
    </row>
    <row r="982" ht="15.75" customHeight="1">
      <c r="A982" s="4">
        <f>IF(PRECIOS!A982="","",PRECIOS!A982)</f>
        <v>45840</v>
      </c>
      <c r="B982" s="7">
        <f>IFERROR(IF(OR(PRECIOS!B982="",PRECIOS!B981=""),"",PRECIOS!B982/PRECIOS!B981-1),"")</f>
        <v>0.01656902234</v>
      </c>
      <c r="C982" s="7">
        <f>IFERROR(IF(OR(PRECIOS!C982="",PRECIOS!C981=""),"",PRECIOS!C982/PRECIOS!C981-1),"")</f>
        <v>-0.01245937161</v>
      </c>
      <c r="D982" s="7">
        <f>IFERROR(IF(OR(PRECIOS!D982="",PRECIOS!D981=""),"",PRECIOS!D982/PRECIOS!D981-1),"")</f>
        <v>0.01037277147</v>
      </c>
      <c r="E982" s="7">
        <f>IFERROR(IF(OR(PRECIOS!E982="",PRECIOS!E981=""),"",PRECIOS!E982/PRECIOS!E981-1),"")</f>
        <v>0.008872239748</v>
      </c>
      <c r="F982" s="7">
        <f>IFERROR(IF(OR(PRECIOS!F982="",PRECIOS!F981=""),"",PRECIOS!F982/PRECIOS!F981-1),"")</f>
        <v>0.01875993641</v>
      </c>
      <c r="G982" s="7">
        <f>IFERROR(IF(OR(PRECIOS!G982="",PRECIOS!G981=""),"",PRECIOS!G982/PRECIOS!G981-1),"")</f>
        <v>0.007152588556</v>
      </c>
      <c r="H982" s="7">
        <f>IFERROR(IF(OR(PRECIOS!H982="",PRECIOS!H981=""),"",PRECIOS!H982/PRECIOS!H981-1),"")</f>
        <v>0.01720046179</v>
      </c>
      <c r="I982" s="7">
        <f>IFERROR(IF(OR(PRECIOS!I982="",PRECIOS!I981=""),"",PRECIOS!I982/PRECIOS!I981-1),"")</f>
        <v>-0.008667257522</v>
      </c>
    </row>
    <row r="983" ht="15.75" customHeight="1">
      <c r="A983" s="4">
        <f>IF(PRECIOS!A983="","",PRECIOS!A983)</f>
        <v>45841</v>
      </c>
      <c r="B983" s="7">
        <f>IFERROR(IF(OR(PRECIOS!B983="",PRECIOS!B982=""),"",PRECIOS!B983/PRECIOS!B982-1),"")</f>
        <v>0.01035569563</v>
      </c>
      <c r="C983" s="7">
        <f>IFERROR(IF(OR(PRECIOS!C983="",PRECIOS!C982=""),"",PRECIOS!C983/PRECIOS!C982-1),"")</f>
        <v>0.003949533736</v>
      </c>
      <c r="D983" s="7">
        <f>IFERROR(IF(OR(PRECIOS!D983="",PRECIOS!D982=""),"",PRECIOS!D983/PRECIOS!D982-1),"")</f>
        <v>0.02769757245</v>
      </c>
      <c r="E983" s="7">
        <f>IFERROR(IF(OR(PRECIOS!E983="",PRECIOS!E982=""),"",PRECIOS!E983/PRECIOS!E982-1),"")</f>
        <v>0.01125101203</v>
      </c>
      <c r="F983" s="7">
        <f>IFERROR(IF(OR(PRECIOS!F983="",PRECIOS!F982=""),"",PRECIOS!F983/PRECIOS!F982-1),"")</f>
        <v>0.007490636704</v>
      </c>
      <c r="G983" s="7">
        <f>IFERROR(IF(OR(PRECIOS!G983="",PRECIOS!G982=""),"",PRECIOS!G983/PRECIOS!G982-1),"")</f>
        <v>-0.008454514711</v>
      </c>
      <c r="H983" s="7">
        <f>IFERROR(IF(OR(PRECIOS!H983="",PRECIOS!H982=""),"",PRECIOS!H983/PRECIOS!H982-1),"")</f>
        <v>0.001148992233</v>
      </c>
      <c r="I983" s="7">
        <f>IFERROR(IF(OR(PRECIOS!I983="",PRECIOS!I982=""),"",PRECIOS!I983/PRECIOS!I982-1),"")</f>
        <v>0.007509371106</v>
      </c>
    </row>
    <row r="984" ht="15.75" customHeight="1">
      <c r="A984" s="4">
        <f>IF(PRECIOS!A984="","",PRECIOS!A984)</f>
        <v>45845</v>
      </c>
      <c r="B984" s="7">
        <f>IFERROR(IF(OR(PRECIOS!B984="",PRECIOS!B983=""),"",PRECIOS!B984/PRECIOS!B983-1),"")</f>
        <v>-0.009714795009</v>
      </c>
      <c r="C984" s="7">
        <f>IFERROR(IF(OR(PRECIOS!C984="",PRECIOS!C983=""),"",PRECIOS!C984/PRECIOS!C983-1),"")</f>
        <v>0.001639165119</v>
      </c>
      <c r="D984" s="7">
        <f>IFERROR(IF(OR(PRECIOS!D984="",PRECIOS!D983=""),"",PRECIOS!D984/PRECIOS!D983-1),"")</f>
        <v>0.007804370447</v>
      </c>
      <c r="E984" s="7">
        <f>IFERROR(IF(OR(PRECIOS!E984="",PRECIOS!E983=""),"",PRECIOS!E984/PRECIOS!E983-1),"")</f>
        <v>-0.01029760919</v>
      </c>
      <c r="F984" s="7">
        <f>IFERROR(IF(OR(PRECIOS!F984="",PRECIOS!F983=""),"",PRECIOS!F984/PRECIOS!F983-1),"")</f>
        <v>-0.04275092937</v>
      </c>
      <c r="G984" s="7">
        <f>IFERROR(IF(OR(PRECIOS!G984="",PRECIOS!G983=""),"",PRECIOS!G984/PRECIOS!G983-1),"")</f>
        <v>-0.00272851296</v>
      </c>
      <c r="H984" s="7">
        <f>IFERROR(IF(OR(PRECIOS!H984="",PRECIOS!H983=""),"",PRECIOS!H984/PRECIOS!H983-1),"")</f>
        <v>-0.009651210083</v>
      </c>
      <c r="I984" s="7">
        <f>IFERROR(IF(OR(PRECIOS!I984="",PRECIOS!I983=""),"",PRECIOS!I984/PRECIOS!I983-1),"")</f>
        <v>0.002077136625</v>
      </c>
    </row>
    <row r="985" ht="15.75" customHeight="1">
      <c r="A985" s="4">
        <f>IF(PRECIOS!A985="","",PRECIOS!A985)</f>
        <v>45846</v>
      </c>
      <c r="B985" s="7">
        <f>IFERROR(IF(OR(PRECIOS!B985="",PRECIOS!B984=""),"",PRECIOS!B985/PRECIOS!B984-1),"")</f>
        <v>0.0277202772</v>
      </c>
      <c r="C985" s="7">
        <f>IFERROR(IF(OR(PRECIOS!C985="",PRECIOS!C984=""),"",PRECIOS!C985/PRECIOS!C984-1),"")</f>
        <v>-0.004363953742</v>
      </c>
      <c r="D985" s="7">
        <f>IFERROR(IF(OR(PRECIOS!D985="",PRECIOS!D984=""),"",PRECIOS!D985/PRECIOS!D984-1),"")</f>
        <v>-0.0181724316</v>
      </c>
      <c r="E985" s="7">
        <f>IFERROR(IF(OR(PRECIOS!E985="",PRECIOS!E984=""),"",PRECIOS!E985/PRECIOS!E984-1),"")</f>
        <v>-0.004212111914</v>
      </c>
      <c r="F985" s="7">
        <f>IFERROR(IF(OR(PRECIOS!F985="",PRECIOS!F984=""),"",PRECIOS!F985/PRECIOS!F984-1),"")</f>
        <v>0.06957928803</v>
      </c>
      <c r="G985" s="7">
        <f>IFERROR(IF(OR(PRECIOS!G985="",PRECIOS!G984=""),"",PRECIOS!G985/PRECIOS!G984-1),"")</f>
        <v>-0.01350889193</v>
      </c>
      <c r="H985" s="7">
        <f>IFERROR(IF(OR(PRECIOS!H985="",PRECIOS!H984=""),"",PRECIOS!H985/PRECIOS!H984-1),"")</f>
        <v>0.02691571492</v>
      </c>
      <c r="I985" s="7">
        <f>IFERROR(IF(OR(PRECIOS!I985="",PRECIOS!I984=""),"",PRECIOS!I985/PRECIOS!I984-1),"")</f>
        <v>-0.01060903636</v>
      </c>
    </row>
    <row r="986" ht="15.75" customHeight="1">
      <c r="A986" s="4">
        <f>IF(PRECIOS!A986="","",PRECIOS!A986)</f>
        <v>45847</v>
      </c>
      <c r="B986" s="7">
        <f>IFERROR(IF(OR(PRECIOS!B986="",PRECIOS!B985=""),"",PRECIOS!B986/PRECIOS!B985-1),"")</f>
        <v>-0.003415360364</v>
      </c>
      <c r="C986" s="7">
        <f>IFERROR(IF(OR(PRECIOS!C986="",PRECIOS!C985=""),"",PRECIOS!C986/PRECIOS!C985-1),"")</f>
        <v>0.007670392286</v>
      </c>
      <c r="D986" s="7">
        <f>IFERROR(IF(OR(PRECIOS!D986="",PRECIOS!D985=""),"",PRECIOS!D986/PRECIOS!D985-1),"")</f>
        <v>0.03591334525</v>
      </c>
      <c r="E986" s="7">
        <f>IFERROR(IF(OR(PRECIOS!E986="",PRECIOS!E985=""),"",PRECIOS!E986/PRECIOS!E985-1),"")</f>
        <v>0.007843576671</v>
      </c>
      <c r="F986" s="7">
        <f>IFERROR(IF(OR(PRECIOS!F986="",PRECIOS!F985=""),"",PRECIOS!F986/PRECIOS!F985-1),"")</f>
        <v>-0.03449319213</v>
      </c>
      <c r="G986" s="7">
        <f>IFERROR(IF(OR(PRECIOS!G986="",PRECIOS!G985=""),"",PRECIOS!G986/PRECIOS!G985-1),"")</f>
        <v>0.002773444271</v>
      </c>
      <c r="H986" s="7">
        <f>IFERROR(IF(OR(PRECIOS!H986="",PRECIOS!H985=""),"",PRECIOS!H986/PRECIOS!H985-1),"")</f>
        <v>-0.005081625477</v>
      </c>
      <c r="I986" s="7">
        <f>IFERROR(IF(OR(PRECIOS!I986="",PRECIOS!I985=""),"",PRECIOS!I986/PRECIOS!I985-1),"")</f>
        <v>0.009367757613</v>
      </c>
    </row>
    <row r="987" ht="15.75" customHeight="1">
      <c r="A987" s="4">
        <f>IF(PRECIOS!A987="","",PRECIOS!A987)</f>
        <v>45848</v>
      </c>
      <c r="B987" s="7">
        <f>IFERROR(IF(OR(PRECIOS!B987="",PRECIOS!B986=""),"",PRECIOS!B987/PRECIOS!B986-1),"")</f>
        <v>0.00992970123</v>
      </c>
      <c r="C987" s="7">
        <f>IFERROR(IF(OR(PRECIOS!C987="",PRECIOS!C986=""),"",PRECIOS!C987/PRECIOS!C986-1),"")</f>
        <v>0.01413658112</v>
      </c>
      <c r="D987" s="7">
        <f>IFERROR(IF(OR(PRECIOS!D987="",PRECIOS!D986=""),"",PRECIOS!D987/PRECIOS!D986-1),"")</f>
        <v>-0.006243337902</v>
      </c>
      <c r="E987" s="7">
        <f>IFERROR(IF(OR(PRECIOS!E987="",PRECIOS!E986=""),"",PRECIOS!E987/PRECIOS!E986-1),"")</f>
        <v>-0.005948079382</v>
      </c>
      <c r="F987" s="7">
        <f>IFERROR(IF(OR(PRECIOS!F987="",PRECIOS!F986=""),"",PRECIOS!F987/PRECIOS!F986-1),"")</f>
        <v>-0.003447195237</v>
      </c>
      <c r="G987" s="7">
        <f>IFERROR(IF(OR(PRECIOS!G987="",PRECIOS!G986=""),"",PRECIOS!G987/PRECIOS!G986-1),"")</f>
        <v>-0.001210025929</v>
      </c>
      <c r="H987" s="7">
        <f>IFERROR(IF(OR(PRECIOS!H987="",PRECIOS!H986=""),"",PRECIOS!H987/PRECIOS!H986-1),"")</f>
        <v>0.007609393697</v>
      </c>
      <c r="I987" s="7">
        <f>IFERROR(IF(OR(PRECIOS!I987="",PRECIOS!I986=""),"",PRECIOS!I987/PRECIOS!I986-1),"")</f>
        <v>0.008181088632</v>
      </c>
    </row>
    <row r="988" ht="15.75" customHeight="1">
      <c r="A988" s="4">
        <f>IF(PRECIOS!A988="","",PRECIOS!A988)</f>
        <v>45849</v>
      </c>
      <c r="B988" s="7">
        <f>IFERROR(IF(OR(PRECIOS!B988="",PRECIOS!B987=""),"",PRECIOS!B988/PRECIOS!B987-1),"")</f>
        <v>0.004350474202</v>
      </c>
      <c r="C988" s="7">
        <f>IFERROR(IF(OR(PRECIOS!C988="",PRECIOS!C987=""),"",PRECIOS!C988/PRECIOS!C987-1),"")</f>
        <v>-0.006433626421</v>
      </c>
      <c r="D988" s="7">
        <f>IFERROR(IF(OR(PRECIOS!D988="",PRECIOS!D987=""),"",PRECIOS!D988/PRECIOS!D987-1),"")</f>
        <v>0.004086219226</v>
      </c>
      <c r="E988" s="7">
        <f>IFERROR(IF(OR(PRECIOS!E988="",PRECIOS!E987=""),"",PRECIOS!E988/PRECIOS!E987-1),"")</f>
        <v>0.008332401297</v>
      </c>
      <c r="F988" s="7">
        <f>IFERROR(IF(OR(PRECIOS!F988="",PRECIOS!F987=""),"",PRECIOS!F988/PRECIOS!F987-1),"")</f>
        <v>-0.02610062893</v>
      </c>
      <c r="G988" s="7">
        <f>IFERROR(IF(OR(PRECIOS!G988="",PRECIOS!G987=""),"",PRECIOS!G988/PRECIOS!G987-1),"")</f>
        <v>0.007615091727</v>
      </c>
      <c r="H988" s="7">
        <f>IFERROR(IF(OR(PRECIOS!H988="",PRECIOS!H987=""),"",PRECIOS!H988/PRECIOS!H987-1),"")</f>
        <v>0.004505020863</v>
      </c>
      <c r="I988" s="7">
        <f>IFERROR(IF(OR(PRECIOS!I988="",PRECIOS!I987=""),"",PRECIOS!I988/PRECIOS!I987-1),"")</f>
        <v>-0.001454406089</v>
      </c>
    </row>
    <row r="989" ht="15.75" customHeight="1">
      <c r="A989" s="4">
        <f>IF(PRECIOS!A989="","",PRECIOS!A989)</f>
        <v>45852</v>
      </c>
      <c r="B989" s="7">
        <f>IFERROR(IF(OR(PRECIOS!B989="",PRECIOS!B988=""),"",PRECIOS!B989/PRECIOS!B988-1),"")</f>
        <v>-0.01308152127</v>
      </c>
      <c r="C989" s="7">
        <f>IFERROR(IF(OR(PRECIOS!C989="",PRECIOS!C988=""),"",PRECIOS!C989/PRECIOS!C988-1),"")</f>
        <v>0.0002158428664</v>
      </c>
      <c r="D989" s="7">
        <f>IFERROR(IF(OR(PRECIOS!D989="",PRECIOS!D988=""),"",PRECIOS!D989/PRECIOS!D988-1),"")</f>
        <v>-0.00900396785</v>
      </c>
      <c r="E989" s="7">
        <f>IFERROR(IF(OR(PRECIOS!E989="",PRECIOS!E988=""),"",PRECIOS!E989/PRECIOS!E988-1),"")</f>
        <v>-0.0009150906772</v>
      </c>
      <c r="F989" s="7">
        <f>IFERROR(IF(OR(PRECIOS!F989="",PRECIOS!F988=""),"",PRECIOS!F989/PRECIOS!F988-1),"")</f>
        <v>0.003551824346</v>
      </c>
      <c r="G989" s="7">
        <f>IFERROR(IF(OR(PRECIOS!G989="",PRECIOS!G988=""),"",PRECIOS!G989/PRECIOS!G988-1),"")</f>
        <v>0.01408450704</v>
      </c>
      <c r="H989" s="7">
        <f>IFERROR(IF(OR(PRECIOS!H989="",PRECIOS!H988=""),"",PRECIOS!H989/PRECIOS!H988-1),"")</f>
        <v>-0.0109940773</v>
      </c>
      <c r="I989" s="7">
        <f>IFERROR(IF(OR(PRECIOS!I989="",PRECIOS!I988=""),"",PRECIOS!I989/PRECIOS!I988-1),"")</f>
        <v>0.004002981939</v>
      </c>
    </row>
    <row r="990" ht="15.75" customHeight="1">
      <c r="A990" s="4">
        <f>IF(PRECIOS!A990="","",PRECIOS!A990)</f>
        <v>45853</v>
      </c>
      <c r="B990" s="7">
        <f>IFERROR(IF(OR(PRECIOS!B990="",PRECIOS!B989=""),"",PRECIOS!B990/PRECIOS!B989-1),"")</f>
        <v>-0.008865870787</v>
      </c>
      <c r="C990" s="7">
        <f>IFERROR(IF(OR(PRECIOS!C990="",PRECIOS!C989=""),"",PRECIOS!C990/PRECIOS!C989-1),"")</f>
        <v>-0.002265861027</v>
      </c>
      <c r="D990" s="7">
        <f>IFERROR(IF(OR(PRECIOS!D990="",PRECIOS!D989=""),"",PRECIOS!D990/PRECIOS!D989-1),"")</f>
        <v>-0.0176582311</v>
      </c>
      <c r="E990" s="7">
        <f>IFERROR(IF(OR(PRECIOS!E990="",PRECIOS!E989=""),"",PRECIOS!E990/PRECIOS!E989-1),"")</f>
        <v>0.005051486303</v>
      </c>
      <c r="F990" s="7">
        <f>IFERROR(IF(OR(PRECIOS!F990="",PRECIOS!F989=""),"",PRECIOS!F990/PRECIOS!F989-1),"")</f>
        <v>0.01705276705</v>
      </c>
      <c r="G990" s="7">
        <f>IFERROR(IF(OR(PRECIOS!G990="",PRECIOS!G989=""),"",PRECIOS!G990/PRECIOS!G989-1),"")</f>
        <v>-0.01134823848</v>
      </c>
      <c r="H990" s="7">
        <f>IFERROR(IF(OR(PRECIOS!H990="",PRECIOS!H989=""),"",PRECIOS!H990/PRECIOS!H989-1),"")</f>
        <v>-0.0144071004</v>
      </c>
      <c r="I990" s="7">
        <f>IFERROR(IF(OR(PRECIOS!I990="",PRECIOS!I989=""),"",PRECIOS!I990/PRECIOS!I989-1),"")</f>
        <v>-0.00954238692</v>
      </c>
    </row>
    <row r="991" ht="15.75" customHeight="1">
      <c r="A991" s="4">
        <f>IF(PRECIOS!A991="","",PRECIOS!A991)</f>
        <v>45854</v>
      </c>
      <c r="B991" s="7">
        <f>IFERROR(IF(OR(PRECIOS!B991="",PRECIOS!B990=""),"",PRECIOS!B991/PRECIOS!B990-1),"")</f>
        <v>-0.006022495793</v>
      </c>
      <c r="C991" s="7">
        <f>IFERROR(IF(OR(PRECIOS!C991="",PRECIOS!C990=""),"",PRECIOS!C991/PRECIOS!C990-1),"")</f>
        <v>0.008975884071</v>
      </c>
      <c r="D991" s="7">
        <f>IFERROR(IF(OR(PRECIOS!D991="",PRECIOS!D990=""),"",PRECIOS!D991/PRECIOS!D990-1),"")</f>
        <v>-0.03783247113</v>
      </c>
      <c r="E991" s="7">
        <f>IFERROR(IF(OR(PRECIOS!E991="",PRECIOS!E990=""),"",PRECIOS!E991/PRECIOS!E990-1),"")</f>
        <v>0.00215404159</v>
      </c>
      <c r="F991" s="7">
        <f>IFERROR(IF(OR(PRECIOS!F991="",PRECIOS!F990=""),"",PRECIOS!F991/PRECIOS!F990-1),"")</f>
        <v>-0.02530844669</v>
      </c>
      <c r="G991" s="7">
        <f>IFERROR(IF(OR(PRECIOS!G991="",PRECIOS!G990=""),"",PRECIOS!G991/PRECIOS!G990-1),"")</f>
        <v>0.001884529724</v>
      </c>
      <c r="H991" s="7">
        <f>IFERROR(IF(OR(PRECIOS!H991="",PRECIOS!H990=""),"",PRECIOS!H991/PRECIOS!H990-1),"")</f>
        <v>-0.008630600466</v>
      </c>
      <c r="I991" s="7">
        <f>IFERROR(IF(OR(PRECIOS!I991="",PRECIOS!I990=""),"",PRECIOS!I991/PRECIOS!I990-1),"")</f>
        <v>0.0004849324558</v>
      </c>
    </row>
    <row r="992" ht="15.75" customHeight="1">
      <c r="A992" s="4">
        <f>IF(PRECIOS!A992="","",PRECIOS!A992)</f>
        <v>45855</v>
      </c>
      <c r="B992" s="7">
        <f>IFERROR(IF(OR(PRECIOS!B992="",PRECIOS!B991=""),"",PRECIOS!B992/PRECIOS!B991-1),"")</f>
        <v>-0.005078855921</v>
      </c>
      <c r="C992" s="7">
        <f>IFERROR(IF(OR(PRECIOS!C992="",PRECIOS!C991=""),"",PRECIOS!C992/PRECIOS!C991-1),"")</f>
        <v>0.0003215434084</v>
      </c>
      <c r="D992" s="7">
        <f>IFERROR(IF(OR(PRECIOS!D992="",PRECIOS!D991=""),"",PRECIOS!D992/PRECIOS!D991-1),"")</f>
        <v>-0.01156791397</v>
      </c>
      <c r="E992" s="7">
        <f>IFERROR(IF(OR(PRECIOS!E992="",PRECIOS!E991=""),"",PRECIOS!E992/PRECIOS!E991-1),"")</f>
        <v>0.04913334619</v>
      </c>
      <c r="F992" s="7">
        <f>IFERROR(IF(OR(PRECIOS!F992="",PRECIOS!F991=""),"",PRECIOS!F992/PRECIOS!F991-1),"")</f>
        <v>0.003245699448</v>
      </c>
      <c r="G992" s="7">
        <f>IFERROR(IF(OR(PRECIOS!G992="",PRECIOS!G991=""),"",PRECIOS!G992/PRECIOS!G991-1),"")</f>
        <v>-0.006668946648</v>
      </c>
      <c r="H992" s="7">
        <f>IFERROR(IF(OR(PRECIOS!H992="",PRECIOS!H991=""),"",PRECIOS!H992/PRECIOS!H991-1),"")</f>
        <v>0.006150227091</v>
      </c>
      <c r="I992" s="7">
        <f>IFERROR(IF(OR(PRECIOS!I992="",PRECIOS!I991=""),"",PRECIOS!I992/PRECIOS!I991-1),"")</f>
        <v>0.004147130393</v>
      </c>
    </row>
    <row r="993" ht="15.75" customHeight="1">
      <c r="A993" s="4">
        <f>IF(PRECIOS!A993="","",PRECIOS!A993)</f>
        <v>45856</v>
      </c>
      <c r="B993" s="7">
        <f>IFERROR(IF(OR(PRECIOS!B993="",PRECIOS!B992=""),"",PRECIOS!B993/PRECIOS!B992-1),"")</f>
        <v>-0.03483790077</v>
      </c>
      <c r="C993" s="7">
        <f>IFERROR(IF(OR(PRECIOS!C993="",PRECIOS!C992=""),"",PRECIOS!C993/PRECIOS!C992-1),"")</f>
        <v>0.008250294653</v>
      </c>
      <c r="D993" s="7">
        <f>IFERROR(IF(OR(PRECIOS!D993="",PRECIOS!D992=""),"",PRECIOS!D993/PRECIOS!D992-1),"")</f>
        <v>0.06049450549</v>
      </c>
      <c r="E993" s="7">
        <f>IFERROR(IF(OR(PRECIOS!E993="",PRECIOS!E992=""),"",PRECIOS!E993/PRECIOS!E992-1),"")</f>
        <v>-0.005515864677</v>
      </c>
      <c r="F993" s="7">
        <f>IFERROR(IF(OR(PRECIOS!F993="",PRECIOS!F992=""),"",PRECIOS!F993/PRECIOS!F992-1),"")</f>
        <v>-0.005823358137</v>
      </c>
      <c r="G993" s="7">
        <f>IFERROR(IF(OR(PRECIOS!G993="",PRECIOS!G992=""),"",PRECIOS!G993/PRECIOS!G992-1),"")</f>
        <v>0.02169048029</v>
      </c>
      <c r="H993" s="7">
        <f>IFERROR(IF(OR(PRECIOS!H993="",PRECIOS!H992=""),"",PRECIOS!H993/PRECIOS!H992-1),"")</f>
        <v>-0.008077407906</v>
      </c>
      <c r="I993" s="7">
        <f>IFERROR(IF(OR(PRECIOS!I993="",PRECIOS!I992=""),"",PRECIOS!I993/PRECIOS!I992-1),"")</f>
        <v>0.01675397054</v>
      </c>
    </row>
    <row r="994" ht="15.75" customHeight="1">
      <c r="A994" s="4">
        <f>IF(PRECIOS!A994="","",PRECIOS!A994)</f>
        <v>45859</v>
      </c>
      <c r="B994" s="7">
        <f>IFERROR(IF(OR(PRECIOS!B994="",PRECIOS!B993=""),"",PRECIOS!B994/PRECIOS!B993-1),"")</f>
        <v>0.002598125638</v>
      </c>
      <c r="C994" s="7">
        <f>IFERROR(IF(OR(PRECIOS!C994="",PRECIOS!C993=""),"",PRECIOS!C994/PRECIOS!C993-1),"")</f>
        <v>0.007332624867</v>
      </c>
      <c r="D994" s="7">
        <f>IFERROR(IF(OR(PRECIOS!D994="",PRECIOS!D993=""),"",PRECIOS!D994/PRECIOS!D993-1),"")</f>
        <v>-0.02476555619</v>
      </c>
      <c r="E994" s="7">
        <f>IFERROR(IF(OR(PRECIOS!E994="",PRECIOS!E993=""),"",PRECIOS!E994/PRECIOS!E993-1),"")</f>
        <v>-0.01310020601</v>
      </c>
      <c r="F994" s="7">
        <f>IFERROR(IF(OR(PRECIOS!F994="",PRECIOS!F993=""),"",PRECIOS!F994/PRECIOS!F993-1),"")</f>
        <v>-0.004555808656</v>
      </c>
      <c r="G994" s="7">
        <f>IFERROR(IF(OR(PRECIOS!G994="",PRECIOS!G993=""),"",PRECIOS!G994/PRECIOS!G993-1),"")</f>
        <v>-0.02813816344</v>
      </c>
      <c r="H994" s="7">
        <f>IFERROR(IF(OR(PRECIOS!H994="",PRECIOS!H993=""),"",PRECIOS!H994/PRECIOS!H993-1),"")</f>
        <v>-0.01035351025</v>
      </c>
      <c r="I994" s="7">
        <f>IFERROR(IF(OR(PRECIOS!I994="",PRECIOS!I993=""),"",PRECIOS!I994/PRECIOS!I993-1),"")</f>
        <v>0.003223884357</v>
      </c>
    </row>
    <row r="995" ht="15.75" customHeight="1">
      <c r="A995" s="4">
        <f>IF(PRECIOS!A995="","",PRECIOS!A995)</f>
        <v>45860</v>
      </c>
      <c r="B995" s="7">
        <f>IFERROR(IF(OR(PRECIOS!B995="",PRECIOS!B994=""),"",PRECIOS!B995/PRECIOS!B994-1),"")</f>
        <v>0.004534937529</v>
      </c>
      <c r="C995" s="7">
        <f>IFERROR(IF(OR(PRECIOS!C995="",PRECIOS!C994=""),"",PRECIOS!C995/PRECIOS!C994-1),"")</f>
        <v>0.0111826142</v>
      </c>
      <c r="D995" s="7">
        <f>IFERROR(IF(OR(PRECIOS!D995="",PRECIOS!D994=""),"",PRECIOS!D995/PRECIOS!D994-1),"")</f>
        <v>0.0045688785</v>
      </c>
      <c r="E995" s="7">
        <f>IFERROR(IF(OR(PRECIOS!E995="",PRECIOS!E994=""),"",PRECIOS!E995/PRECIOS!E994-1),"")</f>
        <v>-0.002702992025</v>
      </c>
      <c r="F995" s="7">
        <f>IFERROR(IF(OR(PRECIOS!F995="",PRECIOS!F994=""),"",PRECIOS!F995/PRECIOS!F994-1),"")</f>
        <v>-0.001961425302</v>
      </c>
      <c r="G995" s="7">
        <f>IFERROR(IF(OR(PRECIOS!G995="",PRECIOS!G994=""),"",PRECIOS!G995/PRECIOS!G994-1),"")</f>
        <v>-0.005547850208</v>
      </c>
      <c r="H995" s="7">
        <f>IFERROR(IF(OR(PRECIOS!H995="",PRECIOS!H994=""),"",PRECIOS!H995/PRECIOS!H994-1),"")</f>
        <v>0.004703637368</v>
      </c>
      <c r="I995" s="7">
        <f>IFERROR(IF(OR(PRECIOS!I995="",PRECIOS!I994=""),"",PRECIOS!I995/PRECIOS!I994-1),"")</f>
        <v>0.01226016268</v>
      </c>
    </row>
    <row r="996" ht="15.75" customHeight="1">
      <c r="A996" s="4">
        <f>IF(PRECIOS!A996="","",PRECIOS!A996)</f>
        <v>45861</v>
      </c>
      <c r="B996" s="7">
        <f>IFERROR(IF(OR(PRECIOS!B996="",PRECIOS!B995=""),"",PRECIOS!B996/PRECIOS!B995-1),"")</f>
        <v>0.01280633868</v>
      </c>
      <c r="C996" s="7">
        <f>IFERROR(IF(OR(PRECIOS!C996="",PRECIOS!C995=""),"",PRECIOS!C996/PRECIOS!C995-1),"")</f>
        <v>-0.007511737089</v>
      </c>
      <c r="D996" s="7">
        <f>IFERROR(IF(OR(PRECIOS!D996="",PRECIOS!D995=""),"",PRECIOS!D996/PRECIOS!D995-1),"")</f>
        <v>0.05833201121</v>
      </c>
      <c r="E996" s="7">
        <f>IFERROR(IF(OR(PRECIOS!E996="",PRECIOS!E995=""),"",PRECIOS!E996/PRECIOS!E995-1),"")</f>
        <v>0.02036763719</v>
      </c>
      <c r="F996" s="7">
        <f>IFERROR(IF(OR(PRECIOS!F996="",PRECIOS!F995=""),"",PRECIOS!F996/PRECIOS!F995-1),"")</f>
        <v>0.05764821487</v>
      </c>
      <c r="G996" s="7">
        <f>IFERROR(IF(OR(PRECIOS!G996="",PRECIOS!G995=""),"",PRECIOS!G996/PRECIOS!G995-1),"")</f>
        <v>0.00610181311</v>
      </c>
      <c r="H996" s="7">
        <f>IFERROR(IF(OR(PRECIOS!H996="",PRECIOS!H995=""),"",PRECIOS!H996/PRECIOS!H995-1),"")</f>
        <v>0.01567520481</v>
      </c>
      <c r="I996" s="7">
        <f>IFERROR(IF(OR(PRECIOS!I996="",PRECIOS!I995=""),"",PRECIOS!I996/PRECIOS!I995-1),"")</f>
        <v>-0.007525073641</v>
      </c>
    </row>
    <row r="997" ht="15.75" customHeight="1">
      <c r="A997" s="4">
        <f>IF(PRECIOS!A997="","",PRECIOS!A997)</f>
        <v>45862</v>
      </c>
      <c r="B997" s="7">
        <f>IFERROR(IF(OR(PRECIOS!B997="",PRECIOS!B996=""),"",PRECIOS!B997/PRECIOS!B996-1),"")</f>
        <v>0.007823160193</v>
      </c>
      <c r="C997" s="7">
        <f>IFERROR(IF(OR(PRECIOS!C997="",PRECIOS!C996=""),"",PRECIOS!C997/PRECIOS!C996-1),"")</f>
        <v>-0.001366551035</v>
      </c>
      <c r="D997" s="7">
        <f>IFERROR(IF(OR(PRECIOS!D997="",PRECIOS!D996=""),"",PRECIOS!D997/PRECIOS!D996-1),"")</f>
        <v>-0.01938836698</v>
      </c>
      <c r="E997" s="7">
        <f>IFERROR(IF(OR(PRECIOS!E997="",PRECIOS!E996=""),"",PRECIOS!E997/PRECIOS!E996-1),"")</f>
        <v>0.01225541763</v>
      </c>
      <c r="F997" s="7">
        <f>IFERROR(IF(OR(PRECIOS!F997="",PRECIOS!F996=""),"",PRECIOS!F997/PRECIOS!F996-1),"")</f>
        <v>0.003406627439</v>
      </c>
      <c r="G997" s="7">
        <f>IFERROR(IF(OR(PRECIOS!G997="",PRECIOS!G996=""),"",PRECIOS!G997/PRECIOS!G996-1),"")</f>
        <v>0.01802114018</v>
      </c>
      <c r="H997" s="7">
        <f>IFERROR(IF(OR(PRECIOS!H997="",PRECIOS!H996=""),"",PRECIOS!H997/PRECIOS!H996-1),"")</f>
        <v>0.007142522379</v>
      </c>
      <c r="I997" s="7">
        <f>IFERROR(IF(OR(PRECIOS!I997="",PRECIOS!I996=""),"",PRECIOS!I997/PRECIOS!I996-1),"")</f>
        <v>-0.001302540194</v>
      </c>
    </row>
    <row r="998" ht="15.75" customHeight="1">
      <c r="A998" s="4">
        <f>IF(PRECIOS!A998="","",PRECIOS!A998)</f>
        <v>45863</v>
      </c>
      <c r="B998" s="7">
        <f>IFERROR(IF(OR(PRECIOS!B998="",PRECIOS!B997=""),"",PRECIOS!B998/PRECIOS!B997-1),"")</f>
        <v>-0.003520173301</v>
      </c>
      <c r="C998" s="7">
        <f>IFERROR(IF(OR(PRECIOS!C998="",PRECIOS!C997=""),"",PRECIOS!C998/PRECIOS!C997-1),"")</f>
        <v>0.003684210526</v>
      </c>
      <c r="D998" s="7">
        <f>IFERROR(IF(OR(PRECIOS!D998="",PRECIOS!D997=""),"",PRECIOS!D998/PRECIOS!D997-1),"")</f>
        <v>-0.02058703628</v>
      </c>
      <c r="E998" s="7">
        <f>IFERROR(IF(OR(PRECIOS!E998="",PRECIOS!E997=""),"",PRECIOS!E998/PRECIOS!E997-1),"")</f>
        <v>0.01888802286</v>
      </c>
      <c r="F998" s="7">
        <f>IFERROR(IF(OR(PRECIOS!F998="",PRECIOS!F997=""),"",PRECIOS!F998/PRECIOS!F997-1),"")</f>
        <v>0.02345679012</v>
      </c>
      <c r="G998" s="7">
        <f>IFERROR(IF(OR(PRECIOS!G998="",PRECIOS!G997=""),"",PRECIOS!G998/PRECIOS!G997-1),"")</f>
        <v>-0.01582978723</v>
      </c>
      <c r="H998" s="7">
        <f>IFERROR(IF(OR(PRECIOS!H998="",PRECIOS!H997=""),"",PRECIOS!H998/PRECIOS!H997-1),"")</f>
        <v>-0.00377395367</v>
      </c>
      <c r="I998" s="7">
        <f>IFERROR(IF(OR(PRECIOS!I998="",PRECIOS!I997=""),"",PRECIOS!I998/PRECIOS!I997-1),"")</f>
        <v>0.002608478035</v>
      </c>
    </row>
    <row r="999" ht="15.75" customHeight="1">
      <c r="A999" s="4">
        <f>IF(PRECIOS!A999="","",PRECIOS!A999)</f>
        <v>45866</v>
      </c>
      <c r="B999" s="7">
        <f>IFERROR(IF(OR(PRECIOS!B999="",PRECIOS!B998=""),"",PRECIOS!B999/PRECIOS!B998-1),"")</f>
        <v>0.009420289855</v>
      </c>
      <c r="C999" s="7">
        <f>IFERROR(IF(OR(PRECIOS!C999="",PRECIOS!C998=""),"",PRECIOS!C999/PRECIOS!C998-1),"")</f>
        <v>-0.01101206083</v>
      </c>
      <c r="D999" s="7">
        <f>IFERROR(IF(OR(PRECIOS!D999="",PRECIOS!D998=""),"",PRECIOS!D999/PRECIOS!D998-1),"")</f>
        <v>0.01914672216</v>
      </c>
      <c r="E999" s="7">
        <f>IFERROR(IF(OR(PRECIOS!E999="",PRECIOS!E998=""),"",PRECIOS!E999/PRECIOS!E998-1),"")</f>
        <v>0.001504449601</v>
      </c>
      <c r="F999" s="7">
        <f>IFERROR(IF(OR(PRECIOS!F999="",PRECIOS!F998=""),"",PRECIOS!F999/PRECIOS!F998-1),"")</f>
        <v>0.002110977081</v>
      </c>
      <c r="G999" s="7">
        <f>IFERROR(IF(OR(PRECIOS!G999="",PRECIOS!G998=""),"",PRECIOS!G999/PRECIOS!G998-1),"")</f>
        <v>-0.005361466621</v>
      </c>
      <c r="H999" s="7">
        <f>IFERROR(IF(OR(PRECIOS!H999="",PRECIOS!H998=""),"",PRECIOS!H999/PRECIOS!H998-1),"")</f>
        <v>0.01136475105</v>
      </c>
      <c r="I999" s="7">
        <f>IFERROR(IF(OR(PRECIOS!I999="",PRECIOS!I998=""),"",PRECIOS!I999/PRECIOS!I998-1),"")</f>
        <v>-0.01064677477</v>
      </c>
    </row>
    <row r="1000" ht="15.75" customHeight="1">
      <c r="A1000" s="4">
        <f>IF(PRECIOS!A1000="","",PRECIOS!A1000)</f>
        <v>45867</v>
      </c>
      <c r="B1000" s="7">
        <f>IFERROR(IF(OR(PRECIOS!B1000="",PRECIOS!B999=""),"",PRECIOS!B1000/PRECIOS!B999-1),"")</f>
        <v>0.01292175162</v>
      </c>
      <c r="C1000" s="7">
        <f>IFERROR(IF(OR(PRECIOS!C1000="",PRECIOS!C999=""),"",PRECIOS!C1000/PRECIOS!C999-1),"")</f>
        <v>0.009544008484</v>
      </c>
      <c r="D1000" s="7">
        <f>IFERROR(IF(OR(PRECIOS!D1000="",PRECIOS!D999=""),"",PRECIOS!D1000/PRECIOS!D999-1),"")</f>
        <v>0.01082295283</v>
      </c>
      <c r="E1000" s="7">
        <f>IFERROR(IF(OR(PRECIOS!E1000="",PRECIOS!E999=""),"",PRECIOS!E1000/PRECIOS!E999-1),"")</f>
        <v>-0.007001731337</v>
      </c>
      <c r="F1000" s="7">
        <f>IFERROR(IF(OR(PRECIOS!F1000="",PRECIOS!F999=""),"",PRECIOS!F1000/PRECIOS!F999-1),"")</f>
        <v>0.04754739693</v>
      </c>
      <c r="G1000" s="7">
        <f>IFERROR(IF(OR(PRECIOS!G1000="",PRECIOS!G999=""),"",PRECIOS!G1000/PRECIOS!G999-1),"")</f>
        <v>0.02399582681</v>
      </c>
      <c r="H1000" s="7">
        <f>IFERROR(IF(OR(PRECIOS!H1000="",PRECIOS!H999=""),"",PRECIOS!H1000/PRECIOS!H999-1),"")</f>
        <v>0.009763712612</v>
      </c>
      <c r="I1000" s="7">
        <f>IFERROR(IF(OR(PRECIOS!I1000="",PRECIOS!I999=""),"",PRECIOS!I1000/PRECIOS!I999-1),"")</f>
        <v>0.01147941856</v>
      </c>
    </row>
    <row r="1001" ht="15.75" customHeight="1">
      <c r="A1001" s="4">
        <f>IF(PRECIOS!A1001="","",PRECIOS!A1001)</f>
        <v>45868</v>
      </c>
      <c r="B1001" s="7">
        <f>IFERROR(IF(OR(PRECIOS!B1001="",PRECIOS!B1000=""),"",PRECIOS!B1001/PRECIOS!B1000-1),"")</f>
        <v>-0.008681785967</v>
      </c>
      <c r="C1001" s="7">
        <f>IFERROR(IF(OR(PRECIOS!C1001="",PRECIOS!C1000=""),"",PRECIOS!C1001/PRECIOS!C1000-1),"")</f>
        <v>-0.003151260504</v>
      </c>
      <c r="D1001" s="7">
        <f>IFERROR(IF(OR(PRECIOS!D1001="",PRECIOS!D1000=""),"",PRECIOS!D1001/PRECIOS!D1000-1),"")</f>
        <v>0.04570707071</v>
      </c>
      <c r="E1001" s="7">
        <f>IFERROR(IF(OR(PRECIOS!E1001="",PRECIOS!E1000=""),"",PRECIOS!E1001/PRECIOS!E1000-1),"")</f>
        <v>0.0002051229456</v>
      </c>
      <c r="F1001" s="7">
        <f>IFERROR(IF(OR(PRECIOS!F1001="",PRECIOS!F1000=""),"",PRECIOS!F1001/PRECIOS!F1000-1),"")</f>
        <v>-0.02642918702</v>
      </c>
      <c r="G1001" s="7">
        <f>IFERROR(IF(OR(PRECIOS!G1001="",PRECIOS!G1000=""),"",PRECIOS!G1001/PRECIOS!G1000-1),"")</f>
        <v>0.005943284089</v>
      </c>
      <c r="H1001" s="7">
        <f>IFERROR(IF(OR(PRECIOS!H1001="",PRECIOS!H1000=""),"",PRECIOS!H1001/PRECIOS!H1000-1),"")</f>
        <v>-0.01427525957</v>
      </c>
      <c r="I1001" s="7">
        <f>IFERROR(IF(OR(PRECIOS!I1001="",PRECIOS!I1000=""),"",PRECIOS!I1001/PRECIOS!I1000-1),"")</f>
        <v>0.007446971805</v>
      </c>
    </row>
    <row r="1002" ht="15.75" customHeight="1">
      <c r="A1002" s="4">
        <f>IF(PRECIOS!A1002="","",PRECIOS!A1002)</f>
        <v>45869</v>
      </c>
      <c r="B1002" s="7">
        <f>IFERROR(IF(OR(PRECIOS!B1002="",PRECIOS!B1001=""),"",PRECIOS!B1002/PRECIOS!B1001-1),"")</f>
        <v>-0.002323503128</v>
      </c>
      <c r="C1002" s="7">
        <f>IFERROR(IF(OR(PRECIOS!C1002="",PRECIOS!C1001=""),"",PRECIOS!C1002/PRECIOS!C1001-1),"")</f>
        <v>-0.004425711275</v>
      </c>
      <c r="D1002" s="7">
        <f>IFERROR(IF(OR(PRECIOS!D1002="",PRECIOS!D1001=""),"",PRECIOS!D1002/PRECIOS!D1001-1),"")</f>
        <v>0.007196329389</v>
      </c>
      <c r="E1002" s="7">
        <f>IFERROR(IF(OR(PRECIOS!E1002="",PRECIOS!E1001=""),"",PRECIOS!E1002/PRECIOS!E1001-1),"")</f>
        <v>-0.01376605399</v>
      </c>
      <c r="F1002" s="7">
        <f>IFERROR(IF(OR(PRECIOS!F1002="",PRECIOS!F1001=""),"",PRECIOS!F1002/PRECIOS!F1001-1),"")</f>
        <v>-0.01032753024</v>
      </c>
      <c r="G1002" s="7">
        <f>IFERROR(IF(OR(PRECIOS!G1002="",PRECIOS!G1001=""),"",PRECIOS!G1002/PRECIOS!G1001-1),"")</f>
        <v>0.01198514517</v>
      </c>
      <c r="H1002" s="7">
        <f>IFERROR(IF(OR(PRECIOS!H1002="",PRECIOS!H1001=""),"",PRECIOS!H1002/PRECIOS!H1001-1),"")</f>
        <v>-0.005361725032</v>
      </c>
      <c r="I1002" s="7">
        <f>IFERROR(IF(OR(PRECIOS!I1002="",PRECIOS!I1001=""),"",PRECIOS!I1002/PRECIOS!I1001-1),"")</f>
        <v>0.005399318657</v>
      </c>
    </row>
    <row r="1003" ht="15.75" customHeight="1">
      <c r="A1003" s="4">
        <f>IF(PRECIOS!A1003="","",PRECIOS!A1003)</f>
        <v>45870</v>
      </c>
      <c r="B1003" s="7">
        <f>IFERROR(IF(OR(PRECIOS!B1003="",PRECIOS!B1002=""),"",PRECIOS!B1003/PRECIOS!B1002-1),"")</f>
        <v>-0.0179147259</v>
      </c>
      <c r="C1003" s="7">
        <f>IFERROR(IF(OR(PRECIOS!C1003="",PRECIOS!C1002=""),"",PRECIOS!C1003/PRECIOS!C1002-1),"")</f>
        <v>0.005397967824</v>
      </c>
      <c r="D1003" s="7">
        <f>IFERROR(IF(OR(PRECIOS!D1003="",PRECIOS!D1002=""),"",PRECIOS!D1003/PRECIOS!D1002-1),"")</f>
        <v>-0.002349669128</v>
      </c>
      <c r="E1003" s="7">
        <f>IFERROR(IF(OR(PRECIOS!E1003="",PRECIOS!E1002=""),"",PRECIOS!E1003/PRECIOS!E1002-1),"")</f>
        <v>-0.008915574964</v>
      </c>
      <c r="F1003" s="7">
        <f>IFERROR(IF(OR(PRECIOS!F1003="",PRECIOS!F1002=""),"",PRECIOS!F1003/PRECIOS!F1002-1),"")</f>
        <v>-0.01282051282</v>
      </c>
      <c r="G1003" s="7">
        <f>IFERROR(IF(OR(PRECIOS!G1003="",PRECIOS!G1002=""),"",PRECIOS!G1003/PRECIOS!G1002-1),"")</f>
        <v>0.005337781485</v>
      </c>
      <c r="H1003" s="7">
        <f>IFERROR(IF(OR(PRECIOS!H1003="",PRECIOS!H1002=""),"",PRECIOS!H1003/PRECIOS!H1002-1),"")</f>
        <v>-0.01857679021</v>
      </c>
      <c r="I1003" s="7">
        <f>IFERROR(IF(OR(PRECIOS!I1003="",PRECIOS!I1002=""),"",PRECIOS!I1003/PRECIOS!I1002-1),"")</f>
        <v>0.001515434942</v>
      </c>
    </row>
    <row r="1004" ht="15.75" customHeight="1">
      <c r="A1004" s="4">
        <f>IF(PRECIOS!A1004="","",PRECIOS!A1004)</f>
        <v>45873</v>
      </c>
      <c r="B1004" s="7">
        <f>IFERROR(IF(OR(PRECIOS!B1004="",PRECIOS!B1003=""),"",PRECIOS!B1004/PRECIOS!B1003-1),"")</f>
        <v>-0.02070412258</v>
      </c>
      <c r="C1004" s="7">
        <f>IFERROR(IF(OR(PRECIOS!C1004="",PRECIOS!C1003=""),"",PRECIOS!C1004/PRECIOS!C1003-1),"")</f>
        <v>0.01063269818</v>
      </c>
      <c r="D1004" s="7">
        <f>IFERROR(IF(OR(PRECIOS!D1004="",PRECIOS!D1003=""),"",PRECIOS!D1004/PRECIOS!D1003-1),"")</f>
        <v>0.02888728671</v>
      </c>
      <c r="E1004" s="7">
        <f>IFERROR(IF(OR(PRECIOS!E1004="",PRECIOS!E1003=""),"",PRECIOS!E1004/PRECIOS!E1003-1),"")</f>
        <v>0.009100684518</v>
      </c>
      <c r="F1004" s="7">
        <f>IFERROR(IF(OR(PRECIOS!F1004="",PRECIOS!F1003=""),"",PRECIOS!F1004/PRECIOS!F1003-1),"")</f>
        <v>0.01117487164</v>
      </c>
      <c r="G1004" s="7">
        <f>IFERROR(IF(OR(PRECIOS!G1004="",PRECIOS!G1003=""),"",PRECIOS!G1004/PRECIOS!G1003-1),"")</f>
        <v>-0.0001659200265</v>
      </c>
      <c r="H1004" s="7">
        <f>IFERROR(IF(OR(PRECIOS!H1004="",PRECIOS!H1003=""),"",PRECIOS!H1004/PRECIOS!H1003-1),"")</f>
        <v>-0.002219882446</v>
      </c>
      <c r="I1004" s="7">
        <f>IFERROR(IF(OR(PRECIOS!I1004="",PRECIOS!I1003=""),"",PRECIOS!I1004/PRECIOS!I1003-1),"")</f>
        <v>0.01771794563</v>
      </c>
    </row>
    <row r="1005" ht="15.75" customHeight="1">
      <c r="A1005" s="4">
        <f>IF(PRECIOS!A1005="","",PRECIOS!A1005)</f>
        <v>45874</v>
      </c>
      <c r="B1005" s="7">
        <f>IFERROR(IF(OR(PRECIOS!B1005="",PRECIOS!B1004=""),"",PRECIOS!B1005/PRECIOS!B1004-1),"")</f>
        <v>-0.001210766508</v>
      </c>
      <c r="C1005" s="7">
        <f>IFERROR(IF(OR(PRECIOS!C1005="",PRECIOS!C1004=""),"",PRECIOS!C1005/PRECIOS!C1004-1),"")</f>
        <v>-0.01677083333</v>
      </c>
      <c r="D1005" s="7">
        <f>IFERROR(IF(OR(PRECIOS!D1005="",PRECIOS!D1004=""),"",PRECIOS!D1005/PRECIOS!D1004-1),"")</f>
        <v>-0.02083527983</v>
      </c>
      <c r="E1005" s="7">
        <f>IFERROR(IF(OR(PRECIOS!E1005="",PRECIOS!E1004=""),"",PRECIOS!E1005/PRECIOS!E1004-1),"")</f>
        <v>-0.07357833455</v>
      </c>
      <c r="F1005" s="7">
        <f>IFERROR(IF(OR(PRECIOS!F1005="",PRECIOS!F1004=""),"",PRECIOS!F1005/PRECIOS!F1004-1),"")</f>
        <v>0.04838709677</v>
      </c>
      <c r="G1005" s="7">
        <f>IFERROR(IF(OR(PRECIOS!G1005="",PRECIOS!G1004=""),"",PRECIOS!G1005/PRECIOS!G1004-1),"")</f>
        <v>-0.02090939263</v>
      </c>
      <c r="H1005" s="7">
        <f>IFERROR(IF(OR(PRECIOS!H1005="",PRECIOS!H1004=""),"",PRECIOS!H1005/PRECIOS!H1004-1),"")</f>
        <v>0.001291063317</v>
      </c>
      <c r="I1005" s="7">
        <f>IFERROR(IF(OR(PRECIOS!I1005="",PRECIOS!I1004=""),"",PRECIOS!I1005/PRECIOS!I1004-1),"")</f>
        <v>-0.0106515199</v>
      </c>
    </row>
    <row r="1006" ht="15.75" customHeight="1">
      <c r="A1006" s="4">
        <f>IF(PRECIOS!A1006="","",PRECIOS!A1006)</f>
        <v>45875</v>
      </c>
      <c r="B1006" s="7">
        <f>IFERROR(IF(OR(PRECIOS!B1006="",PRECIOS!B1005=""),"",PRECIOS!B1006/PRECIOS!B1005-1),"")</f>
        <v>-0.006807161507</v>
      </c>
      <c r="C1006" s="7">
        <f>IFERROR(IF(OR(PRECIOS!C1006="",PRECIOS!C1005=""),"",PRECIOS!C1006/PRECIOS!C1005-1),"")</f>
        <v>0.00307235936</v>
      </c>
      <c r="D1006" s="7">
        <f>IFERROR(IF(OR(PRECIOS!D1006="",PRECIOS!D1005=""),"",PRECIOS!D1006/PRECIOS!D1005-1),"")</f>
        <v>-0.04174618321</v>
      </c>
      <c r="E1006" s="7">
        <f>IFERROR(IF(OR(PRECIOS!E1006="",PRECIOS!E1005=""),"",PRECIOS!E1006/PRECIOS!E1005-1),"")</f>
        <v>0.004797306775</v>
      </c>
      <c r="F1006" s="7">
        <f>IFERROR(IF(OR(PRECIOS!F1006="",PRECIOS!F1005=""),"",PRECIOS!F1006/PRECIOS!F1005-1),"")</f>
        <v>0.03133903134</v>
      </c>
      <c r="G1006" s="7">
        <f>IFERROR(IF(OR(PRECIOS!G1006="",PRECIOS!G1005=""),"",PRECIOS!G1006/PRECIOS!G1005-1),"")</f>
        <v>-0.006101694915</v>
      </c>
      <c r="H1006" s="7">
        <f>IFERROR(IF(OR(PRECIOS!H1006="",PRECIOS!H1005=""),"",PRECIOS!H1006/PRECIOS!H1005-1),"")</f>
        <v>-0.009239897134</v>
      </c>
      <c r="I1006" s="7">
        <f>IFERROR(IF(OR(PRECIOS!I1006="",PRECIOS!I1005=""),"",PRECIOS!I1006/PRECIOS!I1005-1),"")</f>
        <v>-0.008911170075</v>
      </c>
    </row>
    <row r="1007" ht="15.75" customHeight="1">
      <c r="A1007" s="4">
        <f>IF(PRECIOS!A1007="","",PRECIOS!A1007)</f>
        <v>45876</v>
      </c>
      <c r="B1007" s="7">
        <f>IFERROR(IF(OR(PRECIOS!B1007="",PRECIOS!B1006=""),"",PRECIOS!B1007/PRECIOS!B1006-1),"")</f>
        <v>-0.00525772228</v>
      </c>
      <c r="C1007" s="7">
        <f>IFERROR(IF(OR(PRECIOS!C1007="",PRECIOS!C1006=""),"",PRECIOS!C1007/PRECIOS!C1006-1),"")</f>
        <v>0.007076468103</v>
      </c>
      <c r="D1007" s="7">
        <f>IFERROR(IF(OR(PRECIOS!D1007="",PRECIOS!D1006=""),"",PRECIOS!D1007/PRECIOS!D1006-1),"")</f>
        <v>0.02359970127</v>
      </c>
      <c r="E1007" s="7">
        <f>IFERROR(IF(OR(PRECIOS!E1007="",PRECIOS!E1006=""),"",PRECIOS!E1007/PRECIOS!E1006-1),"")</f>
        <v>0.005584096493</v>
      </c>
      <c r="F1007" s="7">
        <f>IFERROR(IF(OR(PRECIOS!F1007="",PRECIOS!F1006=""),"",PRECIOS!F1007/PRECIOS!F1006-1),"")</f>
        <v>-0.01187845304</v>
      </c>
      <c r="G1007" s="7">
        <f>IFERROR(IF(OR(PRECIOS!G1007="",PRECIOS!G1006=""),"",PRECIOS!G1007/PRECIOS!G1006-1),"")</f>
        <v>-0.0127899045</v>
      </c>
      <c r="H1007" s="7">
        <f>IFERROR(IF(OR(PRECIOS!H1007="",PRECIOS!H1006=""),"",PRECIOS!H1007/PRECIOS!H1006-1),"")</f>
        <v>-0.003894666324</v>
      </c>
      <c r="I1007" s="7">
        <f>IFERROR(IF(OR(PRECIOS!I1007="",PRECIOS!I1006=""),"",PRECIOS!I1007/PRECIOS!I1006-1),"")</f>
        <v>0.01086062904</v>
      </c>
    </row>
    <row r="1008" ht="15.75" customHeight="1">
      <c r="A1008" s="4">
        <f>IF(PRECIOS!A1008="","",PRECIOS!A1008)</f>
        <v>45877</v>
      </c>
      <c r="B1008" s="7">
        <f>IFERROR(IF(OR(PRECIOS!B1008="",PRECIOS!B1007=""),"",PRECIOS!B1008/PRECIOS!B1007-1),"")</f>
        <v>0.008022652194</v>
      </c>
      <c r="C1008" s="7">
        <f>IFERROR(IF(OR(PRECIOS!C1008="",PRECIOS!C1007=""),"",PRECIOS!C1008/PRECIOS!C1007-1),"")</f>
        <v>-0.006921866807</v>
      </c>
      <c r="D1008" s="7">
        <f>IFERROR(IF(OR(PRECIOS!D1008="",PRECIOS!D1007=""),"",PRECIOS!D1008/PRECIOS!D1007-1),"")</f>
        <v>-0.01687825283</v>
      </c>
      <c r="E1008" s="7">
        <f>IFERROR(IF(OR(PRECIOS!E1008="",PRECIOS!E1007=""),"",PRECIOS!E1008/PRECIOS!E1007-1),"")</f>
        <v>0.007441137272</v>
      </c>
      <c r="F1008" s="7">
        <f>IFERROR(IF(OR(PRECIOS!F1008="",PRECIOS!F1007=""),"",PRECIOS!F1008/PRECIOS!F1007-1),"")</f>
        <v>-0.04137545429</v>
      </c>
      <c r="G1008" s="7">
        <f>IFERROR(IF(OR(PRECIOS!G1008="",PRECIOS!G1007=""),"",PRECIOS!G1008/PRECIOS!G1007-1),"")</f>
        <v>0</v>
      </c>
      <c r="H1008" s="7">
        <f>IFERROR(IF(OR(PRECIOS!H1008="",PRECIOS!H1007=""),"",PRECIOS!H1008/PRECIOS!H1007-1),"")</f>
        <v>0.006397570177</v>
      </c>
      <c r="I1008" s="7">
        <f>IFERROR(IF(OR(PRECIOS!I1008="",PRECIOS!I1007=""),"",PRECIOS!I1008/PRECIOS!I1007-1),"")</f>
        <v>-0.004275076818</v>
      </c>
    </row>
    <row r="1009" ht="15.75" customHeight="1">
      <c r="A1009" s="4">
        <f>IF(PRECIOS!A1009="","",PRECIOS!A1009)</f>
        <v>45880</v>
      </c>
      <c r="B1009" s="7">
        <f>IFERROR(IF(OR(PRECIOS!B1009="",PRECIOS!B1008=""),"",PRECIOS!B1009/PRECIOS!B1008-1),"")</f>
        <v>-0.009082397004</v>
      </c>
      <c r="C1009" s="7">
        <f>IFERROR(IF(OR(PRECIOS!C1009="",PRECIOS!C1008=""),"",PRECIOS!C1009/PRECIOS!C1008-1),"")</f>
        <v>-0.001267293273</v>
      </c>
      <c r="D1009" s="7">
        <f>IFERROR(IF(OR(PRECIOS!D1009="",PRECIOS!D1008=""),"",PRECIOS!D1009/PRECIOS!D1008-1),"")</f>
        <v>-0.01009301405</v>
      </c>
      <c r="E1009" s="7">
        <f>IFERROR(IF(OR(PRECIOS!E1009="",PRECIOS!E1008=""),"",PRECIOS!E1009/PRECIOS!E1008-1),"")</f>
        <v>-0.007523977511</v>
      </c>
      <c r="F1009" s="7">
        <f>IFERROR(IF(OR(PRECIOS!F1009="",PRECIOS!F1008=""),"",PRECIOS!F1009/PRECIOS!F1008-1),"")</f>
        <v>0.0002916302129</v>
      </c>
      <c r="G1009" s="7">
        <f>IFERROR(IF(OR(PRECIOS!G1009="",PRECIOS!G1008=""),"",PRECIOS!G1009/PRECIOS!G1008-1),"")</f>
        <v>0.002936603904</v>
      </c>
      <c r="H1009" s="7">
        <f>IFERROR(IF(OR(PRECIOS!H1009="",PRECIOS!H1008=""),"",PRECIOS!H1009/PRECIOS!H1008-1),"")</f>
        <v>-0.008007204808</v>
      </c>
      <c r="I1009" s="7">
        <f>IFERROR(IF(OR(PRECIOS!I1009="",PRECIOS!I1008=""),"",PRECIOS!I1009/PRECIOS!I1008-1),"")</f>
        <v>-0.00313298104</v>
      </c>
    </row>
    <row r="1010" ht="15.75" customHeight="1">
      <c r="A1010" s="4">
        <f>IF(PRECIOS!A1010="","",PRECIOS!A1010)</f>
        <v>45881</v>
      </c>
      <c r="B1010" s="7">
        <f>IFERROR(IF(OR(PRECIOS!B1010="",PRECIOS!B1009=""),"",PRECIOS!B1010/PRECIOS!B1009-1),"")</f>
        <v>0.002834734952</v>
      </c>
      <c r="C1010" s="7">
        <f>IFERROR(IF(OR(PRECIOS!C1010="",PRECIOS!C1009=""),"",PRECIOS!C1010/PRECIOS!C1009-1),"")</f>
        <v>-0.006450248493</v>
      </c>
      <c r="D1010" s="7">
        <f>IFERROR(IF(OR(PRECIOS!D1010="",PRECIOS!D1009=""),"",PRECIOS!D1010/PRECIOS!D1009-1),"")</f>
        <v>0.04738104758</v>
      </c>
      <c r="E1010" s="7">
        <f>IFERROR(IF(OR(PRECIOS!E1010="",PRECIOS!E1009=""),"",PRECIOS!E1010/PRECIOS!E1009-1),"")</f>
        <v>0.008858404376</v>
      </c>
      <c r="F1010" s="7">
        <f>IFERROR(IF(OR(PRECIOS!F1010="",PRECIOS!F1009=""),"",PRECIOS!F1010/PRECIOS!F1009-1),"")</f>
        <v>-0.01020408163</v>
      </c>
      <c r="G1010" s="7">
        <f>IFERROR(IF(OR(PRECIOS!G1010="",PRECIOS!G1009=""),"",PRECIOS!G1010/PRECIOS!G1009-1),"")</f>
        <v>-0.00516706855</v>
      </c>
      <c r="H1010" s="7">
        <f>IFERROR(IF(OR(PRECIOS!H1010="",PRECIOS!H1009=""),"",PRECIOS!H1010/PRECIOS!H1009-1),"")</f>
        <v>0.004867731</v>
      </c>
      <c r="I1010" s="7">
        <f>IFERROR(IF(OR(PRECIOS!I1010="",PRECIOS!I1009=""),"",PRECIOS!I1010/PRECIOS!I1009-1),"")</f>
        <v>0.004304563829</v>
      </c>
    </row>
    <row r="1011" ht="15.75" customHeight="1">
      <c r="A1011" s="4">
        <f>IF(PRECIOS!A1011="","",PRECIOS!A1011)</f>
        <v>45882</v>
      </c>
      <c r="B1011" s="7">
        <f>IFERROR(IF(OR(PRECIOS!B1011="",PRECIOS!B1010=""),"",PRECIOS!B1011/PRECIOS!B1010-1),"")</f>
        <v>0.01385093753</v>
      </c>
      <c r="C1011" s="7">
        <f>IFERROR(IF(OR(PRECIOS!C1011="",PRECIOS!C1010=""),"",PRECIOS!C1011/PRECIOS!C1010-1),"")</f>
        <v>0.00883354619</v>
      </c>
      <c r="D1011" s="7">
        <f>IFERROR(IF(OR(PRECIOS!D1011="",PRECIOS!D1010=""),"",PRECIOS!D1011/PRECIOS!D1010-1),"")</f>
        <v>-0.02042374499</v>
      </c>
      <c r="E1011" s="7">
        <f>IFERROR(IF(OR(PRECIOS!E1011="",PRECIOS!E1010=""),"",PRECIOS!E1011/PRECIOS!E1010-1),"")</f>
        <v>-0.01599229287</v>
      </c>
      <c r="F1011" s="7">
        <f>IFERROR(IF(OR(PRECIOS!F1011="",PRECIOS!F1010=""),"",PRECIOS!F1011/PRECIOS!F1010-1),"")</f>
        <v>-0.0058910162</v>
      </c>
      <c r="G1011" s="7">
        <f>IFERROR(IF(OR(PRECIOS!G1011="",PRECIOS!G1010=""),"",PRECIOS!G1011/PRECIOS!G1010-1),"")</f>
        <v>0.001731301939</v>
      </c>
      <c r="H1011" s="7">
        <f>IFERROR(IF(OR(PRECIOS!H1011="",PRECIOS!H1010=""),"",PRECIOS!H1011/PRECIOS!H1010-1),"")</f>
        <v>0.0115745413</v>
      </c>
      <c r="I1011" s="7">
        <f>IFERROR(IF(OR(PRECIOS!I1011="",PRECIOS!I1010=""),"",PRECIOS!I1011/PRECIOS!I1010-1),"")</f>
        <v>0.00220301086</v>
      </c>
    </row>
    <row r="1012" ht="15.75" customHeight="1">
      <c r="A1012" s="4">
        <f>IF(PRECIOS!A1012="","",PRECIOS!A1012)</f>
        <v>45883</v>
      </c>
      <c r="B1012" s="7">
        <f>IFERROR(IF(OR(PRECIOS!B1012="",PRECIOS!B1011=""),"",PRECIOS!B1012/PRECIOS!B1011-1),"")</f>
        <v>-0.002044609665</v>
      </c>
      <c r="C1012" s="7">
        <f>IFERROR(IF(OR(PRECIOS!C1012="",PRECIOS!C1011=""),"",PRECIOS!C1012/PRECIOS!C1011-1),"")</f>
        <v>-0.006329781623</v>
      </c>
      <c r="D1012" s="7">
        <f>IFERROR(IF(OR(PRECIOS!D1012="",PRECIOS!D1011=""),"",PRECIOS!D1012/PRECIOS!D1011-1),"")</f>
        <v>-0.01427318784</v>
      </c>
      <c r="E1012" s="7">
        <f>IFERROR(IF(OR(PRECIOS!E1012="",PRECIOS!E1011=""),"",PRECIOS!E1012/PRECIOS!E1011-1),"")</f>
        <v>-0.006685501692</v>
      </c>
      <c r="F1012" s="7">
        <f>IFERROR(IF(OR(PRECIOS!F1012="",PRECIOS!F1011=""),"",PRECIOS!F1012/PRECIOS!F1011-1),"")</f>
        <v>-0.03140740741</v>
      </c>
      <c r="G1012" s="7">
        <f>IFERROR(IF(OR(PRECIOS!G1012="",PRECIOS!G1011=""),"",PRECIOS!G1012/PRECIOS!G1011-1),"")</f>
        <v>-0.008987210508</v>
      </c>
      <c r="H1012" s="7">
        <f>IFERROR(IF(OR(PRECIOS!H1012="",PRECIOS!H1011=""),"",PRECIOS!H1012/PRECIOS!H1011-1),"")</f>
        <v>-0.0009335160776</v>
      </c>
      <c r="I1012" s="7">
        <f>IFERROR(IF(OR(PRECIOS!I1012="",PRECIOS!I1011=""),"",PRECIOS!I1012/PRECIOS!I1011-1),"")</f>
        <v>-0.006937015558</v>
      </c>
    </row>
    <row r="1013" ht="15.75" customHeight="1">
      <c r="A1013" s="4">
        <f>IF(PRECIOS!A1013="","",PRECIOS!A1013)</f>
        <v>45884</v>
      </c>
      <c r="B1013" s="7">
        <f>IFERROR(IF(OR(PRECIOS!B1013="",PRECIOS!B1012=""),"",PRECIOS!B1013/PRECIOS!B1012-1),"")</f>
        <v>-0.008288321848</v>
      </c>
      <c r="C1013" s="7">
        <f>IFERROR(IF(OR(PRECIOS!C1013="",PRECIOS!C1012=""),"",PRECIOS!C1013/PRECIOS!C1012-1),"")</f>
        <v>-0.001274020597</v>
      </c>
      <c r="D1013" s="7">
        <f>IFERROR(IF(OR(PRECIOS!D1013="",PRECIOS!D1012=""),"",PRECIOS!D1013/PRECIOS!D1012-1),"")</f>
        <v>-0.02480850012</v>
      </c>
      <c r="E1013" s="7">
        <f>IFERROR(IF(OR(PRECIOS!E1013="",PRECIOS!E1012=""),"",PRECIOS!E1013/PRECIOS!E1012-1),"")</f>
        <v>-0.01146156012</v>
      </c>
      <c r="F1013" s="7">
        <f>IFERROR(IF(OR(PRECIOS!F1013="",PRECIOS!F1012=""),"",PRECIOS!F1013/PRECIOS!F1012-1),"")</f>
        <v>0.008565310493</v>
      </c>
      <c r="G1013" s="7">
        <f>IFERROR(IF(OR(PRECIOS!G1013="",PRECIOS!G1012=""),"",PRECIOS!G1013/PRECIOS!G1012-1),"")</f>
        <v>0.002092779909</v>
      </c>
      <c r="H1013" s="7">
        <f>IFERROR(IF(OR(PRECIOS!H1013="",PRECIOS!H1012=""),"",PRECIOS!H1013/PRECIOS!H1012-1),"")</f>
        <v>0</v>
      </c>
      <c r="I1013" s="7">
        <f>IFERROR(IF(OR(PRECIOS!I1013="",PRECIOS!I1012=""),"",PRECIOS!I1013/PRECIOS!I1012-1),"")</f>
        <v>-0.002910417262</v>
      </c>
    </row>
    <row r="1014" ht="15.75" customHeight="1">
      <c r="A1014" s="4">
        <f>IF(PRECIOS!A1014="","",PRECIOS!A1014)</f>
        <v>45887</v>
      </c>
      <c r="B1014" s="7">
        <f>IFERROR(IF(OR(PRECIOS!B1014="",PRECIOS!B1013=""),"",PRECIOS!B1014/PRECIOS!B1013-1),"")</f>
        <v>0.002159827214</v>
      </c>
      <c r="C1014" s="7">
        <f>IFERROR(IF(OR(PRECIOS!C1014="",PRECIOS!C1013=""),"",PRECIOS!C1014/PRECIOS!C1013-1),"")</f>
        <v>-0.01296906559</v>
      </c>
      <c r="D1014" s="7">
        <f>IFERROR(IF(OR(PRECIOS!D1014="",PRECIOS!D1013=""),"",PRECIOS!D1014/PRECIOS!D1013-1),"")</f>
        <v>0.008260274667</v>
      </c>
      <c r="E1014" s="7">
        <f>IFERROR(IF(OR(PRECIOS!E1014="",PRECIOS!E1013=""),"",PRECIOS!E1014/PRECIOS!E1013-1),"")</f>
        <v>0.007036435632</v>
      </c>
      <c r="F1014" s="7">
        <f>IFERROR(IF(OR(PRECIOS!F1014="",PRECIOS!F1013=""),"",PRECIOS!F1014/PRECIOS!F1013-1),"")</f>
        <v>0.02335456476</v>
      </c>
      <c r="G1014" s="7">
        <f>IFERROR(IF(OR(PRECIOS!G1014="",PRECIOS!G1013=""),"",PRECIOS!G1014/PRECIOS!G1013-1),"")</f>
        <v>-0.0163592064</v>
      </c>
      <c r="H1014" s="7">
        <f>IFERROR(IF(OR(PRECIOS!H1014="",PRECIOS!H1013=""),"",PRECIOS!H1014/PRECIOS!H1013-1),"")</f>
        <v>-0.005960589259</v>
      </c>
      <c r="I1014" s="7">
        <f>IFERROR(IF(OR(PRECIOS!I1014="",PRECIOS!I1013=""),"",PRECIOS!I1014/PRECIOS!I1013-1),"")</f>
        <v>-0.004323876088</v>
      </c>
    </row>
    <row r="1015" ht="15.75" customHeight="1">
      <c r="A1015" s="4">
        <f>IF(PRECIOS!A1015="","",PRECIOS!A1015)</f>
        <v>45888</v>
      </c>
      <c r="B1015" s="7">
        <f>IFERROR(IF(OR(PRECIOS!B1015="",PRECIOS!B1014=""),"",PRECIOS!B1015/PRECIOS!B1014-1),"")</f>
        <v>0.00655922039</v>
      </c>
      <c r="C1015" s="7">
        <f>IFERROR(IF(OR(PRECIOS!C1015="",PRECIOS!C1014=""),"",PRECIOS!C1015/PRECIOS!C1014-1),"")</f>
        <v>0.01432417878</v>
      </c>
      <c r="D1015" s="7">
        <f>IFERROR(IF(OR(PRECIOS!D1015="",PRECIOS!D1014=""),"",PRECIOS!D1015/PRECIOS!D1014-1),"")</f>
        <v>-0.02734217933</v>
      </c>
      <c r="E1015" s="7">
        <f>IFERROR(IF(OR(PRECIOS!E1015="",PRECIOS!E1014=""),"",PRECIOS!E1015/PRECIOS!E1014-1),"")</f>
        <v>-0.01272984441</v>
      </c>
      <c r="F1015" s="7">
        <f>IFERROR(IF(OR(PRECIOS!F1015="",PRECIOS!F1014=""),"",PRECIOS!F1015/PRECIOS!F1014-1),"")</f>
        <v>-0.05245998814</v>
      </c>
      <c r="G1015" s="7">
        <f>IFERROR(IF(OR(PRECIOS!G1015="",PRECIOS!G1014=""),"",PRECIOS!G1015/PRECIOS!G1014-1),"")</f>
        <v>0.0008846426044</v>
      </c>
      <c r="H1015" s="7">
        <f>IFERROR(IF(OR(PRECIOS!H1015="",PRECIOS!H1014=""),"",PRECIOS!H1015/PRECIOS!H1014-1),"")</f>
        <v>0.0003539916142</v>
      </c>
      <c r="I1015" s="7">
        <f>IFERROR(IF(OR(PRECIOS!I1015="",PRECIOS!I1014=""),"",PRECIOS!I1015/PRECIOS!I1014-1),"")</f>
        <v>0.009737061273</v>
      </c>
    </row>
    <row r="1016" ht="15.75" customHeight="1">
      <c r="A1016" s="4">
        <f>IF(PRECIOS!A1016="","",PRECIOS!A1016)</f>
        <v>45889</v>
      </c>
      <c r="B1016" s="7">
        <f>IFERROR(IF(OR(PRECIOS!B1016="",PRECIOS!B1015=""),"",PRECIOS!B1016/PRECIOS!B1015-1),"")</f>
        <v>0.01033327127</v>
      </c>
      <c r="C1016" s="7">
        <f>IFERROR(IF(OR(PRECIOS!C1016="",PRECIOS!C1015=""),"",PRECIOS!C1016/PRECIOS!C1015-1),"")</f>
        <v>0.007963474198</v>
      </c>
      <c r="D1016" s="7">
        <f>IFERROR(IF(OR(PRECIOS!D1016="",PRECIOS!D1015=""),"",PRECIOS!D1016/PRECIOS!D1015-1),"")</f>
        <v>-0.003152128979</v>
      </c>
      <c r="E1016" s="7">
        <f>IFERROR(IF(OR(PRECIOS!E1016="",PRECIOS!E1015=""),"",PRECIOS!E1016/PRECIOS!E1015-1),"")</f>
        <v>-0.007965616046</v>
      </c>
      <c r="F1016" s="7">
        <f>IFERROR(IF(OR(PRECIOS!F1016="",PRECIOS!F1015=""),"",PRECIOS!F1016/PRECIOS!F1015-1),"")</f>
        <v>-0.01751642165</v>
      </c>
      <c r="G1016" s="7">
        <f>IFERROR(IF(OR(PRECIOS!G1016="",PRECIOS!G1015=""),"",PRECIOS!G1016/PRECIOS!G1015-1),"")</f>
        <v>0.01149018915</v>
      </c>
      <c r="H1016" s="7">
        <f>IFERROR(IF(OR(PRECIOS!H1016="",PRECIOS!H1015=""),"",PRECIOS!H1016/PRECIOS!H1015-1),"")</f>
        <v>0.008344551056</v>
      </c>
      <c r="I1016" s="7">
        <f>IFERROR(IF(OR(PRECIOS!I1016="",PRECIOS!I1015=""),"",PRECIOS!I1016/PRECIOS!I1015-1),"")</f>
        <v>0.001043969251</v>
      </c>
    </row>
    <row r="1017" ht="15.75" customHeight="1">
      <c r="A1017" s="4">
        <f>IF(PRECIOS!A1017="","",PRECIOS!A1017)</f>
        <v>45890</v>
      </c>
      <c r="B1017" s="7">
        <f>IFERROR(IF(OR(PRECIOS!B1017="",PRECIOS!B1016=""),"",PRECIOS!B1017/PRECIOS!B1016-1),"")</f>
        <v>0.00644982954</v>
      </c>
      <c r="C1017" s="7">
        <f>IFERROR(IF(OR(PRECIOS!C1017="",PRECIOS!C1016=""),"",PRECIOS!C1017/PRECIOS!C1016-1),"")</f>
        <v>-0.0032655641</v>
      </c>
      <c r="D1017" s="7">
        <f>IFERROR(IF(OR(PRECIOS!D1017="",PRECIOS!D1016=""),"",PRECIOS!D1017/PRECIOS!D1016-1),"")</f>
        <v>-0.0136333005</v>
      </c>
      <c r="E1017" s="7">
        <f>IFERROR(IF(OR(PRECIOS!E1017="",PRECIOS!E1016=""),"",PRECIOS!E1017/PRECIOS!E1016-1),"")</f>
        <v>-0.002426202992</v>
      </c>
      <c r="F1017" s="7">
        <f>IFERROR(IF(OR(PRECIOS!F1017="",PRECIOS!F1016=""),"",PRECIOS!F1017/PRECIOS!F1016-1),"")</f>
        <v>0.008277618593</v>
      </c>
      <c r="G1017" s="7">
        <f>IFERROR(IF(OR(PRECIOS!G1017="",PRECIOS!G1016=""),"",PRECIOS!G1017/PRECIOS!G1016-1),"")</f>
        <v>0.01013631597</v>
      </c>
      <c r="H1017" s="7">
        <f>IFERROR(IF(OR(PRECIOS!H1017="",PRECIOS!H1016=""),"",PRECIOS!H1017/PRECIOS!H1016-1),"")</f>
        <v>0.006876486447</v>
      </c>
      <c r="I1017" s="7">
        <f>IFERROR(IF(OR(PRECIOS!I1017="",PRECIOS!I1016=""),"",PRECIOS!I1017/PRECIOS!I1016-1),"")</f>
        <v>-0.006845816119</v>
      </c>
    </row>
    <row r="1018" ht="15.75" customHeight="1">
      <c r="A1018" s="4">
        <f>IF(PRECIOS!A1018="","",PRECIOS!A1018)</f>
        <v>45891</v>
      </c>
      <c r="B1018" s="7">
        <f>IFERROR(IF(OR(PRECIOS!B1018="",PRECIOS!B1017=""),"",PRECIOS!B1018/PRECIOS!B1017-1),"")</f>
        <v>0.0187677378</v>
      </c>
      <c r="C1018" s="7">
        <f>IFERROR(IF(OR(PRECIOS!C1018="",PRECIOS!C1017=""),"",PRECIOS!C1018/PRECIOS!C1017-1),"")</f>
        <v>-0.001479602621</v>
      </c>
      <c r="D1018" s="7">
        <f>IFERROR(IF(OR(PRECIOS!D1018="",PRECIOS!D1017=""),"",PRECIOS!D1018/PRECIOS!D1017-1),"")</f>
        <v>0.0009459743536</v>
      </c>
      <c r="E1018" s="7">
        <f>IFERROR(IF(OR(PRECIOS!E1018="",PRECIOS!E1017=""),"",PRECIOS!E1018/PRECIOS!E1017-1),"")</f>
        <v>0.006456656436</v>
      </c>
      <c r="F1018" s="7">
        <f>IFERROR(IF(OR(PRECIOS!F1018="",PRECIOS!F1017=""),"",PRECIOS!F1018/PRECIOS!F1017-1),"")</f>
        <v>0.002526049889</v>
      </c>
      <c r="G1018" s="7">
        <f>IFERROR(IF(OR(PRECIOS!G1018="",PRECIOS!G1017=""),"",PRECIOS!G1018/PRECIOS!G1017-1),"")</f>
        <v>-0.01262975779</v>
      </c>
      <c r="H1018" s="7">
        <f>IFERROR(IF(OR(PRECIOS!H1018="",PRECIOS!H1017=""),"",PRECIOS!H1018/PRECIOS!H1017-1),"")</f>
        <v>0.02037317457</v>
      </c>
      <c r="I1018" s="7">
        <f>IFERROR(IF(OR(PRECIOS!I1018="",PRECIOS!I1017=""),"",PRECIOS!I1018/PRECIOS!I1017-1),"")</f>
        <v>0.005373604155</v>
      </c>
    </row>
    <row r="1019" ht="15.75" customHeight="1">
      <c r="A1019" s="4">
        <f>IF(PRECIOS!A1019="","",PRECIOS!A1019)</f>
        <v>45894</v>
      </c>
      <c r="B1019" s="7">
        <f>IFERROR(IF(OR(PRECIOS!B1019="",PRECIOS!B1018=""),"",PRECIOS!B1019/PRECIOS!B1018-1),"")</f>
        <v>0.004133716751</v>
      </c>
      <c r="C1019" s="7">
        <f>IFERROR(IF(OR(PRECIOS!C1019="",PRECIOS!C1018=""),"",PRECIOS!C1019/PRECIOS!C1018-1),"")</f>
        <v>-0.01428873836</v>
      </c>
      <c r="D1019" s="7">
        <f>IFERROR(IF(OR(PRECIOS!D1019="",PRECIOS!D1018=""),"",PRECIOS!D1019/PRECIOS!D1018-1),"")</f>
        <v>-0.001995169589</v>
      </c>
      <c r="E1019" s="7">
        <f>IFERROR(IF(OR(PRECIOS!E1019="",PRECIOS!E1018=""),"",PRECIOS!E1019/PRECIOS!E1018-1),"")</f>
        <v>-0.005322056327</v>
      </c>
      <c r="F1019" s="7">
        <f>IFERROR(IF(OR(PRECIOS!F1019="",PRECIOS!F1018=""),"",PRECIOS!F1019/PRECIOS!F1018-1),"")</f>
        <v>-0.05196850394</v>
      </c>
      <c r="G1019" s="7">
        <f>IFERROR(IF(OR(PRECIOS!G1019="",PRECIOS!G1018=""),"",PRECIOS!G1019/PRECIOS!G1018-1),"")</f>
        <v>-0.004205361836</v>
      </c>
      <c r="H1019" s="7">
        <f>IFERROR(IF(OR(PRECIOS!H1019="",PRECIOS!H1018=""),"",PRECIOS!H1019/PRECIOS!H1018-1),"")</f>
        <v>0.002610333319</v>
      </c>
      <c r="I1019" s="7">
        <f>IFERROR(IF(OR(PRECIOS!I1019="",PRECIOS!I1018=""),"",PRECIOS!I1019/PRECIOS!I1018-1),"")</f>
        <v>-0.01127211513</v>
      </c>
    </row>
    <row r="1020" ht="15.75" customHeight="1">
      <c r="A1020" s="4">
        <f>IF(PRECIOS!A1020="","",PRECIOS!A1020)</f>
        <v>45895</v>
      </c>
      <c r="B1020" s="7">
        <f>IFERROR(IF(OR(PRECIOS!B1020="",PRECIOS!B1019=""),"",PRECIOS!B1020/PRECIOS!B1019-1),"")</f>
        <v>-0.002237336674</v>
      </c>
      <c r="C1020" s="7">
        <f>IFERROR(IF(OR(PRECIOS!C1020="",PRECIOS!C1019=""),"",PRECIOS!C1020/PRECIOS!C1019-1),"")</f>
        <v>-0.0004295071406</v>
      </c>
      <c r="D1020" s="7">
        <f>IFERROR(IF(OR(PRECIOS!D1020="",PRECIOS!D1019=""),"",PRECIOS!D1020/PRECIOS!D1019-1),"")</f>
        <v>0.02651515152</v>
      </c>
      <c r="E1020" s="7">
        <f>IFERROR(IF(OR(PRECIOS!E1020="",PRECIOS!E1019=""),"",PRECIOS!E1020/PRECIOS!E1019-1),"")</f>
        <v>0.01810504396</v>
      </c>
      <c r="F1020" s="7">
        <f>IFERROR(IF(OR(PRECIOS!F1020="",PRECIOS!F1019=""),"",PRECIOS!F1020/PRECIOS!F1019-1),"")</f>
        <v>0.02026578073</v>
      </c>
      <c r="G1020" s="7">
        <f>IFERROR(IF(OR(PRECIOS!G1020="",PRECIOS!G1019=""),"",PRECIOS!G1020/PRECIOS!G1019-1),"")</f>
        <v>0.005278901988</v>
      </c>
      <c r="H1020" s="7">
        <f>IFERROR(IF(OR(PRECIOS!H1020="",PRECIOS!H1019=""),"",PRECIOS!H1020/PRECIOS!H1019-1),"")</f>
        <v>-0.001583760926</v>
      </c>
      <c r="I1020" s="7">
        <f>IFERROR(IF(OR(PRECIOS!I1020="",PRECIOS!I1019=""),"",PRECIOS!I1020/PRECIOS!I1019-1),"")</f>
        <v>0.002231956563</v>
      </c>
    </row>
    <row r="1021" ht="15.75" customHeight="1">
      <c r="A1021" s="4">
        <f>IF(PRECIOS!A1021="","",PRECIOS!A1021)</f>
        <v>45896</v>
      </c>
      <c r="B1021" s="7">
        <f>IFERROR(IF(OR(PRECIOS!B1021="",PRECIOS!B1020=""),"",PRECIOS!B1021/PRECIOS!B1020-1),"")</f>
        <v>0.01130146201</v>
      </c>
      <c r="C1021" s="7">
        <f>IFERROR(IF(OR(PRECIOS!C1021="",PRECIOS!C1020=""),"",PRECIOS!C1021/PRECIOS!C1020-1),"")</f>
        <v>0.002041035557</v>
      </c>
      <c r="D1021" s="7">
        <f>IFERROR(IF(OR(PRECIOS!D1021="",PRECIOS!D1020=""),"",PRECIOS!D1021/PRECIOS!D1020-1),"")</f>
        <v>-0.00266502665</v>
      </c>
      <c r="E1021" s="7">
        <f>IFERROR(IF(OR(PRECIOS!E1021="",PRECIOS!E1020=""),"",PRECIOS!E1021/PRECIOS!E1020-1),"")</f>
        <v>-0.001761263565</v>
      </c>
      <c r="F1021" s="7">
        <f>IFERROR(IF(OR(PRECIOS!F1021="",PRECIOS!F1020=""),"",PRECIOS!F1021/PRECIOS!F1020-1),"")</f>
        <v>-0.01269944643</v>
      </c>
      <c r="G1021" s="7">
        <f>IFERROR(IF(OR(PRECIOS!G1021="",PRECIOS!G1020=""),"",PRECIOS!G1021/PRECIOS!G1020-1),"")</f>
        <v>0.006301417819</v>
      </c>
      <c r="H1021" s="7">
        <f>IFERROR(IF(OR(PRECIOS!H1021="",PRECIOS!H1020=""),"",PRECIOS!H1021/PRECIOS!H1020-1),"")</f>
        <v>0.01121919391</v>
      </c>
      <c r="I1021" s="7">
        <f>IFERROR(IF(OR(PRECIOS!I1021="",PRECIOS!I1020=""),"",PRECIOS!I1021/PRECIOS!I1020-1),"")</f>
        <v>0.000235546599</v>
      </c>
    </row>
    <row r="1022" ht="15.75" customHeight="1">
      <c r="A1022" s="4">
        <f>IF(PRECIOS!A1022="","",PRECIOS!A1022)</f>
        <v>45897</v>
      </c>
      <c r="B1022" s="7">
        <f>IFERROR(IF(OR(PRECIOS!B1022="",PRECIOS!B1021=""),"",PRECIOS!B1022/PRECIOS!B1021-1),"")</f>
        <v>0.005321507761</v>
      </c>
      <c r="C1022" s="7">
        <f>IFERROR(IF(OR(PRECIOS!C1022="",PRECIOS!C1021=""),"",PRECIOS!C1022/PRECIOS!C1021-1),"")</f>
        <v>-0.01114922813</v>
      </c>
      <c r="D1022" s="7">
        <f>IFERROR(IF(OR(PRECIOS!D1022="",PRECIOS!D1021=""),"",PRECIOS!D1022/PRECIOS!D1021-1),"")</f>
        <v>0.01079136691</v>
      </c>
      <c r="E1022" s="7">
        <f>IFERROR(IF(OR(PRECIOS!E1022="",PRECIOS!E1021=""),"",PRECIOS!E1022/PRECIOS!E1021-1),"")</f>
        <v>0.01121229368</v>
      </c>
      <c r="F1022" s="7">
        <f>IFERROR(IF(OR(PRECIOS!F1022="",PRECIOS!F1021=""),"",PRECIOS!F1022/PRECIOS!F1021-1),"")</f>
        <v>0.01715039578</v>
      </c>
      <c r="G1022" s="7">
        <f>IFERROR(IF(OR(PRECIOS!G1022="",PRECIOS!G1021=""),"",PRECIOS!G1022/PRECIOS!G1021-1),"")</f>
        <v>0.008871108019</v>
      </c>
      <c r="H1022" s="7">
        <f>IFERROR(IF(OR(PRECIOS!H1022="",PRECIOS!H1021=""),"",PRECIOS!H1022/PRECIOS!H1021-1),"")</f>
        <v>0.007624484994</v>
      </c>
      <c r="I1022" s="7">
        <f>IFERROR(IF(OR(PRECIOS!I1022="",PRECIOS!I1021=""),"",PRECIOS!I1022/PRECIOS!I1021-1),"")</f>
        <v>-0.007621349293</v>
      </c>
    </row>
    <row r="1023" ht="15.75" customHeight="1">
      <c r="A1023" s="4">
        <f>IF(PRECIOS!A1023="","",PRECIOS!A1023)</f>
        <v>45898</v>
      </c>
      <c r="B1023" s="7">
        <f>IFERROR(IF(OR(PRECIOS!B1023="",PRECIOS!B1022=""),"",PRECIOS!B1023/PRECIOS!B1022-1),"")</f>
        <v>0.008292898103</v>
      </c>
      <c r="C1023" s="7">
        <f>IFERROR(IF(OR(PRECIOS!C1023="",PRECIOS!C1022=""),"",PRECIOS!C1023/PRECIOS!C1022-1),"")</f>
        <v>0.0006504770165</v>
      </c>
      <c r="D1023" s="7">
        <f>IFERROR(IF(OR(PRECIOS!D1023="",PRECIOS!D1022=""),"",PRECIOS!D1023/PRECIOS!D1022-1),"")</f>
        <v>-0.03858668022</v>
      </c>
      <c r="E1023" s="7">
        <f>IFERROR(IF(OR(PRECIOS!E1023="",PRECIOS!E1022=""),"",PRECIOS!E1023/PRECIOS!E1022-1),"")</f>
        <v>-0.0174480779</v>
      </c>
      <c r="F1023" s="7">
        <f>IFERROR(IF(OR(PRECIOS!F1023="",PRECIOS!F1022=""),"",PRECIOS!F1023/PRECIOS!F1022-1),"")</f>
        <v>-0.01199740597</v>
      </c>
      <c r="G1023" s="7">
        <f>IFERROR(IF(OR(PRECIOS!G1023="",PRECIOS!G1022=""),"",PRECIOS!G1023/PRECIOS!G1022-1),"")</f>
        <v>-0.002068965517</v>
      </c>
      <c r="H1023" s="7">
        <f>IFERROR(IF(OR(PRECIOS!H1023="",PRECIOS!H1022=""),"",PRECIOS!H1023/PRECIOS!H1022-1),"")</f>
        <v>0.005448814408</v>
      </c>
      <c r="I1023" s="7">
        <f>IFERROR(IF(OR(PRECIOS!I1023="",PRECIOS!I1022=""),"",PRECIOS!I1023/PRECIOS!I1022-1),"")</f>
        <v>-0.003662564658</v>
      </c>
    </row>
    <row r="1024" ht="15.75" customHeight="1">
      <c r="A1024" s="4">
        <f>IF(PRECIOS!A1024="","",PRECIOS!A1024)</f>
        <v>45902</v>
      </c>
      <c r="B1024" s="7">
        <f>IFERROR(IF(OR(PRECIOS!B1024="",PRECIOS!B1023=""),"",PRECIOS!B1024/PRECIOS!B1023-1),"")</f>
        <v>0.003499868755</v>
      </c>
      <c r="C1024" s="7">
        <f>IFERROR(IF(OR(PRECIOS!C1024="",PRECIOS!C1023=""),"",PRECIOS!C1024/PRECIOS!C1023-1),"")</f>
        <v>-0.002275189599</v>
      </c>
      <c r="D1024" s="7">
        <f>IFERROR(IF(OR(PRECIOS!D1024="",PRECIOS!D1023=""),"",PRECIOS!D1024/PRECIOS!D1023-1),"")</f>
        <v>-0.01745016128</v>
      </c>
      <c r="E1024" s="7">
        <f>IFERROR(IF(OR(PRECIOS!E1024="",PRECIOS!E1023=""),"",PRECIOS!E1024/PRECIOS!E1023-1),"")</f>
        <v>-0.01543793321</v>
      </c>
      <c r="F1024" s="7">
        <f>IFERROR(IF(OR(PRECIOS!F1024="",PRECIOS!F1023=""),"",PRECIOS!F1024/PRECIOS!F1023-1),"")</f>
        <v>-0.002953724975</v>
      </c>
      <c r="G1024" s="7">
        <f>IFERROR(IF(OR(PRECIOS!G1024="",PRECIOS!G1023=""),"",PRECIOS!G1024/PRECIOS!G1023-1),"")</f>
        <v>-0.008638562543</v>
      </c>
      <c r="H1024" s="7">
        <f>IFERROR(IF(OR(PRECIOS!H1024="",PRECIOS!H1023=""),"",PRECIOS!H1024/PRECIOS!H1023-1),"")</f>
        <v>0.001440341721</v>
      </c>
      <c r="I1024" s="7">
        <f>IFERROR(IF(OR(PRECIOS!I1024="",PRECIOS!I1023=""),"",PRECIOS!I1024/PRECIOS!I1023-1),"")</f>
        <v>-0.003319973248</v>
      </c>
    </row>
    <row r="1025" ht="15.75" customHeight="1">
      <c r="A1025" s="4">
        <f>IF(PRECIOS!A1025="","",PRECIOS!A1025)</f>
        <v>45903</v>
      </c>
      <c r="B1025" s="7">
        <f>IFERROR(IF(OR(PRECIOS!B1025="",PRECIOS!B1024=""),"",PRECIOS!B1025/PRECIOS!B1024-1),"")</f>
        <v>-0.02423925364</v>
      </c>
      <c r="C1025" s="7">
        <f>IFERROR(IF(OR(PRECIOS!C1025="",PRECIOS!C1024=""),"",PRECIOS!C1025/PRECIOS!C1024-1),"")</f>
        <v>-0.004669345206</v>
      </c>
      <c r="D1025" s="7">
        <f>IFERROR(IF(OR(PRECIOS!D1025="",PRECIOS!D1024=""),"",PRECIOS!D1025/PRECIOS!D1024-1),"")</f>
        <v>0.01243205425</v>
      </c>
      <c r="E1025" s="7">
        <f>IFERROR(IF(OR(PRECIOS!E1025="",PRECIOS!E1024=""),"",PRECIOS!E1025/PRECIOS!E1024-1),"")</f>
        <v>-0.002210909091</v>
      </c>
      <c r="F1025" s="7">
        <f>IFERROR(IF(OR(PRECIOS!F1025="",PRECIOS!F1024=""),"",PRECIOS!F1025/PRECIOS!F1024-1),"")</f>
        <v>-0.02732060566</v>
      </c>
      <c r="G1025" s="7">
        <f>IFERROR(IF(OR(PRECIOS!G1025="",PRECIOS!G1024=""),"",PRECIOS!G1025/PRECIOS!G1024-1),"")</f>
        <v>0.006099686302</v>
      </c>
      <c r="H1025" s="7">
        <f>IFERROR(IF(OR(PRECIOS!H1025="",PRECIOS!H1024=""),"",PRECIOS!H1025/PRECIOS!H1024-1),"")</f>
        <v>-0.0224257774</v>
      </c>
      <c r="I1025" s="7">
        <f>IFERROR(IF(OR(PRECIOS!I1025="",PRECIOS!I1024=""),"",PRECIOS!I1025/PRECIOS!I1024-1),"")</f>
        <v>-0.002500687931</v>
      </c>
    </row>
    <row r="1026" ht="15.75" customHeight="1">
      <c r="A1026" s="4">
        <f>IF(PRECIOS!A1026="","",PRECIOS!A1026)</f>
        <v>45904</v>
      </c>
      <c r="B1026" s="7">
        <f>IFERROR(IF(OR(PRECIOS!B1026="",PRECIOS!B1025=""),"",PRECIOS!B1026/PRECIOS!B1025-1),"")</f>
        <v>0.004378518452</v>
      </c>
      <c r="C1026" s="7">
        <f>IFERROR(IF(OR(PRECIOS!C1026="",PRECIOS!C1025=""),"",PRECIOS!C1026/PRECIOS!C1025-1),"")</f>
        <v>0.002291075715</v>
      </c>
      <c r="D1026" s="7">
        <f>IFERROR(IF(OR(PRECIOS!D1026="",PRECIOS!D1025=""),"",PRECIOS!D1026/PRECIOS!D1025-1),"")</f>
        <v>0.008558367</v>
      </c>
      <c r="E1026" s="7">
        <f>IFERROR(IF(OR(PRECIOS!E1026="",PRECIOS!E1025=""),"",PRECIOS!E1026/PRECIOS!E1025-1),"")</f>
        <v>0.01524825797</v>
      </c>
      <c r="F1026" s="7">
        <f>IFERROR(IF(OR(PRECIOS!F1026="",PRECIOS!F1025=""),"",PRECIOS!F1026/PRECIOS!F1025-1),"")</f>
        <v>0.04297800338</v>
      </c>
      <c r="G1026" s="7">
        <f>IFERROR(IF(OR(PRECIOS!G1026="",PRECIOS!G1025=""),"",PRECIOS!G1026/PRECIOS!G1025-1),"")</f>
        <v>-0.002598302442</v>
      </c>
      <c r="H1026" s="7">
        <f>IFERROR(IF(OR(PRECIOS!H1026="",PRECIOS!H1025=""),"",PRECIOS!H1026/PRECIOS!H1025-1),"")</f>
        <v>0.006664367816</v>
      </c>
      <c r="I1026" s="7">
        <f>IFERROR(IF(OR(PRECIOS!I1026="",PRECIOS!I1025=""),"",PRECIOS!I1026/PRECIOS!I1025-1),"")</f>
        <v>-0.001190562613</v>
      </c>
    </row>
    <row r="1027" ht="15.75" customHeight="1">
      <c r="A1027" s="4">
        <f>IF(PRECIOS!A1027="","",PRECIOS!A1027)</f>
        <v>45905</v>
      </c>
      <c r="B1027" s="7">
        <f>IFERROR(IF(OR(PRECIOS!B1027="",PRECIOS!B1026=""),"",PRECIOS!B1027/PRECIOS!B1026-1),"")</f>
        <v>-0.02820284698</v>
      </c>
      <c r="C1027" s="7">
        <f>IFERROR(IF(OR(PRECIOS!C1027="",PRECIOS!C1026=""),"",PRECIOS!C1027/PRECIOS!C1026-1),"")</f>
        <v>-0.0009796451508</v>
      </c>
      <c r="D1027" s="7">
        <f>IFERROR(IF(OR(PRECIOS!D1027="",PRECIOS!D1026=""),"",PRECIOS!D1027/PRECIOS!D1026-1),"")</f>
        <v>-0.009118220629</v>
      </c>
      <c r="E1027" s="7">
        <f>IFERROR(IF(OR(PRECIOS!E1027="",PRECIOS!E1026=""),"",PRECIOS!E1027/PRECIOS!E1026-1),"")</f>
        <v>0.002326115674</v>
      </c>
      <c r="F1027" s="7">
        <f>IFERROR(IF(OR(PRECIOS!F1027="",PRECIOS!F1026=""),"",PRECIOS!F1027/PRECIOS!F1026-1),"")</f>
        <v>0.0003244646334</v>
      </c>
      <c r="G1027" s="7">
        <f>IFERROR(IF(OR(PRECIOS!G1027="",PRECIOS!G1026=""),"",PRECIOS!G1027/PRECIOS!G1026-1),"")</f>
        <v>-0.00659951372</v>
      </c>
      <c r="H1027" s="7">
        <f>IFERROR(IF(OR(PRECIOS!H1027="",PRECIOS!H1026=""),"",PRECIOS!H1027/PRECIOS!H1026-1),"")</f>
        <v>-0.01930582166</v>
      </c>
      <c r="I1027" s="7">
        <f>IFERROR(IF(OR(PRECIOS!I1027="",PRECIOS!I1026=""),"",PRECIOS!I1027/PRECIOS!I1026-1),"")</f>
        <v>-0.003108358893</v>
      </c>
    </row>
    <row r="1028" ht="15.75" customHeight="1">
      <c r="A1028" s="4">
        <f>IF(PRECIOS!A1028="","",PRECIOS!A1028)</f>
        <v>45908</v>
      </c>
      <c r="B1028" s="7">
        <f>IFERROR(IF(OR(PRECIOS!B1028="",PRECIOS!B1027=""),"",PRECIOS!B1028/PRECIOS!B1027-1),"")</f>
        <v>0.005676096311</v>
      </c>
      <c r="C1028" s="7">
        <f>IFERROR(IF(OR(PRECIOS!C1028="",PRECIOS!C1027=""),"",PRECIOS!C1028/PRECIOS!C1027-1),"")</f>
        <v>-0.01035083896</v>
      </c>
      <c r="D1028" s="7">
        <f>IFERROR(IF(OR(PRECIOS!D1028="",PRECIOS!D1027=""),"",PRECIOS!D1028/PRECIOS!D1027-1),"")</f>
        <v>0.00005319148936</v>
      </c>
      <c r="E1028" s="7">
        <f>IFERROR(IF(OR(PRECIOS!E1028="",PRECIOS!E1027=""),"",PRECIOS!E1028/PRECIOS!E1027-1),"")</f>
        <v>0.001317938286</v>
      </c>
      <c r="F1028" s="7">
        <f>IFERROR(IF(OR(PRECIOS!F1028="",PRECIOS!F1027=""),"",PRECIOS!F1028/PRECIOS!F1027-1),"")</f>
        <v>-0.1534219916</v>
      </c>
      <c r="G1028" s="7">
        <f>IFERROR(IF(OR(PRECIOS!G1028="",PRECIOS!G1027=""),"",PRECIOS!G1028/PRECIOS!G1027-1),"")</f>
        <v>-0.006118881119</v>
      </c>
      <c r="H1028" s="7">
        <f>IFERROR(IF(OR(PRECIOS!H1028="",PRECIOS!H1027=""),"",PRECIOS!H1028/PRECIOS!H1027-1),"")</f>
        <v>-0.002291329507</v>
      </c>
      <c r="I1028" s="7">
        <f>IFERROR(IF(OR(PRECIOS!I1028="",PRECIOS!I1027=""),"",PRECIOS!I1028/PRECIOS!I1027-1),"")</f>
        <v>-0.01018044839</v>
      </c>
    </row>
    <row r="1029" ht="15.75" customHeight="1">
      <c r="A1029" s="4">
        <f>IF(PRECIOS!A1029="","",PRECIOS!A1029)</f>
        <v>45909</v>
      </c>
      <c r="B1029" s="7">
        <f>IFERROR(IF(OR(PRECIOS!B1029="",PRECIOS!B1028=""),"",PRECIOS!B1029/PRECIOS!B1028-1),"")</f>
        <v>0.00728265817</v>
      </c>
      <c r="C1029" s="7">
        <f>IFERROR(IF(OR(PRECIOS!C1029="",PRECIOS!C1028=""),"",PRECIOS!C1029/PRECIOS!C1028-1),"")</f>
        <v>0.004183639767</v>
      </c>
      <c r="D1029" s="7">
        <f>IFERROR(IF(OR(PRECIOS!D1029="",PRECIOS!D1028=""),"",PRECIOS!D1029/PRECIOS!D1028-1),"")</f>
        <v>0.03068985692</v>
      </c>
      <c r="E1029" s="7">
        <f>IFERROR(IF(OR(PRECIOS!E1029="",PRECIOS!E1028=""),"",PRECIOS!E1029/PRECIOS!E1028-1),"")</f>
        <v>-0.003605253369</v>
      </c>
      <c r="F1029" s="7">
        <f>IFERROR(IF(OR(PRECIOS!F1029="",PRECIOS!F1028=""),"",PRECIOS!F1029/PRECIOS!F1028-1),"")</f>
        <v>0.02796934866</v>
      </c>
      <c r="G1029" s="7">
        <f>IFERROR(IF(OR(PRECIOS!G1029="",PRECIOS!G1028=""),"",PRECIOS!G1029/PRECIOS!G1028-1),"")</f>
        <v>0.01266490765</v>
      </c>
      <c r="H1029" s="7">
        <f>IFERROR(IF(OR(PRECIOS!H1029="",PRECIOS!H1028=""),"",PRECIOS!H1029/PRECIOS!H1028-1),"")</f>
        <v>0.004819575177</v>
      </c>
      <c r="I1029" s="7">
        <f>IFERROR(IF(OR(PRECIOS!I1029="",PRECIOS!I1028=""),"",PRECIOS!I1029/PRECIOS!I1028-1),"")</f>
        <v>0.006899328727</v>
      </c>
    </row>
    <row r="1030" ht="15.75" customHeight="1">
      <c r="A1030" s="4">
        <f>IF(PRECIOS!A1030="","",PRECIOS!A1030)</f>
        <v>45910</v>
      </c>
      <c r="B1030" s="7">
        <f>IFERROR(IF(OR(PRECIOS!B1030="",PRECIOS!B1029=""),"",PRECIOS!B1030/PRECIOS!B1029-1),"")</f>
        <v>0.01671938545</v>
      </c>
      <c r="C1030" s="7">
        <f>IFERROR(IF(OR(PRECIOS!C1030="",PRECIOS!C1029=""),"",PRECIOS!C1030/PRECIOS!C1029-1),"")</f>
        <v>0.003837298542</v>
      </c>
      <c r="D1030" s="7">
        <f>IFERROR(IF(OR(PRECIOS!D1030="",PRECIOS!D1029=""),"",PRECIOS!D1030/PRECIOS!D1029-1),"")</f>
        <v>0.07962638043</v>
      </c>
      <c r="E1030" s="7">
        <f>IFERROR(IF(OR(PRECIOS!E1030="",PRECIOS!E1029=""),"",PRECIOS!E1030/PRECIOS!E1029-1),"")</f>
        <v>0.04026074721</v>
      </c>
      <c r="F1030" s="7">
        <f>IFERROR(IF(OR(PRECIOS!F1030="",PRECIOS!F1029=""),"",PRECIOS!F1030/PRECIOS!F1029-1),"")</f>
        <v>0.0674617965</v>
      </c>
      <c r="G1030" s="7">
        <f>IFERROR(IF(OR(PRECIOS!G1030="",PRECIOS!G1029=""),"",PRECIOS!G1030/PRECIOS!G1029-1),"")</f>
        <v>0.0206704881</v>
      </c>
      <c r="H1030" s="7">
        <f>IFERROR(IF(OR(PRECIOS!H1030="",PRECIOS!H1029=""),"",PRECIOS!H1030/PRECIOS!H1029-1),"")</f>
        <v>0.01747165096</v>
      </c>
      <c r="I1030" s="7">
        <f>IFERROR(IF(OR(PRECIOS!I1030="",PRECIOS!I1029=""),"",PRECIOS!I1030/PRECIOS!I1029-1),"")</f>
        <v>0.01718865827</v>
      </c>
    </row>
    <row r="1031" ht="15.75" customHeight="1">
      <c r="A1031" s="4">
        <f>IF(PRECIOS!A1031="","",PRECIOS!A1031)</f>
        <v>45911</v>
      </c>
      <c r="B1031" s="7">
        <f>IFERROR(IF(OR(PRECIOS!B1031="",PRECIOS!B1030=""),"",PRECIOS!B1031/PRECIOS!B1030-1),"")</f>
        <v>-0.0032</v>
      </c>
      <c r="C1031" s="7">
        <f>IFERROR(IF(OR(PRECIOS!C1031="",PRECIOS!C1030=""),"",PRECIOS!C1031/PRECIOS!C1030-1),"")</f>
        <v>0.00622542595</v>
      </c>
      <c r="D1031" s="7">
        <f>IFERROR(IF(OR(PRECIOS!D1031="",PRECIOS!D1030=""),"",PRECIOS!D1031/PRECIOS!D1030-1),"")</f>
        <v>-0.02466421299</v>
      </c>
      <c r="E1031" s="7">
        <f>IFERROR(IF(OR(PRECIOS!E1031="",PRECIOS!E1030=""),"",PRECIOS!E1031/PRECIOS!E1030-1),"")</f>
        <v>-0.005990338164</v>
      </c>
      <c r="F1031" s="7">
        <f>IFERROR(IF(OR(PRECIOS!F1031="",PRECIOS!F1030=""),"",PRECIOS!F1031/PRECIOS!F1030-1),"")</f>
        <v>-0.01536312849</v>
      </c>
      <c r="G1031" s="7">
        <f>IFERROR(IF(OR(PRECIOS!G1031="",PRECIOS!G1030=""),"",PRECIOS!G1031/PRECIOS!G1030-1),"")</f>
        <v>0.009700476515</v>
      </c>
      <c r="H1031" s="7">
        <f>IFERROR(IF(OR(PRECIOS!H1031="",PRECIOS!H1030=""),"",PRECIOS!H1031/PRECIOS!H1030-1),"")</f>
        <v>0.0002214369202</v>
      </c>
      <c r="I1031" s="7">
        <f>IFERROR(IF(OR(PRECIOS!I1031="",PRECIOS!I1030=""),"",PRECIOS!I1031/PRECIOS!I1030-1),"")</f>
        <v>0.005317095974</v>
      </c>
    </row>
    <row r="1032" ht="15.75" customHeight="1">
      <c r="A1032" s="4">
        <f>IF(PRECIOS!A1032="","",PRECIOS!A1032)</f>
        <v>45912</v>
      </c>
      <c r="B1032" s="7">
        <f>IFERROR(IF(OR(PRECIOS!B1032="",PRECIOS!B1031=""),"",PRECIOS!B1032/PRECIOS!B1031-1),"")</f>
        <v>0.000178348493</v>
      </c>
      <c r="C1032" s="7">
        <f>IFERROR(IF(OR(PRECIOS!C1032="",PRECIOS!C1031=""),"",PRECIOS!C1032/PRECIOS!C1031-1),"")</f>
        <v>0.001519591881</v>
      </c>
      <c r="D1032" s="7">
        <f>IFERROR(IF(OR(PRECIOS!D1032="",PRECIOS!D1031=""),"",PRECIOS!D1032/PRECIOS!D1031-1),"")</f>
        <v>0.02768929184</v>
      </c>
      <c r="E1032" s="7">
        <f>IFERROR(IF(OR(PRECIOS!E1032="",PRECIOS!E1031=""),"",PRECIOS!E1032/PRECIOS!E1031-1),"")</f>
        <v>0.01616307487</v>
      </c>
      <c r="F1032" s="7">
        <f>IFERROR(IF(OR(PRECIOS!F1032="",PRECIOS!F1031=""),"",PRECIOS!F1032/PRECIOS!F1031-1),"")</f>
        <v>-0.03971631206</v>
      </c>
      <c r="G1032" s="7">
        <f>IFERROR(IF(OR(PRECIOS!G1032="",PRECIOS!G1031=""),"",PRECIOS!G1032/PRECIOS!G1031-1),"")</f>
        <v>-0.008764537334</v>
      </c>
      <c r="H1032" s="7">
        <f>IFERROR(IF(OR(PRECIOS!H1032="",PRECIOS!H1031=""),"",PRECIOS!H1032/PRECIOS!H1031-1),"")</f>
        <v>-0.005945520319</v>
      </c>
      <c r="I1032" s="7">
        <f>IFERROR(IF(OR(PRECIOS!I1032="",PRECIOS!I1031=""),"",PRECIOS!I1032/PRECIOS!I1031-1),"")</f>
        <v>0.005052901663</v>
      </c>
    </row>
    <row r="1033" ht="15.75" customHeight="1">
      <c r="A1033" s="4">
        <f>IF(PRECIOS!A1033="","",PRECIOS!A1033)</f>
        <v>45915</v>
      </c>
      <c r="B1033" s="7">
        <f>IFERROR(IF(OR(PRECIOS!B1033="",PRECIOS!B1032=""),"",PRECIOS!B1033/PRECIOS!B1032-1),"")</f>
        <v>0.001694008559</v>
      </c>
      <c r="C1033" s="7">
        <f>IFERROR(IF(OR(PRECIOS!C1033="",PRECIOS!C1032=""),"",PRECIOS!C1033/PRECIOS!C1032-1),"")</f>
        <v>0.0001083775875</v>
      </c>
      <c r="D1033" s="7">
        <f>IFERROR(IF(OR(PRECIOS!D1033="",PRECIOS!D1032=""),"",PRECIOS!D1033/PRECIOS!D1032-1),"")</f>
        <v>0.01821649976</v>
      </c>
      <c r="E1033" s="7">
        <f>IFERROR(IF(OR(PRECIOS!E1033="",PRECIOS!E1032=""),"",PRECIOS!E1033/PRECIOS!E1032-1),"")</f>
        <v>0.02634599617</v>
      </c>
      <c r="F1033" s="7">
        <f>IFERROR(IF(OR(PRECIOS!F1033="",PRECIOS!F1032=""),"",PRECIOS!F1033/PRECIOS!F1032-1),"")</f>
        <v>-0.01440177253</v>
      </c>
      <c r="G1033" s="7">
        <f>IFERROR(IF(OR(PRECIOS!G1033="",PRECIOS!G1032=""),"",PRECIOS!G1033/PRECIOS!G1032-1),"")</f>
        <v>-0.006971603469</v>
      </c>
      <c r="H1033" s="7">
        <f>IFERROR(IF(OR(PRECIOS!H1033="",PRECIOS!H1032=""),"",PRECIOS!H1033/PRECIOS!H1032-1),"")</f>
        <v>-0.003384304541</v>
      </c>
      <c r="I1033" s="7">
        <f>IFERROR(IF(OR(PRECIOS!I1033="",PRECIOS!I1032=""),"",PRECIOS!I1033/PRECIOS!I1032-1),"")</f>
        <v>0.002341737014</v>
      </c>
    </row>
    <row r="1034" ht="15.75" customHeight="1">
      <c r="A1034" s="4">
        <f>IF(PRECIOS!A1034="","",PRECIOS!A1034)</f>
        <v>45916</v>
      </c>
      <c r="B1034" s="7">
        <f>IFERROR(IF(OR(PRECIOS!B1034="",PRECIOS!B1033=""),"",PRECIOS!B1034/PRECIOS!B1033-1),"")</f>
        <v>0.02073876279</v>
      </c>
      <c r="C1034" s="7">
        <f>IFERROR(IF(OR(PRECIOS!C1034="",PRECIOS!C1033=""),"",PRECIOS!C1034/PRECIOS!C1033-1),"")</f>
        <v>-0.009969657564</v>
      </c>
      <c r="D1034" s="7">
        <f>IFERROR(IF(OR(PRECIOS!D1034="",PRECIOS!D1033=""),"",PRECIOS!D1034/PRECIOS!D1033-1),"")</f>
        <v>-0.01915511428</v>
      </c>
      <c r="E1034" s="7">
        <f>IFERROR(IF(OR(PRECIOS!E1034="",PRECIOS!E1033=""),"",PRECIOS!E1034/PRECIOS!E1033-1),"")</f>
        <v>-0.01158332002</v>
      </c>
      <c r="F1034" s="7">
        <f>IFERROR(IF(OR(PRECIOS!F1034="",PRECIOS!F1033=""),"",PRECIOS!F1034/PRECIOS!F1033-1),"")</f>
        <v>0.03821656051</v>
      </c>
      <c r="G1034" s="7">
        <f>IFERROR(IF(OR(PRECIOS!G1034="",PRECIOS!G1033=""),"",PRECIOS!G1034/PRECIOS!G1033-1),"")</f>
        <v>-0.007705479452</v>
      </c>
      <c r="H1034" s="7">
        <f>IFERROR(IF(OR(PRECIOS!H1034="",PRECIOS!H1033=""),"",PRECIOS!H1034/PRECIOS!H1033-1),"")</f>
        <v>0.01676012404</v>
      </c>
      <c r="I1034" s="7">
        <f>IFERROR(IF(OR(PRECIOS!I1034="",PRECIOS!I1033=""),"",PRECIOS!I1034/PRECIOS!I1033-1),"")</f>
        <v>-0.01820488604</v>
      </c>
    </row>
    <row r="1035" ht="15.75" customHeight="1">
      <c r="A1035" s="4">
        <f>IF(PRECIOS!A1035="","",PRECIOS!A1035)</f>
        <v>45917</v>
      </c>
      <c r="B1035" s="7">
        <f>IFERROR(IF(OR(PRECIOS!B1035="",PRECIOS!B1034=""),"",PRECIOS!B1035/PRECIOS!B1034-1),"")</f>
        <v>0.005319148936</v>
      </c>
      <c r="C1035" s="7">
        <f>IFERROR(IF(OR(PRECIOS!C1035="",PRECIOS!C1034=""),"",PRECIOS!C1035/PRECIOS!C1034-1),"")</f>
        <v>0.002955341506</v>
      </c>
      <c r="D1035" s="7">
        <f>IFERROR(IF(OR(PRECIOS!D1035="",PRECIOS!D1034=""),"",PRECIOS!D1035/PRECIOS!D1034-1),"")</f>
        <v>-0.005347848923</v>
      </c>
      <c r="E1035" s="7">
        <f>IFERROR(IF(OR(PRECIOS!E1035="",PRECIOS!E1034=""),"",PRECIOS!E1035/PRECIOS!E1034-1),"")</f>
        <v>-0.02112125865</v>
      </c>
      <c r="F1035" s="7">
        <f>IFERROR(IF(OR(PRECIOS!F1035="",PRECIOS!F1034=""),"",PRECIOS!F1035/PRECIOS!F1034-1),"")</f>
        <v>-0.01696138578</v>
      </c>
      <c r="G1035" s="7">
        <f>IFERROR(IF(OR(PRECIOS!G1035="",PRECIOS!G1034=""),"",PRECIOS!G1035/PRECIOS!G1034-1),"")</f>
        <v>0.01846419327</v>
      </c>
      <c r="H1035" s="7">
        <f>IFERROR(IF(OR(PRECIOS!H1035="",PRECIOS!H1034=""),"",PRECIOS!H1035/PRECIOS!H1034-1),"")</f>
        <v>0.00233832796</v>
      </c>
      <c r="I1035" s="7">
        <f>IFERROR(IF(OR(PRECIOS!I1035="",PRECIOS!I1034=""),"",PRECIOS!I1035/PRECIOS!I1034-1),"")</f>
        <v>0.002497721673</v>
      </c>
    </row>
    <row r="1036" ht="15.75" customHeight="1">
      <c r="A1036" s="4">
        <f>IF(PRECIOS!A1036="","",PRECIOS!A1036)</f>
        <v>45918</v>
      </c>
      <c r="B1036" s="7">
        <f>IFERROR(IF(OR(PRECIOS!B1036="",PRECIOS!B1035=""),"",PRECIOS!B1036/PRECIOS!B1035-1),"")</f>
        <v>-0.01179633967</v>
      </c>
      <c r="C1036" s="7">
        <f>IFERROR(IF(OR(PRECIOS!C1036="",PRECIOS!C1035=""),"",PRECIOS!C1036/PRECIOS!C1035-1),"")</f>
        <v>-0.001964422132</v>
      </c>
      <c r="D1036" s="7">
        <f>IFERROR(IF(OR(PRECIOS!D1036="",PRECIOS!D1035=""),"",PRECIOS!D1036/PRECIOS!D1035-1),"")</f>
        <v>0.008880994671</v>
      </c>
      <c r="E1036" s="7">
        <f>IFERROR(IF(OR(PRECIOS!E1036="",PRECIOS!E1035=""),"",PRECIOS!E1036/PRECIOS!E1035-1),"")</f>
        <v>0.02179716527</v>
      </c>
      <c r="F1036" s="7">
        <f>IFERROR(IF(OR(PRECIOS!F1036="",PRECIOS!F1035=""),"",PRECIOS!F1036/PRECIOS!F1035-1),"")</f>
        <v>-0.1038913363</v>
      </c>
      <c r="G1036" s="7">
        <f>IFERROR(IF(OR(PRECIOS!G1036="",PRECIOS!G1035=""),"",PRECIOS!G1036/PRECIOS!G1035-1),"")</f>
        <v>0.02304303626</v>
      </c>
      <c r="H1036" s="7">
        <f>IFERROR(IF(OR(PRECIOS!H1036="",PRECIOS!H1035=""),"",PRECIOS!H1036/PRECIOS!H1035-1),"")</f>
        <v>-0.00311049725</v>
      </c>
      <c r="I1036" s="7">
        <f>IFERROR(IF(OR(PRECIOS!I1036="",PRECIOS!I1035=""),"",PRECIOS!I1036/PRECIOS!I1035-1),"")</f>
        <v>0.0007118567436</v>
      </c>
    </row>
    <row r="1037" ht="15.75" customHeight="1">
      <c r="A1037" s="4">
        <f>IF(PRECIOS!A1037="","",PRECIOS!A1037)</f>
        <v>45919</v>
      </c>
      <c r="B1037" s="7">
        <f>IFERROR(IF(OR(PRECIOS!B1037="",PRECIOS!B1036=""),"",PRECIOS!B1037/PRECIOS!B1036-1),"")</f>
        <v>-0.009742824541</v>
      </c>
      <c r="C1037" s="7">
        <f>IFERROR(IF(OR(PRECIOS!C1037="",PRECIOS!C1036=""),"",PRECIOS!C1037/PRECIOS!C1036-1),"")</f>
        <v>0.003827227993</v>
      </c>
      <c r="D1037" s="7">
        <f>IFERROR(IF(OR(PRECIOS!D1037="",PRECIOS!D1036=""),"",PRECIOS!D1037/PRECIOS!D1036-1),"")</f>
        <v>0.005329272935</v>
      </c>
      <c r="E1037" s="7">
        <f>IFERROR(IF(OR(PRECIOS!E1037="",PRECIOS!E1036=""),"",PRECIOS!E1037/PRECIOS!E1036-1),"")</f>
        <v>0.008699868021</v>
      </c>
      <c r="F1037" s="7">
        <f>IFERROR(IF(OR(PRECIOS!F1037="",PRECIOS!F1036=""),"",PRECIOS!F1037/PRECIOS!F1036-1),"")</f>
        <v>-0.02212208111</v>
      </c>
      <c r="G1037" s="7">
        <f>IFERROR(IF(OR(PRECIOS!G1037="",PRECIOS!G1036=""),"",PRECIOS!G1037/PRECIOS!G1036-1),"")</f>
        <v>-0.004471679364</v>
      </c>
      <c r="H1037" s="7">
        <f>IFERROR(IF(OR(PRECIOS!H1037="",PRECIOS!H1036=""),"",PRECIOS!H1037/PRECIOS!H1036-1),"")</f>
        <v>-0.01326766395</v>
      </c>
      <c r="I1037" s="7">
        <f>IFERROR(IF(OR(PRECIOS!I1037="",PRECIOS!I1036=""),"",PRECIOS!I1037/PRECIOS!I1036-1),"")</f>
        <v>0.006397346855</v>
      </c>
    </row>
    <row r="1038" ht="15.75" customHeight="1">
      <c r="A1038" s="4">
        <f>IF(PRECIOS!A1038="","",PRECIOS!A1038)</f>
        <v>45922</v>
      </c>
      <c r="B1038" s="7">
        <f>IFERROR(IF(OR(PRECIOS!B1038="",PRECIOS!B1037=""),"",PRECIOS!B1038/PRECIOS!B1037-1),"")</f>
        <v>-0.007090941322</v>
      </c>
      <c r="C1038" s="7">
        <f>IFERROR(IF(OR(PRECIOS!C1038="",PRECIOS!C1037=""),"",PRECIOS!C1038/PRECIOS!C1037-1),"")</f>
        <v>0.005773420479</v>
      </c>
      <c r="D1038" s="7">
        <f>IFERROR(IF(OR(PRECIOS!D1038="",PRECIOS!D1037=""),"",PRECIOS!D1038/PRECIOS!D1037-1),"")</f>
        <v>0.03142748959</v>
      </c>
      <c r="E1038" s="7">
        <f>IFERROR(IF(OR(PRECIOS!E1038="",PRECIOS!E1037=""),"",PRECIOS!E1038/PRECIOS!E1037-1),"")</f>
        <v>0.01017356475</v>
      </c>
      <c r="F1038" s="7">
        <f>IFERROR(IF(OR(PRECIOS!F1038="",PRECIOS!F1037=""),"",PRECIOS!F1038/PRECIOS!F1037-1),"")</f>
        <v>0.1277754504</v>
      </c>
      <c r="G1038" s="7">
        <f>IFERROR(IF(OR(PRECIOS!G1038="",PRECIOS!G1037=""),"",PRECIOS!G1038/PRECIOS!G1037-1),"")</f>
        <v>0.0008318083514</v>
      </c>
      <c r="H1038" s="7">
        <f>IFERROR(IF(OR(PRECIOS!H1038="",PRECIOS!H1037=""),"",PRECIOS!H1038/PRECIOS!H1037-1),"")</f>
        <v>-0.001151337712</v>
      </c>
      <c r="I1038" s="7">
        <f>IFERROR(IF(OR(PRECIOS!I1038="",PRECIOS!I1037=""),"",PRECIOS!I1038/PRECIOS!I1037-1),"")</f>
        <v>0.00969023717</v>
      </c>
    </row>
    <row r="1039" ht="15.75" customHeight="1">
      <c r="A1039" s="4">
        <f>IF(PRECIOS!A1039="","",PRECIOS!A1039)</f>
        <v>45923</v>
      </c>
      <c r="B1039" s="7">
        <f>IFERROR(IF(OR(PRECIOS!B1039="",PRECIOS!B1038=""),"",PRECIOS!B1039/PRECIOS!B1038-1),"")</f>
        <v>0.01722906624</v>
      </c>
      <c r="C1039" s="7">
        <f>IFERROR(IF(OR(PRECIOS!C1039="",PRECIOS!C1038=""),"",PRECIOS!C1039/PRECIOS!C1038-1),"")</f>
        <v>0.01505469512</v>
      </c>
      <c r="D1039" s="7">
        <f>IFERROR(IF(OR(PRECIOS!D1039="",PRECIOS!D1038=""),"",PRECIOS!D1039/PRECIOS!D1038-1),"")</f>
        <v>-0.0627753304</v>
      </c>
      <c r="E1039" s="7">
        <f>IFERROR(IF(OR(PRECIOS!E1039="",PRECIOS!E1038=""),"",PRECIOS!E1039/PRECIOS!E1038-1),"")</f>
        <v>-0.025878248</v>
      </c>
      <c r="F1039" s="7">
        <f>IFERROR(IF(OR(PRECIOS!F1039="",PRECIOS!F1038=""),"",PRECIOS!F1039/PRECIOS!F1038-1),"")</f>
        <v>0.01968796434</v>
      </c>
      <c r="G1039" s="7">
        <f>IFERROR(IF(OR(PRECIOS!G1039="",PRECIOS!G1038=""),"",PRECIOS!G1039/PRECIOS!G1038-1),"")</f>
        <v>0.02044547872</v>
      </c>
      <c r="H1039" s="7">
        <f>IFERROR(IF(OR(PRECIOS!H1039="",PRECIOS!H1038=""),"",PRECIOS!H1039/PRECIOS!H1038-1),"")</f>
        <v>0.01722325116</v>
      </c>
      <c r="I1039" s="7">
        <f>IFERROR(IF(OR(PRECIOS!I1039="",PRECIOS!I1038=""),"",PRECIOS!I1039/PRECIOS!I1038-1),"")</f>
        <v>0.005165196415</v>
      </c>
    </row>
    <row r="1040" ht="15.75" customHeight="1">
      <c r="A1040" s="4">
        <f>IF(PRECIOS!A1040="","",PRECIOS!A1040)</f>
        <v>45924</v>
      </c>
      <c r="B1040" s="7">
        <f>IFERROR(IF(OR(PRECIOS!B1040="",PRECIOS!B1039=""),"",PRECIOS!B1040/PRECIOS!B1039-1),"")</f>
        <v>0.005353225099</v>
      </c>
      <c r="C1040" s="7">
        <f>IFERROR(IF(OR(PRECIOS!C1040="",PRECIOS!C1039=""),"",PRECIOS!C1040/PRECIOS!C1039-1),"")</f>
        <v>0.007362355954</v>
      </c>
      <c r="D1040" s="7">
        <f>IFERROR(IF(OR(PRECIOS!D1040="",PRECIOS!D1039=""),"",PRECIOS!D1040/PRECIOS!D1039-1),"")</f>
        <v>-0.0106737172</v>
      </c>
      <c r="E1040" s="7">
        <f>IFERROR(IF(OR(PRECIOS!E1040="",PRECIOS!E1039=""),"",PRECIOS!E1040/PRECIOS!E1039-1),"")</f>
        <v>0.01001302507</v>
      </c>
      <c r="F1040" s="7">
        <f>IFERROR(IF(OR(PRECIOS!F1040="",PRECIOS!F1039=""),"",PRECIOS!F1040/PRECIOS!F1039-1),"")</f>
        <v>0.0102003643</v>
      </c>
      <c r="G1040" s="7">
        <f>IFERROR(IF(OR(PRECIOS!G1040="",PRECIOS!G1039=""),"",PRECIOS!G1040/PRECIOS!G1039-1),"")</f>
        <v>0.02394526796</v>
      </c>
      <c r="H1040" s="7">
        <f>IFERROR(IF(OR(PRECIOS!H1040="",PRECIOS!H1039=""),"",PRECIOS!H1040/PRECIOS!H1039-1),"")</f>
        <v>0.01300745707</v>
      </c>
      <c r="I1040" s="7">
        <f>IFERROR(IF(OR(PRECIOS!I1040="",PRECIOS!I1039=""),"",PRECIOS!I1040/PRECIOS!I1039-1),"")</f>
        <v>0.00712211833</v>
      </c>
    </row>
    <row r="1041" ht="15.75" customHeight="1">
      <c r="A1041" s="4">
        <f>IF(PRECIOS!A1041="","",PRECIOS!A1041)</f>
        <v>45925</v>
      </c>
      <c r="B1041" s="7">
        <f>IFERROR(IF(OR(PRECIOS!B1041="",PRECIOS!B1040=""),"",PRECIOS!B1041/PRECIOS!B1040-1),"")</f>
        <v>0.008990921788</v>
      </c>
      <c r="C1041" s="7">
        <f>IFERROR(IF(OR(PRECIOS!C1041="",PRECIOS!C1040=""),"",PRECIOS!C1041/PRECIOS!C1040-1),"")</f>
        <v>-0.007626310772</v>
      </c>
      <c r="D1041" s="7">
        <f>IFERROR(IF(OR(PRECIOS!D1041="",PRECIOS!D1040=""),"",PRECIOS!D1041/PRECIOS!D1040-1),"")</f>
        <v>-0.002177571019</v>
      </c>
      <c r="E1041" s="7">
        <f>IFERROR(IF(OR(PRECIOS!E1041="",PRECIOS!E1040=""),"",PRECIOS!E1041/PRECIOS!E1040-1),"")</f>
        <v>-0.02006931571</v>
      </c>
      <c r="F1041" s="7">
        <f>IFERROR(IF(OR(PRECIOS!F1041="",PRECIOS!F1040=""),"",PRECIOS!F1041/PRECIOS!F1040-1),"")</f>
        <v>-0.03461954562</v>
      </c>
      <c r="G1041" s="7">
        <f>IFERROR(IF(OR(PRECIOS!G1041="",PRECIOS!G1040=""),"",PRECIOS!G1041/PRECIOS!G1040-1),"")</f>
        <v>0.007158765511</v>
      </c>
      <c r="H1041" s="7">
        <f>IFERROR(IF(OR(PRECIOS!H1041="",PRECIOS!H1040=""),"",PRECIOS!H1041/PRECIOS!H1040-1),"")</f>
        <v>0.008966647465</v>
      </c>
      <c r="I1041" s="7">
        <f>IFERROR(IF(OR(PRECIOS!I1041="",PRECIOS!I1040=""),"",PRECIOS!I1041/PRECIOS!I1040-1),"")</f>
        <v>-0.009622909955</v>
      </c>
    </row>
    <row r="1042" ht="15.75" customHeight="1">
      <c r="A1042" s="4">
        <f>IF(PRECIOS!A1042="","",PRECIOS!A1042)</f>
        <v>45926</v>
      </c>
      <c r="B1042" s="7">
        <f>IFERROR(IF(OR(PRECIOS!B1042="",PRECIOS!B1041=""),"",PRECIOS!B1042/PRECIOS!B1041-1),"")</f>
        <v>0.01410156588</v>
      </c>
      <c r="C1042" s="7">
        <f>IFERROR(IF(OR(PRECIOS!C1042="",PRECIOS!C1041=""),"",PRECIOS!C1042/PRECIOS!C1041-1),"")</f>
        <v>0.008965738072</v>
      </c>
      <c r="D1042" s="7">
        <f>IFERROR(IF(OR(PRECIOS!D1042="",PRECIOS!D1041=""),"",PRECIOS!D1042/PRECIOS!D1041-1),"")</f>
        <v>0.02777502232</v>
      </c>
      <c r="E1042" s="7">
        <f>IFERROR(IF(OR(PRECIOS!E1042="",PRECIOS!E1041=""),"",PRECIOS!E1042/PRECIOS!E1041-1),"")</f>
        <v>0.002303010364</v>
      </c>
      <c r="F1042" s="7">
        <f>IFERROR(IF(OR(PRECIOS!F1042="",PRECIOS!F1041=""),"",PRECIOS!F1042/PRECIOS!F1041-1),"")</f>
        <v>-0.02689577886</v>
      </c>
      <c r="G1042" s="7">
        <f>IFERROR(IF(OR(PRECIOS!G1042="",PRECIOS!G1041=""),"",PRECIOS!G1042/PRECIOS!G1041-1),"")</f>
        <v>0.0110567051</v>
      </c>
      <c r="H1042" s="7">
        <f>IFERROR(IF(OR(PRECIOS!H1042="",PRECIOS!H1041=""),"",PRECIOS!H1042/PRECIOS!H1041-1),"")</f>
        <v>0.009214468752</v>
      </c>
      <c r="I1042" s="7">
        <f>IFERROR(IF(OR(PRECIOS!I1042="",PRECIOS!I1041=""),"",PRECIOS!I1042/PRECIOS!I1041-1),"")</f>
        <v>0.01627186133</v>
      </c>
    </row>
    <row r="1043" ht="15.75" customHeight="1">
      <c r="A1043" s="4">
        <f>IF(PRECIOS!A1043="","",PRECIOS!A1043)</f>
        <v>45929</v>
      </c>
      <c r="B1043" s="7">
        <f>IFERROR(IF(OR(PRECIOS!B1043="",PRECIOS!B1042=""),"",PRECIOS!B1043/PRECIOS!B1042-1),"")</f>
        <v>-0.02559290224</v>
      </c>
      <c r="C1043" s="7">
        <f>IFERROR(IF(OR(PRECIOS!C1043="",PRECIOS!C1042=""),"",PRECIOS!C1043/PRECIOS!C1042-1),"")</f>
        <v>-0.006558764413</v>
      </c>
      <c r="D1043" s="7">
        <f>IFERROR(IF(OR(PRECIOS!D1043="",PRECIOS!D1042=""),"",PRECIOS!D1043/PRECIOS!D1042-1),"")</f>
        <v>-0.04478332207</v>
      </c>
      <c r="E1043" s="7">
        <f>IFERROR(IF(OR(PRECIOS!E1043="",PRECIOS!E1042=""),"",PRECIOS!E1043/PRECIOS!E1042-1),"")</f>
        <v>0.004294545653</v>
      </c>
      <c r="F1043" s="7">
        <f>IFERROR(IF(OR(PRECIOS!F1043="",PRECIOS!F1042=""),"",PRECIOS!F1043/PRECIOS!F1042-1),"")</f>
        <v>-0.02687140115</v>
      </c>
      <c r="G1043" s="7">
        <f>IFERROR(IF(OR(PRECIOS!G1043="",PRECIOS!G1042=""),"",PRECIOS!G1043/PRECIOS!G1042-1),"")</f>
        <v>-0.000624902359</v>
      </c>
      <c r="H1043" s="7">
        <f>IFERROR(IF(OR(PRECIOS!H1043="",PRECIOS!H1042=""),"",PRECIOS!H1043/PRECIOS!H1042-1),"")</f>
        <v>-0.0183703093</v>
      </c>
      <c r="I1043" s="7">
        <f>IFERROR(IF(OR(PRECIOS!I1043="",PRECIOS!I1042=""),"",PRECIOS!I1043/PRECIOS!I1042-1),"")</f>
        <v>0.002880553363</v>
      </c>
    </row>
    <row r="1044" ht="15.75" customHeight="1">
      <c r="A1044" s="4">
        <f>IF(PRECIOS!A1044="","",PRECIOS!A1044)</f>
        <v>45930</v>
      </c>
      <c r="B1044" s="7">
        <f>IFERROR(IF(OR(PRECIOS!B1044="",PRECIOS!B1043=""),"",PRECIOS!B1044/PRECIOS!B1043-1),"")</f>
        <v>-0.01286990019</v>
      </c>
      <c r="C1044" s="7">
        <f>IFERROR(IF(OR(PRECIOS!C1044="",PRECIOS!C1043=""),"",PRECIOS!C1044/PRECIOS!C1043-1),"")</f>
        <v>0.009157704185</v>
      </c>
      <c r="D1044" s="7">
        <f>IFERROR(IF(OR(PRECIOS!D1044="",PRECIOS!D1043=""),"",PRECIOS!D1044/PRECIOS!D1043-1),"")</f>
        <v>-0.01020511266</v>
      </c>
      <c r="E1044" s="7">
        <f>IFERROR(IF(OR(PRECIOS!E1044="",PRECIOS!E1043=""),"",PRECIOS!E1044/PRECIOS!E1043-1),"")</f>
        <v>0.01933814517</v>
      </c>
      <c r="F1044" s="7">
        <f>IFERROR(IF(OR(PRECIOS!F1044="",PRECIOS!F1043=""),"",PRECIOS!F1044/PRECIOS!F1043-1),"")</f>
        <v>-0.04181459566</v>
      </c>
      <c r="G1044" s="7">
        <f>IFERROR(IF(OR(PRECIOS!G1044="",PRECIOS!G1043=""),"",PRECIOS!G1044/PRECIOS!G1043-1),"")</f>
        <v>-0.009692043145</v>
      </c>
      <c r="H1044" s="7">
        <f>IFERROR(IF(OR(PRECIOS!H1044="",PRECIOS!H1043=""),"",PRECIOS!H1044/PRECIOS!H1043-1),"")</f>
        <v>-0.01063249971</v>
      </c>
      <c r="I1044" s="7">
        <f>IFERROR(IF(OR(PRECIOS!I1044="",PRECIOS!I1043=""),"",PRECIOS!I1044/PRECIOS!I1043-1),"")</f>
        <v>0.001721979072</v>
      </c>
    </row>
    <row r="1045" ht="15.75" customHeight="1">
      <c r="A1045" s="4">
        <f>IF(PRECIOS!A1045="","",PRECIOS!A1045)</f>
        <v>45931</v>
      </c>
      <c r="B1045" s="7">
        <f>IFERROR(IF(OR(PRECIOS!B1045="",PRECIOS!B1044=""),"",PRECIOS!B1045/PRECIOS!B1044-1),"")</f>
        <v>-0.006740576497</v>
      </c>
      <c r="C1045" s="7">
        <f>IFERROR(IF(OR(PRECIOS!C1045="",PRECIOS!C1044=""),"",PRECIOS!C1045/PRECIOS!C1044-1),"")</f>
        <v>0.0003165558721</v>
      </c>
      <c r="D1045" s="7">
        <f>IFERROR(IF(OR(PRECIOS!D1045="",PRECIOS!D1044=""),"",PRECIOS!D1045/PRECIOS!D1044-1),"")</f>
        <v>0.0285320539</v>
      </c>
      <c r="E1045" s="7">
        <f>IFERROR(IF(OR(PRECIOS!E1045="",PRECIOS!E1044=""),"",PRECIOS!E1045/PRECIOS!E1044-1),"")</f>
        <v>-0.001095524382</v>
      </c>
      <c r="F1045" s="7">
        <f>IFERROR(IF(OR(PRECIOS!F1045="",PRECIOS!F1044=""),"",PRECIOS!F1045/PRECIOS!F1044-1),"")</f>
        <v>-0.02964182791</v>
      </c>
      <c r="G1045" s="7">
        <f>IFERROR(IF(OR(PRECIOS!G1045="",PRECIOS!G1044=""),"",PRECIOS!G1045/PRECIOS!G1044-1),"")</f>
        <v>0.005367008682</v>
      </c>
      <c r="H1045" s="7">
        <f>IFERROR(IF(OR(PRECIOS!H1045="",PRECIOS!H1044=""),"",PRECIOS!H1045/PRECIOS!H1044-1),"")</f>
        <v>0</v>
      </c>
      <c r="I1045" s="7">
        <f>IFERROR(IF(OR(PRECIOS!I1045="",PRECIOS!I1044=""),"",PRECIOS!I1045/PRECIOS!I1044-1),"")</f>
        <v>0.009632513488</v>
      </c>
    </row>
    <row r="1046" ht="15.75" customHeight="1">
      <c r="A1046" s="4">
        <f>IF(PRECIOS!A1046="","",PRECIOS!A1046)</f>
        <v>45932</v>
      </c>
      <c r="B1046" s="7">
        <f>IFERROR(IF(OR(PRECIOS!B1046="",PRECIOS!B1045=""),"",PRECIOS!B1046/PRECIOS!B1045-1),"")</f>
        <v>-0.006250558086</v>
      </c>
      <c r="C1046" s="7">
        <f>IFERROR(IF(OR(PRECIOS!C1046="",PRECIOS!C1045=""),"",PRECIOS!C1046/PRECIOS!C1045-1),"")</f>
        <v>-0.009599156118</v>
      </c>
      <c r="D1046" s="7">
        <f>IFERROR(IF(OR(PRECIOS!D1046="",PRECIOS!D1045=""),"",PRECIOS!D1046/PRECIOS!D1045-1),"")</f>
        <v>0.00565728748</v>
      </c>
      <c r="E1046" s="7">
        <f>IFERROR(IF(OR(PRECIOS!E1046="",PRECIOS!E1045=""),"",PRECIOS!E1046/PRECIOS!E1045-1),"")</f>
        <v>0.007810828162</v>
      </c>
      <c r="F1046" s="7">
        <f>IFERROR(IF(OR(PRECIOS!F1046="",PRECIOS!F1045=""),"",PRECIOS!F1046/PRECIOS!F1045-1),"")</f>
        <v>0.0101824353</v>
      </c>
      <c r="G1046" s="7">
        <f>IFERROR(IF(OR(PRECIOS!G1046="",PRECIOS!G1045=""),"",PRECIOS!G1046/PRECIOS!G1045-1),"")</f>
        <v>0.005809389229</v>
      </c>
      <c r="H1046" s="7">
        <f>IFERROR(IF(OR(PRECIOS!H1046="",PRECIOS!H1045=""),"",PRECIOS!H1046/PRECIOS!H1045-1),"")</f>
        <v>-0.01007396303</v>
      </c>
      <c r="I1046" s="7">
        <f>IFERROR(IF(OR(PRECIOS!I1046="",PRECIOS!I1045=""),"",PRECIOS!I1046/PRECIOS!I1045-1),"")</f>
        <v>-0.001817041746</v>
      </c>
    </row>
    <row r="1047" ht="15.75" customHeight="1">
      <c r="A1047" s="4">
        <f>IF(PRECIOS!A1047="","",PRECIOS!A1047)</f>
        <v>45933</v>
      </c>
      <c r="B1047" s="7">
        <f>IFERROR(IF(OR(PRECIOS!B1047="",PRECIOS!B1046=""),"",PRECIOS!B1047/PRECIOS!B1046-1),"")</f>
        <v>0.01770150058</v>
      </c>
      <c r="C1047" s="7">
        <f>IFERROR(IF(OR(PRECIOS!C1047="",PRECIOS!C1046=""),"",PRECIOS!C1047/PRECIOS!C1046-1),"")</f>
        <v>0.006922994994</v>
      </c>
      <c r="D1047" s="7">
        <f>IFERROR(IF(OR(PRECIOS!D1047="",PRECIOS!D1046=""),"",PRECIOS!D1047/PRECIOS!D1046-1),"")</f>
        <v>-0.00325684678</v>
      </c>
      <c r="E1047" s="7">
        <f>IFERROR(IF(OR(PRECIOS!E1047="",PRECIOS!E1046=""),"",PRECIOS!E1047/PRECIOS!E1046-1),"")</f>
        <v>-0.008758891602</v>
      </c>
      <c r="F1047" s="7">
        <f>IFERROR(IF(OR(PRECIOS!F1047="",PRECIOS!F1046=""),"",PRECIOS!F1047/PRECIOS!F1046-1),"")</f>
        <v>0.01427971441</v>
      </c>
      <c r="G1047" s="7">
        <f>IFERROR(IF(OR(PRECIOS!G1047="",PRECIOS!G1046=""),"",PRECIOS!G1047/PRECIOS!G1046-1),"")</f>
        <v>0.006556353419</v>
      </c>
      <c r="H1047" s="7">
        <f>IFERROR(IF(OR(PRECIOS!H1047="",PRECIOS!H1046=""),"",PRECIOS!H1047/PRECIOS!H1046-1),"")</f>
        <v>0.005314029494</v>
      </c>
      <c r="I1047" s="7">
        <f>IFERROR(IF(OR(PRECIOS!I1047="",PRECIOS!I1046=""),"",PRECIOS!I1047/PRECIOS!I1046-1),"")</f>
        <v>0.01160530056</v>
      </c>
    </row>
    <row r="1048" ht="15.75" customHeight="1">
      <c r="A1048" s="4">
        <f>IF(PRECIOS!A1048="","",PRECIOS!A1048)</f>
        <v>45936</v>
      </c>
      <c r="B1048" s="7">
        <f>IFERROR(IF(OR(PRECIOS!B1048="",PRECIOS!B1047=""),"",PRECIOS!B1048/PRECIOS!B1047-1),"")</f>
        <v>0.008299487904</v>
      </c>
      <c r="C1048" s="7">
        <f>IFERROR(IF(OR(PRECIOS!C1048="",PRECIOS!C1047=""),"",PRECIOS!C1048/PRECIOS!C1047-1),"")</f>
        <v>0.01004865665</v>
      </c>
      <c r="D1048" s="7">
        <f>IFERROR(IF(OR(PRECIOS!D1048="",PRECIOS!D1047=""),"",PRECIOS!D1048/PRECIOS!D1047-1),"")</f>
        <v>-0.007822169414</v>
      </c>
      <c r="E1048" s="7">
        <f>IFERROR(IF(OR(PRECIOS!E1048="",PRECIOS!E1047=""),"",PRECIOS!E1048/PRECIOS!E1047-1),"")</f>
        <v>0.01756546886</v>
      </c>
      <c r="F1048" s="7">
        <f>IFERROR(IF(OR(PRECIOS!F1048="",PRECIOS!F1047=""),"",PRECIOS!F1048/PRECIOS!F1047-1),"")</f>
        <v>0.01946169772</v>
      </c>
      <c r="G1048" s="7">
        <f>IFERROR(IF(OR(PRECIOS!G1048="",PRECIOS!G1047=""),"",PRECIOS!G1048/PRECIOS!G1047-1),"")</f>
        <v>-0.01395781638</v>
      </c>
      <c r="H1048" s="7">
        <f>IFERROR(IF(OR(PRECIOS!H1048="",PRECIOS!H1047=""),"",PRECIOS!H1048/PRECIOS!H1047-1),"")</f>
        <v>0.004950180584</v>
      </c>
      <c r="I1048" s="7">
        <f>IFERROR(IF(OR(PRECIOS!I1048="",PRECIOS!I1047=""),"",PRECIOS!I1048/PRECIOS!I1047-1),"")</f>
        <v>0.009672696615</v>
      </c>
    </row>
    <row r="1049" ht="15.75" customHeight="1">
      <c r="A1049" s="4">
        <f>IF(PRECIOS!A1049="","",PRECIOS!A1049)</f>
        <v>45937</v>
      </c>
      <c r="B1049" s="7">
        <f>IFERROR(IF(OR(PRECIOS!B1049="",PRECIOS!B1048=""),"",PRECIOS!B1049/PRECIOS!B1048-1),"")</f>
        <v>0.0005253940455</v>
      </c>
      <c r="C1049" s="7">
        <f>IFERROR(IF(OR(PRECIOS!C1049="",PRECIOS!C1048=""),"",PRECIOS!C1049/PRECIOS!C1048-1),"")</f>
        <v>0.009739239711</v>
      </c>
      <c r="D1049" s="7">
        <f>IFERROR(IF(OR(PRECIOS!D1049="",PRECIOS!D1048=""),"",PRECIOS!D1049/PRECIOS!D1048-1),"")</f>
        <v>-0.003941919066</v>
      </c>
      <c r="E1049" s="7">
        <f>IFERROR(IF(OR(PRECIOS!E1049="",PRECIOS!E1048=""),"",PRECIOS!E1049/PRECIOS!E1048-1),"")</f>
        <v>-0.02389347929</v>
      </c>
      <c r="F1049" s="7">
        <f>IFERROR(IF(OR(PRECIOS!F1049="",PRECIOS!F1048=""),"",PRECIOS!F1049/PRECIOS!F1048-1),"")</f>
        <v>-0.02558895207</v>
      </c>
      <c r="G1049" s="7">
        <f>IFERROR(IF(OR(PRECIOS!G1049="",PRECIOS!G1048=""),"",PRECIOS!G1049/PRECIOS!G1048-1),"")</f>
        <v>0.006134004404</v>
      </c>
      <c r="H1049" s="7">
        <f>IFERROR(IF(OR(PRECIOS!H1049="",PRECIOS!H1048=""),"",PRECIOS!H1049/PRECIOS!H1048-1),"")</f>
        <v>0.001566683372</v>
      </c>
      <c r="I1049" s="7">
        <f>IFERROR(IF(OR(PRECIOS!I1049="",PRECIOS!I1048=""),"",PRECIOS!I1049/PRECIOS!I1048-1),"")</f>
        <v>0.004567798703</v>
      </c>
    </row>
    <row r="1050" ht="15.75" customHeight="1">
      <c r="A1050" s="4">
        <f>IF(PRECIOS!A1050="","",PRECIOS!A1050)</f>
        <v>45938</v>
      </c>
      <c r="B1050" s="7">
        <f>IFERROR(IF(OR(PRECIOS!B1050="",PRECIOS!B1049=""),"",PRECIOS!B1050/PRECIOS!B1049-1),"")</f>
        <v>-0.002100472606</v>
      </c>
      <c r="C1050" s="7">
        <f>IFERROR(IF(OR(PRECIOS!C1050="",PRECIOS!C1049=""),"",PRECIOS!C1050/PRECIOS!C1049-1),"")</f>
        <v>-0.002489110143</v>
      </c>
      <c r="D1050" s="7">
        <f>IFERROR(IF(OR(PRECIOS!D1050="",PRECIOS!D1049=""),"",PRECIOS!D1050/PRECIOS!D1049-1),"")</f>
        <v>0.03471596032</v>
      </c>
      <c r="E1050" s="7">
        <f>IFERROR(IF(OR(PRECIOS!E1050="",PRECIOS!E1049=""),"",PRECIOS!E1050/PRECIOS!E1049-1),"")</f>
        <v>0.01552811775</v>
      </c>
      <c r="F1050" s="7">
        <f>IFERROR(IF(OR(PRECIOS!F1050="",PRECIOS!F1049=""),"",PRECIOS!F1050/PRECIOS!F1049-1),"")</f>
        <v>0.01709045436</v>
      </c>
      <c r="G1050" s="7">
        <f>IFERROR(IF(OR(PRECIOS!G1050="",PRECIOS!G1049=""),"",PRECIOS!G1050/PRECIOS!G1049-1),"")</f>
        <v>-0.007347193997</v>
      </c>
      <c r="H1050" s="7">
        <f>IFERROR(IF(OR(PRECIOS!H1050="",PRECIOS!H1049=""),"",PRECIOS!H1050/PRECIOS!H1049-1),"")</f>
        <v>-0.005810651208</v>
      </c>
      <c r="I1050" s="7">
        <f>IFERROR(IF(OR(PRECIOS!I1050="",PRECIOS!I1049=""),"",PRECIOS!I1050/PRECIOS!I1049-1),"")</f>
        <v>0.006875286284</v>
      </c>
    </row>
    <row r="1051" ht="15.75" customHeight="1">
      <c r="A1051" s="4">
        <f>IF(PRECIOS!A1051="","",PRECIOS!A1051)</f>
        <v>45939</v>
      </c>
      <c r="B1051" s="7">
        <f>IFERROR(IF(OR(PRECIOS!B1051="",PRECIOS!B1050=""),"",PRECIOS!B1051/PRECIOS!B1050-1),"")</f>
        <v>-0.009735134187</v>
      </c>
      <c r="C1051" s="7">
        <f>IFERROR(IF(OR(PRECIOS!C1051="",PRECIOS!C1050=""),"",PRECIOS!C1051/PRECIOS!C1050-1),"")</f>
        <v>-0.0005198585985</v>
      </c>
      <c r="D1051" s="7">
        <f>IFERROR(IF(OR(PRECIOS!D1051="",PRECIOS!D1050=""),"",PRECIOS!D1051/PRECIOS!D1050-1),"")</f>
        <v>0.01670297749</v>
      </c>
      <c r="E1051" s="7">
        <f>IFERROR(IF(OR(PRECIOS!E1051="",PRECIOS!E1050=""),"",PRECIOS!E1051/PRECIOS!E1050-1),"")</f>
        <v>0.001300769843</v>
      </c>
      <c r="F1051" s="7">
        <f>IFERROR(IF(OR(PRECIOS!F1051="",PRECIOS!F1050=""),"",PRECIOS!F1051/PRECIOS!F1050-1),"")</f>
        <v>0.08975409836</v>
      </c>
      <c r="G1051" s="7">
        <f>IFERROR(IF(OR(PRECIOS!G1051="",PRECIOS!G1050=""),"",PRECIOS!G1051/PRECIOS!G1050-1),"")</f>
        <v>-0.006299212598</v>
      </c>
      <c r="H1051" s="7">
        <f>IFERROR(IF(OR(PRECIOS!H1051="",PRECIOS!H1050=""),"",PRECIOS!H1051/PRECIOS!H1050-1),"")</f>
        <v>-0.01360039901</v>
      </c>
      <c r="I1051" s="7">
        <f>IFERROR(IF(OR(PRECIOS!I1051="",PRECIOS!I1050=""),"",PRECIOS!I1051/PRECIOS!I1050-1),"")</f>
        <v>-0.002534274847</v>
      </c>
    </row>
    <row r="1052" ht="15.75" customHeight="1">
      <c r="A1052" s="4">
        <f>IF(PRECIOS!A1052="","",PRECIOS!A1052)</f>
        <v>45940</v>
      </c>
      <c r="B1052" s="7">
        <f>IFERROR(IF(OR(PRECIOS!B1052="",PRECIOS!B1051=""),"",PRECIOS!B1052/PRECIOS!B1051-1),"")</f>
        <v>-0.01930741298</v>
      </c>
      <c r="C1052" s="7">
        <f>IFERROR(IF(OR(PRECIOS!C1052="",PRECIOS!C1051=""),"",PRECIOS!C1052/PRECIOS!C1051-1),"")</f>
        <v>0.02246957245</v>
      </c>
      <c r="D1052" s="7">
        <f>IFERROR(IF(OR(PRECIOS!D1052="",PRECIOS!D1051=""),"",PRECIOS!D1052/PRECIOS!D1051-1),"")</f>
        <v>-0.06257142857</v>
      </c>
      <c r="E1052" s="7">
        <f>IFERROR(IF(OR(PRECIOS!E1052="",PRECIOS!E1051=""),"",PRECIOS!E1052/PRECIOS!E1051-1),"")</f>
        <v>-0.02150110024</v>
      </c>
      <c r="F1052" s="7">
        <f>IFERROR(IF(OR(PRECIOS!F1052="",PRECIOS!F1051=""),"",PRECIOS!F1052/PRECIOS!F1051-1),"")</f>
        <v>-0.00639338097</v>
      </c>
      <c r="G1052" s="7">
        <f>IFERROR(IF(OR(PRECIOS!G1052="",PRECIOS!G1051=""),"",PRECIOS!G1052/PRECIOS!G1051-1),"")</f>
        <v>-0.007765451664</v>
      </c>
      <c r="H1052" s="7">
        <f>IFERROR(IF(OR(PRECIOS!H1052="",PRECIOS!H1051=""),"",PRECIOS!H1052/PRECIOS!H1051-1),"")</f>
        <v>-0.02894337047</v>
      </c>
      <c r="I1052" s="7">
        <f>IFERROR(IF(OR(PRECIOS!I1052="",PRECIOS!I1051=""),"",PRECIOS!I1052/PRECIOS!I1051-1),"")</f>
        <v>-0.004084720121</v>
      </c>
    </row>
    <row r="1053" ht="15.75" customHeight="1">
      <c r="A1053" s="4">
        <f>IF(PRECIOS!A1053="","",PRECIOS!A1053)</f>
        <v>45943</v>
      </c>
      <c r="B1053" s="7">
        <f>IFERROR(IF(OR(PRECIOS!B1053="",PRECIOS!B1052=""),"",PRECIOS!B1053/PRECIOS!B1052-1),"")</f>
        <v>0.01363677414</v>
      </c>
      <c r="C1053" s="7">
        <f>IFERROR(IF(OR(PRECIOS!C1053="",PRECIOS!C1052=""),"",PRECIOS!C1053/PRECIOS!C1052-1),"")</f>
        <v>-0.002136534744</v>
      </c>
      <c r="D1053" s="7">
        <f>IFERROR(IF(OR(PRECIOS!D1053="",PRECIOS!D1052=""),"",PRECIOS!D1053/PRECIOS!D1052-1),"")</f>
        <v>0.06446205425</v>
      </c>
      <c r="E1053" s="7">
        <f>IFERROR(IF(OR(PRECIOS!E1053="",PRECIOS!E1052=""),"",PRECIOS!E1053/PRECIOS!E1052-1),"")</f>
        <v>0.01704237564</v>
      </c>
      <c r="F1053" s="7">
        <f>IFERROR(IF(OR(PRECIOS!F1053="",PRECIOS!F1052=""),"",PRECIOS!F1053/PRECIOS!F1052-1),"")</f>
        <v>0.04655563967</v>
      </c>
      <c r="G1053" s="7">
        <f>IFERROR(IF(OR(PRECIOS!G1053="",PRECIOS!G1052=""),"",PRECIOS!G1053/PRECIOS!G1052-1),"")</f>
        <v>0.001118032263</v>
      </c>
      <c r="H1053" s="7">
        <f>IFERROR(IF(OR(PRECIOS!H1053="",PRECIOS!H1052=""),"",PRECIOS!H1053/PRECIOS!H1052-1),"")</f>
        <v>0.01361189875</v>
      </c>
      <c r="I1053" s="7">
        <f>IFERROR(IF(OR(PRECIOS!I1053="",PRECIOS!I1052=""),"",PRECIOS!I1053/PRECIOS!I1052-1),"")</f>
        <v>0.007648935315</v>
      </c>
    </row>
    <row r="1054" ht="15.75" customHeight="1">
      <c r="A1054" s="4">
        <f>IF(PRECIOS!A1054="","",PRECIOS!A1054)</f>
        <v>45944</v>
      </c>
      <c r="B1054" s="7">
        <f>IFERROR(IF(OR(PRECIOS!B1054="",PRECIOS!B1053=""),"",PRECIOS!B1054/PRECIOS!B1053-1),"")</f>
        <v>0.0004454739843</v>
      </c>
      <c r="C1054" s="7">
        <f>IFERROR(IF(OR(PRECIOS!C1054="",PRECIOS!C1053=""),"",PRECIOS!C1054/PRECIOS!C1053-1),"")</f>
        <v>0.0163132137</v>
      </c>
      <c r="D1054" s="7">
        <f>IFERROR(IF(OR(PRECIOS!D1054="",PRECIOS!D1053=""),"",PRECIOS!D1054/PRECIOS!D1053-1),"")</f>
        <v>-0.01927940826</v>
      </c>
      <c r="E1054" s="7">
        <f>IFERROR(IF(OR(PRECIOS!E1054="",PRECIOS!E1053=""),"",PRECIOS!E1054/PRECIOS!E1053-1),"")</f>
        <v>-0.002717318912</v>
      </c>
      <c r="F1054" s="7">
        <f>IFERROR(IF(OR(PRECIOS!F1054="",PRECIOS!F1053=""),"",PRECIOS!F1054/PRECIOS!F1053-1),"")</f>
        <v>-0.05786618445</v>
      </c>
      <c r="G1054" s="7">
        <f>IFERROR(IF(OR(PRECIOS!G1054="",PRECIOS!G1053=""),"",PRECIOS!G1054/PRECIOS!G1053-1),"")</f>
        <v>-0.005105296745</v>
      </c>
      <c r="H1054" s="7">
        <f>IFERROR(IF(OR(PRECIOS!H1054="",PRECIOS!H1053=""),"",PRECIOS!H1054/PRECIOS!H1053-1),"")</f>
        <v>-0.0001144194149</v>
      </c>
      <c r="I1054" s="7">
        <f>IFERROR(IF(OR(PRECIOS!I1054="",PRECIOS!I1053=""),"",PRECIOS!I1054/PRECIOS!I1053-1),"")</f>
        <v>0.008912181755</v>
      </c>
    </row>
    <row r="1055" ht="15.75" customHeight="1">
      <c r="A1055" s="4">
        <f>IF(PRECIOS!A1055="","",PRECIOS!A1055)</f>
        <v>45945</v>
      </c>
      <c r="B1055" s="7">
        <f>IFERROR(IF(OR(PRECIOS!B1055="",PRECIOS!B1054=""),"",PRECIOS!B1055/PRECIOS!B1054-1),"")</f>
        <v>-0.006055748508</v>
      </c>
      <c r="C1055" s="7">
        <f>IFERROR(IF(OR(PRECIOS!C1055="",PRECIOS!C1054=""),"",PRECIOS!C1055/PRECIOS!C1054-1),"")</f>
        <v>0.0004012841091</v>
      </c>
      <c r="D1055" s="7">
        <f>IFERROR(IF(OR(PRECIOS!D1055="",PRECIOS!D1054=""),"",PRECIOS!D1055/PRECIOS!D1054-1),"")</f>
        <v>0.02598413702</v>
      </c>
      <c r="E1055" s="7">
        <f>IFERROR(IF(OR(PRECIOS!E1055="",PRECIOS!E1054=""),"",PRECIOS!E1055/PRECIOS!E1054-1),"")</f>
        <v>0.01968745826</v>
      </c>
      <c r="F1055" s="7">
        <f>IFERROR(IF(OR(PRECIOS!F1055="",PRECIOS!F1054=""),"",PRECIOS!F1055/PRECIOS!F1054-1),"")</f>
        <v>0.01842610365</v>
      </c>
      <c r="G1055" s="7">
        <f>IFERROR(IF(OR(PRECIOS!G1055="",PRECIOS!G1054=""),"",PRECIOS!G1055/PRECIOS!G1054-1),"")</f>
        <v>0.02277100706</v>
      </c>
      <c r="H1055" s="7">
        <f>IFERROR(IF(OR(PRECIOS!H1055="",PRECIOS!H1054=""),"",PRECIOS!H1055/PRECIOS!H1054-1),"")</f>
        <v>-0.0005791686128</v>
      </c>
      <c r="I1055" s="7">
        <f>IFERROR(IF(OR(PRECIOS!I1055="",PRECIOS!I1054=""),"",PRECIOS!I1055/PRECIOS!I1054-1),"")</f>
        <v>0.01308757867</v>
      </c>
    </row>
    <row r="1056" ht="15.75" customHeight="1">
      <c r="A1056" s="4">
        <f>IF(PRECIOS!A1056="","",PRECIOS!A1056)</f>
        <v>45946</v>
      </c>
      <c r="B1056" s="7">
        <f>IFERROR(IF(OR(PRECIOS!B1056="",PRECIOS!B1055=""),"",PRECIOS!B1056/PRECIOS!B1055-1),"")</f>
        <v>-0.008690977511</v>
      </c>
      <c r="C1056" s="7">
        <f>IFERROR(IF(OR(PRECIOS!C1056="",PRECIOS!C1055=""),"",PRECIOS!C1056/PRECIOS!C1055-1),"")</f>
        <v>-0.01293622142</v>
      </c>
      <c r="D1056" s="7">
        <f>IFERROR(IF(OR(PRECIOS!D1056="",PRECIOS!D1055=""),"",PRECIOS!D1056/PRECIOS!D1055-1),"")</f>
        <v>-0.002134218639</v>
      </c>
      <c r="E1056" s="7">
        <f>IFERROR(IF(OR(PRECIOS!E1056="",PRECIOS!E1055=""),"",PRECIOS!E1056/PRECIOS!E1055-1),"")</f>
        <v>-0.01605889133</v>
      </c>
      <c r="F1056" s="7">
        <f>IFERROR(IF(OR(PRECIOS!F1056="",PRECIOS!F1055=""),"",PRECIOS!F1056/PRECIOS!F1055-1),"")</f>
        <v>-0.00565397663</v>
      </c>
      <c r="G1056" s="7">
        <f>IFERROR(IF(OR(PRECIOS!G1056="",PRECIOS!G1055=""),"",PRECIOS!G1056/PRECIOS!G1055-1),"")</f>
        <v>-0.01959862026</v>
      </c>
      <c r="H1056" s="7">
        <f>IFERROR(IF(OR(PRECIOS!H1056="",PRECIOS!H1055=""),"",PRECIOS!H1056/PRECIOS!H1055-1),"")</f>
        <v>-0.01204808016</v>
      </c>
      <c r="I1056" s="7">
        <f>IFERROR(IF(OR(PRECIOS!I1056="",PRECIOS!I1055=""),"",PRECIOS!I1056/PRECIOS!I1055-1),"")</f>
        <v>-0.01087314877</v>
      </c>
    </row>
    <row r="1057" ht="15.75" customHeight="1">
      <c r="A1057" s="4">
        <f>IF(PRECIOS!A1057="","",PRECIOS!A1057)</f>
        <v>45947</v>
      </c>
      <c r="B1057" s="7">
        <f>IFERROR(IF(OR(PRECIOS!B1057="",PRECIOS!B1056=""),"",PRECIOS!B1057/PRECIOS!B1056-1),"")</f>
        <v>0.01446131598</v>
      </c>
      <c r="C1057" s="7">
        <f>IFERROR(IF(OR(PRECIOS!C1057="",PRECIOS!C1056=""),"",PRECIOS!C1057/PRECIOS!C1056-1),"")</f>
        <v>-0.006400487656</v>
      </c>
      <c r="D1057" s="7">
        <f>IFERROR(IF(OR(PRECIOS!D1057="",PRECIOS!D1056=""),"",PRECIOS!D1057/PRECIOS!D1056-1),"")</f>
        <v>-0.04301330798</v>
      </c>
      <c r="E1057" s="7">
        <f>IFERROR(IF(OR(PRECIOS!E1057="",PRECIOS!E1056=""),"",PRECIOS!E1057/PRECIOS!E1056-1),"")</f>
        <v>-0.006097073937</v>
      </c>
      <c r="F1057" s="7">
        <f>IFERROR(IF(OR(PRECIOS!F1057="",PRECIOS!F1056=""),"",PRECIOS!F1057/PRECIOS!F1056-1),"")</f>
        <v>-0.01213040182</v>
      </c>
      <c r="G1057" s="7">
        <f>IFERROR(IF(OR(PRECIOS!G1057="",PRECIOS!G1056=""),"",PRECIOS!G1057/PRECIOS!G1056-1),"")</f>
        <v>-0.001119462658</v>
      </c>
      <c r="H1057" s="7">
        <f>IFERROR(IF(OR(PRECIOS!H1057="",PRECIOS!H1056=""),"",PRECIOS!H1057/PRECIOS!H1056-1),"")</f>
        <v>0.008207267808</v>
      </c>
      <c r="I1057" s="7">
        <f>IFERROR(IF(OR(PRECIOS!I1057="",PRECIOS!I1056=""),"",PRECIOS!I1057/PRECIOS!I1056-1),"")</f>
        <v>-0.003482219411</v>
      </c>
    </row>
    <row r="1058" ht="15.75" customHeight="1">
      <c r="A1058" s="4">
        <f>IF(PRECIOS!A1058="","",PRECIOS!A1058)</f>
        <v>45950</v>
      </c>
      <c r="B1058" s="7">
        <f>IFERROR(IF(OR(PRECIOS!B1058="",PRECIOS!B1057=""),"",PRECIOS!B1058/PRECIOS!B1057-1),"")</f>
        <v>0.004098360656</v>
      </c>
      <c r="C1058" s="7">
        <f>IFERROR(IF(OR(PRECIOS!C1058="",PRECIOS!C1057=""),"",PRECIOS!C1058/PRECIOS!C1057-1),"")</f>
        <v>-0.001124744376</v>
      </c>
      <c r="D1058" s="7">
        <f>IFERROR(IF(OR(PRECIOS!D1058="",PRECIOS!D1057=""),"",PRECIOS!D1058/PRECIOS!D1057-1),"")</f>
        <v>-0.03531164639</v>
      </c>
      <c r="E1058" s="7">
        <f>IFERROR(IF(OR(PRECIOS!E1058="",PRECIOS!E1057=""),"",PRECIOS!E1058/PRECIOS!E1057-1),"")</f>
        <v>0.01175997857</v>
      </c>
      <c r="F1058" s="7">
        <f>IFERROR(IF(OR(PRECIOS!F1058="",PRECIOS!F1057=""),"",PRECIOS!F1058/PRECIOS!F1057-1),"")</f>
        <v>-0.03607060629</v>
      </c>
      <c r="G1058" s="7">
        <f>IFERROR(IF(OR(PRECIOS!G1058="",PRECIOS!G1057=""),"",PRECIOS!G1058/PRECIOS!G1057-1),"")</f>
        <v>0.009606147935</v>
      </c>
      <c r="H1058" s="7">
        <f>IFERROR(IF(OR(PRECIOS!H1058="",PRECIOS!H1057=""),"",PRECIOS!H1058/PRECIOS!H1057-1),"")</f>
        <v>0.01058493992</v>
      </c>
      <c r="I1058" s="7">
        <f>IFERROR(IF(OR(PRECIOS!I1058="",PRECIOS!I1057=""),"",PRECIOS!I1058/PRECIOS!I1057-1),"")</f>
        <v>-0.0003278739028</v>
      </c>
    </row>
    <row r="1059" ht="15.75" customHeight="1">
      <c r="A1059" s="4">
        <f>IF(PRECIOS!A1059="","",PRECIOS!A1059)</f>
        <v>45951</v>
      </c>
      <c r="B1059" s="7">
        <f>IFERROR(IF(OR(PRECIOS!B1059="",PRECIOS!B1058=""),"",PRECIOS!B1059/PRECIOS!B1058-1),"")</f>
        <v>0.00008873114463</v>
      </c>
      <c r="C1059" s="7">
        <f>IFERROR(IF(OR(PRECIOS!C1059="",PRECIOS!C1058=""),"",PRECIOS!C1059/PRECIOS!C1058-1),"")</f>
        <v>-0.007063158972</v>
      </c>
      <c r="D1059" s="7">
        <f>IFERROR(IF(OR(PRECIOS!D1059="",PRECIOS!D1058=""),"",PRECIOS!D1059/PRECIOS!D1058-1),"")</f>
        <v>-0.0397446458</v>
      </c>
      <c r="E1059" s="7">
        <f>IFERROR(IF(OR(PRECIOS!E1059="",PRECIOS!E1058=""),"",PRECIOS!E1059/PRECIOS!E1058-1),"")</f>
        <v>-0.0111996611</v>
      </c>
      <c r="F1059" s="7">
        <f>IFERROR(IF(OR(PRECIOS!F1059="",PRECIOS!F1058=""),"",PRECIOS!F1059/PRECIOS!F1058-1),"")</f>
        <v>-0.01632165605</v>
      </c>
      <c r="G1059" s="7">
        <f>IFERROR(IF(OR(PRECIOS!G1059="",PRECIOS!G1058=""),"",PRECIOS!G1059/PRECIOS!G1058-1),"")</f>
        <v>-0.01141769743</v>
      </c>
      <c r="H1059" s="7">
        <f>IFERROR(IF(OR(PRECIOS!H1059="",PRECIOS!H1058=""),"",PRECIOS!H1059/PRECIOS!H1058-1),"")</f>
        <v>-0.002302810264</v>
      </c>
      <c r="I1059" s="7">
        <f>IFERROR(IF(OR(PRECIOS!I1059="",PRECIOS!I1058=""),"",PRECIOS!I1059/PRECIOS!I1058-1),"")</f>
        <v>-0.01015861975</v>
      </c>
    </row>
    <row r="1060" ht="15.75" customHeight="1">
      <c r="A1060" s="4">
        <f>IF(PRECIOS!A1060="","",PRECIOS!A1060)</f>
        <v>45952</v>
      </c>
      <c r="B1060" s="7">
        <f>IFERROR(IF(OR(PRECIOS!B1060="",PRECIOS!B1059=""),"",PRECIOS!B1060/PRECIOS!B1059-1),"")</f>
        <v>0.01774465442</v>
      </c>
      <c r="C1060" s="7">
        <f>IFERROR(IF(OR(PRECIOS!C1060="",PRECIOS!C1059=""),"",PRECIOS!C1060/PRECIOS!C1059-1),"")</f>
        <v>0.004948453608</v>
      </c>
      <c r="D1060" s="7">
        <f>IFERROR(IF(OR(PRECIOS!D1060="",PRECIOS!D1059=""),"",PRECIOS!D1060/PRECIOS!D1059-1),"")</f>
        <v>-0.003699335192</v>
      </c>
      <c r="E1060" s="7">
        <f>IFERROR(IF(OR(PRECIOS!E1060="",PRECIOS!E1059=""),"",PRECIOS!E1060/PRECIOS!E1059-1),"")</f>
        <v>-0.03443474535</v>
      </c>
      <c r="F1060" s="7">
        <f>IFERROR(IF(OR(PRECIOS!F1060="",PRECIOS!F1059=""),"",PRECIOS!F1060/PRECIOS!F1059-1),"")</f>
        <v>0.001618777823</v>
      </c>
      <c r="G1060" s="7">
        <f>IFERROR(IF(OR(PRECIOS!G1060="",PRECIOS!G1059=""),"",PRECIOS!G1060/PRECIOS!G1059-1),"")</f>
        <v>-0.002887391723</v>
      </c>
      <c r="H1060" s="7">
        <f>IFERROR(IF(OR(PRECIOS!H1060="",PRECIOS!H1059=""),"",PRECIOS!H1060/PRECIOS!H1059-1),"")</f>
        <v>0.01280404667</v>
      </c>
      <c r="I1060" s="7">
        <f>IFERROR(IF(OR(PRECIOS!I1060="",PRECIOS!I1059=""),"",PRECIOS!I1060/PRECIOS!I1059-1),"")</f>
        <v>-0.002317208498</v>
      </c>
    </row>
    <row r="1061" ht="15.75" customHeight="1">
      <c r="A1061" s="4">
        <f>IF(PRECIOS!A1061="","",PRECIOS!A1061)</f>
        <v>45953</v>
      </c>
      <c r="B1061" s="7">
        <f>IFERROR(IF(OR(PRECIOS!B1061="",PRECIOS!B1060=""),"",PRECIOS!B1061/PRECIOS!B1060-1),"")</f>
        <v>0.01107139744</v>
      </c>
      <c r="C1061" s="7">
        <f>IFERROR(IF(OR(PRECIOS!C1061="",PRECIOS!C1060=""),"",PRECIOS!C1061/PRECIOS!C1060-1),"")</f>
        <v>-0.01364382437</v>
      </c>
      <c r="D1061" s="7">
        <f>IFERROR(IF(OR(PRECIOS!D1061="",PRECIOS!D1060=""),"",PRECIOS!D1061/PRECIOS!D1060-1),"")</f>
        <v>0.02981219394</v>
      </c>
      <c r="E1061" s="7">
        <f>IFERROR(IF(OR(PRECIOS!E1061="",PRECIOS!E1060=""),"",PRECIOS!E1061/PRECIOS!E1060-1),"")</f>
        <v>0.03272323905</v>
      </c>
      <c r="F1061" s="7">
        <f>IFERROR(IF(OR(PRECIOS!F1061="",PRECIOS!F1060=""),"",PRECIOS!F1061/PRECIOS!F1060-1),"")</f>
        <v>0.08646464646</v>
      </c>
      <c r="G1061" s="7">
        <f>IFERROR(IF(OR(PRECIOS!G1061="",PRECIOS!G1060=""),"",PRECIOS!G1061/PRECIOS!G1060-1),"")</f>
        <v>-0.05196267696</v>
      </c>
      <c r="H1061" s="7">
        <f>IFERROR(IF(OR(PRECIOS!H1061="",PRECIOS!H1060=""),"",PRECIOS!H1061/PRECIOS!H1060-1),"")</f>
        <v>0.0133267783</v>
      </c>
      <c r="I1061" s="7">
        <f>IFERROR(IF(OR(PRECIOS!I1061="",PRECIOS!I1060=""),"",PRECIOS!I1061/PRECIOS!I1060-1),"")</f>
        <v>-0.0007756827903</v>
      </c>
    </row>
    <row r="1062" ht="15.75" customHeight="1">
      <c r="A1062" s="4">
        <f>IF(PRECIOS!A1062="","",PRECIOS!A1062)</f>
        <v>45954</v>
      </c>
      <c r="B1062" s="7">
        <f>IFERROR(IF(OR(PRECIOS!B1062="",PRECIOS!B1061=""),"",PRECIOS!B1062/PRECIOS!B1061-1),"")</f>
        <v>-0.00508708398</v>
      </c>
      <c r="C1062" s="7">
        <f>IFERROR(IF(OR(PRECIOS!C1062="",PRECIOS!C1061=""),"",PRECIOS!C1062/PRECIOS!C1061-1),"")</f>
        <v>-0.002808112324</v>
      </c>
      <c r="D1062" s="7">
        <f>IFERROR(IF(OR(PRECIOS!D1062="",PRECIOS!D1061=""),"",PRECIOS!D1062/PRECIOS!D1061-1),"")</f>
        <v>0.05277734232</v>
      </c>
      <c r="E1062" s="7">
        <f>IFERROR(IF(OR(PRECIOS!E1062="",PRECIOS!E1061=""),"",PRECIOS!E1062/PRECIOS!E1061-1),"")</f>
        <v>0.01044575725</v>
      </c>
      <c r="F1062" s="7">
        <f>IFERROR(IF(OR(PRECIOS!F1062="",PRECIOS!F1061=""),"",PRECIOS!F1062/PRECIOS!F1061-1),"")</f>
        <v>0.002231312756</v>
      </c>
      <c r="G1062" s="7">
        <f>IFERROR(IF(OR(PRECIOS!G1062="",PRECIOS!G1061=""),"",PRECIOS!G1062/PRECIOS!G1061-1),"")</f>
        <v>-0.02460546411</v>
      </c>
      <c r="H1062" s="7">
        <f>IFERROR(IF(OR(PRECIOS!H1062="",PRECIOS!H1061=""),"",PRECIOS!H1062/PRECIOS!H1061-1),"")</f>
        <v>-0.01011584937</v>
      </c>
      <c r="I1062" s="7">
        <f>IFERROR(IF(OR(PRECIOS!I1062="",PRECIOS!I1061=""),"",PRECIOS!I1062/PRECIOS!I1061-1),"")</f>
        <v>0.01173573298</v>
      </c>
    </row>
    <row r="1063" ht="15.75" customHeight="1">
      <c r="A1063" s="4">
        <f>IF(PRECIOS!A1063="","",PRECIOS!A1063)</f>
        <v>45957</v>
      </c>
      <c r="B1063" s="7">
        <f>IFERROR(IF(OR(PRECIOS!B1063="",PRECIOS!B1062=""),"",PRECIOS!B1063/PRECIOS!B1062-1),"")</f>
        <v>0.004766444233</v>
      </c>
      <c r="C1063" s="7">
        <f>IFERROR(IF(OR(PRECIOS!C1063="",PRECIOS!C1062=""),"",PRECIOS!C1063/PRECIOS!C1062-1),"")</f>
        <v>-0.005006257822</v>
      </c>
      <c r="D1063" s="7">
        <f>IFERROR(IF(OR(PRECIOS!D1063="",PRECIOS!D1062=""),"",PRECIOS!D1063/PRECIOS!D1062-1),"")</f>
        <v>-0.01077083437</v>
      </c>
      <c r="E1063" s="7">
        <f>IFERROR(IF(OR(PRECIOS!E1063="",PRECIOS!E1062=""),"",PRECIOS!E1063/PRECIOS!E1062-1),"")</f>
        <v>0.009168460496</v>
      </c>
      <c r="F1063" s="7">
        <f>IFERROR(IF(OR(PRECIOS!F1063="",PRECIOS!F1062=""),"",PRECIOS!F1063/PRECIOS!F1062-1),"")</f>
        <v>0.2378478664</v>
      </c>
      <c r="G1063" s="7">
        <f>IFERROR(IF(OR(PRECIOS!G1063="",PRECIOS!G1062=""),"",PRECIOS!G1063/PRECIOS!G1062-1),"")</f>
        <v>0.003305497564</v>
      </c>
      <c r="H1063" s="7">
        <f>IFERROR(IF(OR(PRECIOS!H1063="",PRECIOS!H1062=""),"",PRECIOS!H1063/PRECIOS!H1062-1),"")</f>
        <v>0.002384180584</v>
      </c>
      <c r="I1063" s="7">
        <f>IFERROR(IF(OR(PRECIOS!I1063="",PRECIOS!I1062=""),"",PRECIOS!I1063/PRECIOS!I1062-1),"")</f>
        <v>0.002736192261</v>
      </c>
    </row>
    <row r="1064" ht="15.75" customHeight="1">
      <c r="A1064" s="4">
        <f>IF(PRECIOS!A1064="","",PRECIOS!A1064)</f>
        <v>45958</v>
      </c>
      <c r="B1064" s="7">
        <f>IFERROR(IF(OR(PRECIOS!B1064="",PRECIOS!B1063=""),"",PRECIOS!B1064/PRECIOS!B1063-1),"")</f>
        <v>-0.007848887356</v>
      </c>
      <c r="C1064" s="7">
        <f>IFERROR(IF(OR(PRECIOS!C1064="",PRECIOS!C1063=""),"",PRECIOS!C1064/PRECIOS!C1063-1),"")</f>
        <v>-0.01561844864</v>
      </c>
      <c r="D1064" s="7">
        <f>IFERROR(IF(OR(PRECIOS!D1064="",PRECIOS!D1063=""),"",PRECIOS!D1064/PRECIOS!D1063-1),"")</f>
        <v>-0.04370296036</v>
      </c>
      <c r="E1064" s="7">
        <f>IFERROR(IF(OR(PRECIOS!E1064="",PRECIOS!E1063=""),"",PRECIOS!E1064/PRECIOS!E1063-1),"")</f>
        <v>-0.009822510139</v>
      </c>
      <c r="F1064" s="7">
        <f>IFERROR(IF(OR(PRECIOS!F1064="",PRECIOS!F1063=""),"",PRECIOS!F1064/PRECIOS!F1063-1),"")</f>
        <v>0.0146882494</v>
      </c>
      <c r="G1064" s="7">
        <f>IFERROR(IF(OR(PRECIOS!G1064="",PRECIOS!G1063=""),"",PRECIOS!G1064/PRECIOS!G1063-1),"")</f>
        <v>-0.001387203052</v>
      </c>
      <c r="H1064" s="7">
        <f>IFERROR(IF(OR(PRECIOS!H1064="",PRECIOS!H1063=""),"",PRECIOS!H1064/PRECIOS!H1063-1),"")</f>
        <v>-0.01042111733</v>
      </c>
      <c r="I1064" s="7">
        <f>IFERROR(IF(OR(PRECIOS!I1064="",PRECIOS!I1063=""),"",PRECIOS!I1064/PRECIOS!I1063-1),"")</f>
        <v>-0.01647789864</v>
      </c>
    </row>
    <row r="1065" ht="15.75" customHeight="1">
      <c r="A1065" s="4">
        <f>IF(PRECIOS!A1065="","",PRECIOS!A1065)</f>
        <v>45959</v>
      </c>
      <c r="B1065" s="7">
        <f>IFERROR(IF(OR(PRECIOS!B1065="",PRECIOS!B1064=""),"",PRECIOS!B1065/PRECIOS!B1064-1),"")</f>
        <v>0.01234460576</v>
      </c>
      <c r="C1065" s="7">
        <f>IFERROR(IF(OR(PRECIOS!C1065="",PRECIOS!C1064=""),"",PRECIOS!C1065/PRECIOS!C1064-1),"")</f>
        <v>-0.004259397295</v>
      </c>
      <c r="D1065" s="7">
        <f>IFERROR(IF(OR(PRECIOS!D1065="",PRECIOS!D1064=""),"",PRECIOS!D1065/PRECIOS!D1064-1),"")</f>
        <v>0.04606747468</v>
      </c>
      <c r="E1065" s="7">
        <f>IFERROR(IF(OR(PRECIOS!E1065="",PRECIOS!E1064=""),"",PRECIOS!E1065/PRECIOS!E1064-1),"")</f>
        <v>0.03122257387</v>
      </c>
      <c r="F1065" s="7">
        <f>IFERROR(IF(OR(PRECIOS!F1065="",PRECIOS!F1064=""),"",PRECIOS!F1065/PRECIOS!F1064-1),"")</f>
        <v>0.03308714919</v>
      </c>
      <c r="G1065" s="7">
        <f>IFERROR(IF(OR(PRECIOS!G1065="",PRECIOS!G1064=""),"",PRECIOS!G1065/PRECIOS!G1064-1),"")</f>
        <v>-0.01059211669</v>
      </c>
      <c r="H1065" s="7">
        <f>IFERROR(IF(OR(PRECIOS!H1065="",PRECIOS!H1064=""),"",PRECIOS!H1065/PRECIOS!H1064-1),"")</f>
        <v>0.007439253027</v>
      </c>
      <c r="I1065" s="7">
        <f>IFERROR(IF(OR(PRECIOS!I1065="",PRECIOS!I1064=""),"",PRECIOS!I1065/PRECIOS!I1064-1),"")</f>
        <v>-0.0003331120039</v>
      </c>
    </row>
    <row r="1066" ht="15.75" customHeight="1">
      <c r="A1066" s="4">
        <f>IF(PRECIOS!A1066="","",PRECIOS!A1066)</f>
        <v>45960</v>
      </c>
      <c r="B1066" s="7">
        <f>IFERROR(IF(OR(PRECIOS!B1066="",PRECIOS!B1065=""),"",PRECIOS!B1066/PRECIOS!B1065-1),"")</f>
        <v>-0.01511378274</v>
      </c>
      <c r="C1066" s="7">
        <f>IFERROR(IF(OR(PRECIOS!C1066="",PRECIOS!C1065=""),"",PRECIOS!C1066/PRECIOS!C1065-1),"")</f>
        <v>0.01668270773</v>
      </c>
      <c r="D1066" s="7">
        <f>IFERROR(IF(OR(PRECIOS!D1066="",PRECIOS!D1065=""),"",PRECIOS!D1066/PRECIOS!D1065-1),"")</f>
        <v>-0.04845262577</v>
      </c>
      <c r="E1066" s="7">
        <f>IFERROR(IF(OR(PRECIOS!E1066="",PRECIOS!E1065=""),"",PRECIOS!E1066/PRECIOS!E1065-1),"")</f>
        <v>-0.01201805287</v>
      </c>
      <c r="F1066" s="7">
        <f>IFERROR(IF(OR(PRECIOS!F1066="",PRECIOS!F1065=""),"",PRECIOS!F1066/PRECIOS!F1065-1),"")</f>
        <v>-0.01086645696</v>
      </c>
      <c r="G1066" s="7">
        <f>IFERROR(IF(OR(PRECIOS!G1066="",PRECIOS!G1065=""),"",PRECIOS!G1066/PRECIOS!G1065-1),"")</f>
        <v>0.01123201123</v>
      </c>
      <c r="H1066" s="7">
        <f>IFERROR(IF(OR(PRECIOS!H1066="",PRECIOS!H1065=""),"",PRECIOS!H1066/PRECIOS!H1065-1),"")</f>
        <v>-0.005908372104</v>
      </c>
      <c r="I1066" s="7">
        <f>IFERROR(IF(OR(PRECIOS!I1066="",PRECIOS!I1065=""),"",PRECIOS!I1066/PRECIOS!I1065-1),"")</f>
        <v>-0.004217842862</v>
      </c>
    </row>
    <row r="1067" ht="15.75" customHeight="1">
      <c r="A1067" s="4">
        <f>IF(PRECIOS!A1067="","",PRECIOS!A1067)</f>
        <v>45961</v>
      </c>
      <c r="B1067" s="7">
        <f>IFERROR(IF(OR(PRECIOS!B1067="",PRECIOS!B1066=""),"",PRECIOS!B1067/PRECIOS!B1066-1),"")</f>
        <v>-0.002877321475</v>
      </c>
      <c r="C1067" s="7">
        <f>IFERROR(IF(OR(PRECIOS!C1067="",PRECIOS!C1066=""),"",PRECIOS!C1067/PRECIOS!C1066-1),"")</f>
        <v>-0.01083412223</v>
      </c>
      <c r="D1067" s="7">
        <f>IFERROR(IF(OR(PRECIOS!D1067="",PRECIOS!D1066=""),"",PRECIOS!D1067/PRECIOS!D1066-1),"")</f>
        <v>-0.007432396816</v>
      </c>
      <c r="E1067" s="7">
        <f>IFERROR(IF(OR(PRECIOS!E1067="",PRECIOS!E1066=""),"",PRECIOS!E1067/PRECIOS!E1066-1),"")</f>
        <v>-0.003993839568</v>
      </c>
      <c r="F1067" s="7">
        <f>IFERROR(IF(OR(PRECIOS!F1067="",PRECIOS!F1066=""),"",PRECIOS!F1067/PRECIOS!F1066-1),"")</f>
        <v>0.0531945649</v>
      </c>
      <c r="G1067" s="7">
        <f>IFERROR(IF(OR(PRECIOS!G1067="",PRECIOS!G1066=""),"",PRECIOS!G1067/PRECIOS!G1066-1),"")</f>
        <v>0.00433877126</v>
      </c>
      <c r="H1067" s="7">
        <f>IFERROR(IF(OR(PRECIOS!H1067="",PRECIOS!H1066=""),"",PRECIOS!H1067/PRECIOS!H1066-1),"")</f>
        <v>0.007315240045</v>
      </c>
      <c r="I1067" s="7">
        <f>IFERROR(IF(OR(PRECIOS!I1067="",PRECIOS!I1066=""),"",PRECIOS!I1067/PRECIOS!I1066-1),"")</f>
        <v>-0.006910538065</v>
      </c>
    </row>
    <row r="1068" ht="15.75" customHeight="1">
      <c r="A1068" s="4">
        <f>IF(PRECIOS!A1068="","",PRECIOS!A1068)</f>
        <v>45964</v>
      </c>
      <c r="B1068" s="7">
        <f>IFERROR(IF(OR(PRECIOS!B1068="",PRECIOS!B1067=""),"",PRECIOS!B1068/PRECIOS!B1067-1),"")</f>
        <v>-0.005246589717</v>
      </c>
      <c r="C1068" s="7">
        <f>IFERROR(IF(OR(PRECIOS!C1068="",PRECIOS!C1067=""),"",PRECIOS!C1068/PRECIOS!C1067-1),"")</f>
        <v>-0.009464057848</v>
      </c>
      <c r="D1068" s="7">
        <f>IFERROR(IF(OR(PRECIOS!D1068="",PRECIOS!D1067=""),"",PRECIOS!D1068/PRECIOS!D1067-1),"")</f>
        <v>0.02517259692</v>
      </c>
      <c r="E1068" s="7">
        <f>IFERROR(IF(OR(PRECIOS!E1068="",PRECIOS!E1067=""),"",PRECIOS!E1068/PRECIOS!E1067-1),"")</f>
        <v>0.01313030716</v>
      </c>
      <c r="F1068" s="7">
        <f>IFERROR(IF(OR(PRECIOS!F1068="",PRECIOS!F1067=""),"",PRECIOS!F1068/PRECIOS!F1067-1),"")</f>
        <v>0.01729343947</v>
      </c>
      <c r="G1068" s="7">
        <f>IFERROR(IF(OR(PRECIOS!G1068="",PRECIOS!G1067=""),"",PRECIOS!G1068/PRECIOS!G1067-1),"")</f>
        <v>0.02004492829</v>
      </c>
      <c r="H1068" s="7">
        <f>IFERROR(IF(OR(PRECIOS!H1068="",PRECIOS!H1067=""),"",PRECIOS!H1068/PRECIOS!H1067-1),"")</f>
        <v>0.000114436116</v>
      </c>
      <c r="I1068" s="7">
        <f>IFERROR(IF(OR(PRECIOS!I1068="",PRECIOS!I1067=""),"",PRECIOS!I1068/PRECIOS!I1067-1),"")</f>
        <v>0.0005608512274</v>
      </c>
    </row>
    <row r="1069" ht="15.75" customHeight="1">
      <c r="A1069" s="4">
        <f>IF(PRECIOS!A1069="","",PRECIOS!A1069)</f>
        <v>45965</v>
      </c>
      <c r="B1069" s="7">
        <f>IFERROR(IF(OR(PRECIOS!B1069="",PRECIOS!B1068=""),"",PRECIOS!B1069/PRECIOS!B1068-1),"")</f>
        <v>0.003340365682</v>
      </c>
      <c r="C1069" s="7">
        <f>IFERROR(IF(OR(PRECIOS!C1069="",PRECIOS!C1068=""),"",PRECIOS!C1069/PRECIOS!C1068-1),"")</f>
        <v>-0.004508856683</v>
      </c>
      <c r="D1069" s="7">
        <f>IFERROR(IF(OR(PRECIOS!D1069="",PRECIOS!D1068=""),"",PRECIOS!D1069/PRECIOS!D1068-1),"")</f>
        <v>-0.03781599668</v>
      </c>
      <c r="E1069" s="7">
        <f>IFERROR(IF(OR(PRECIOS!E1069="",PRECIOS!E1068=""),"",PRECIOS!E1069/PRECIOS!E1068-1),"")</f>
        <v>-0.02289365445</v>
      </c>
      <c r="F1069" s="7">
        <f>IFERROR(IF(OR(PRECIOS!F1069="",PRECIOS!F1068=""),"",PRECIOS!F1069/PRECIOS!F1068-1),"")</f>
        <v>-0.02239611441</v>
      </c>
      <c r="G1069" s="7">
        <f>IFERROR(IF(OR(PRECIOS!G1069="",PRECIOS!G1068=""),"",PRECIOS!G1069/PRECIOS!G1068-1),"")</f>
        <v>-0.04269015755</v>
      </c>
      <c r="H1069" s="7">
        <f>IFERROR(IF(OR(PRECIOS!H1069="",PRECIOS!H1068=""),"",PRECIOS!H1069/PRECIOS!H1068-1),"")</f>
        <v>-0.01077864866</v>
      </c>
      <c r="I1069" s="7">
        <f>IFERROR(IF(OR(PRECIOS!I1069="",PRECIOS!I1068=""),"",PRECIOS!I1069/PRECIOS!I1068-1),"")</f>
        <v>-0.003589244021</v>
      </c>
    </row>
    <row r="1070" ht="15.75" customHeight="1">
      <c r="A1070" s="4">
        <f>IF(PRECIOS!A1070="","",PRECIOS!A1070)</f>
        <v>45966</v>
      </c>
      <c r="B1070" s="7">
        <f>IFERROR(IF(OR(PRECIOS!B1070="",PRECIOS!B1069=""),"",PRECIOS!B1070/PRECIOS!B1069-1),"")</f>
        <v>-0.004030138426</v>
      </c>
      <c r="C1070" s="7">
        <f>IFERROR(IF(OR(PRECIOS!C1070="",PRECIOS!C1069=""),"",PRECIOS!C1070/PRECIOS!C1069-1),"")</f>
        <v>-0.01423487544</v>
      </c>
      <c r="D1070" s="7">
        <f>IFERROR(IF(OR(PRECIOS!D1070="",PRECIOS!D1069=""),"",PRECIOS!D1070/PRECIOS!D1069-1),"")</f>
        <v>0.01965112523</v>
      </c>
      <c r="E1070" s="7">
        <f>IFERROR(IF(OR(PRECIOS!E1070="",PRECIOS!E1069=""),"",PRECIOS!E1070/PRECIOS!E1069-1),"")</f>
        <v>0.02043841999</v>
      </c>
      <c r="F1070" s="7">
        <f>IFERROR(IF(OR(PRECIOS!F1070="",PRECIOS!F1069=""),"",PRECIOS!F1070/PRECIOS!F1069-1),"")</f>
        <v>0.02180513387</v>
      </c>
      <c r="G1070" s="7">
        <f>IFERROR(IF(OR(PRECIOS!G1070="",PRECIOS!G1069=""),"",PRECIOS!G1070/PRECIOS!G1069-1),"")</f>
        <v>0.0182268625</v>
      </c>
      <c r="H1070" s="7">
        <f>IFERROR(IF(OR(PRECIOS!H1070="",PRECIOS!H1069=""),"",PRECIOS!H1070/PRECIOS!H1069-1),"")</f>
        <v>0.002637271118</v>
      </c>
      <c r="I1070" s="7">
        <f>IFERROR(IF(OR(PRECIOS!I1070="",PRECIOS!I1069=""),"",PRECIOS!I1070/PRECIOS!I1069-1),"")</f>
        <v>0.000224568726</v>
      </c>
    </row>
    <row r="1071" ht="15.75" customHeight="1">
      <c r="A1071" s="4">
        <f>IF(PRECIOS!A1071="","",PRECIOS!A1071)</f>
        <v>45967</v>
      </c>
      <c r="B1071" s="7">
        <f>IFERROR(IF(OR(PRECIOS!B1071="",PRECIOS!B1070=""),"",PRECIOS!B1071/PRECIOS!B1070-1),"")</f>
        <v>0.00721323012</v>
      </c>
      <c r="C1071" s="7">
        <f>IFERROR(IF(OR(PRECIOS!C1071="",PRECIOS!C1070=""),"",PRECIOS!C1071/PRECIOS!C1070-1),"")</f>
        <v>-0.005579258287</v>
      </c>
      <c r="D1071" s="7">
        <f>IFERROR(IF(OR(PRECIOS!D1071="",PRECIOS!D1070=""),"",PRECIOS!D1071/PRECIOS!D1070-1),"")</f>
        <v>-0.02518612387</v>
      </c>
      <c r="E1071" s="7">
        <f>IFERROR(IF(OR(PRECIOS!E1071="",PRECIOS!E1070=""),"",PRECIOS!E1071/PRECIOS!E1070-1),"")</f>
        <v>-0.02085927771</v>
      </c>
      <c r="F1071" s="7">
        <f>IFERROR(IF(OR(PRECIOS!F1071="",PRECIOS!F1070=""),"",PRECIOS!F1071/PRECIOS!F1070-1),"")</f>
        <v>-0.01350621286</v>
      </c>
      <c r="G1071" s="7">
        <f>IFERROR(IF(OR(PRECIOS!G1071="",PRECIOS!G1070=""),"",PRECIOS!G1071/PRECIOS!G1070-1),"")</f>
        <v>0.006951685784</v>
      </c>
      <c r="H1071" s="7">
        <f>IFERROR(IF(OR(PRECIOS!H1071="",PRECIOS!H1070=""),"",PRECIOS!H1071/PRECIOS!H1070-1),"")</f>
        <v>0.009723007349</v>
      </c>
      <c r="I1071" s="7">
        <f>IFERROR(IF(OR(PRECIOS!I1071="",PRECIOS!I1070=""),"",PRECIOS!I1071/PRECIOS!I1070-1),"")</f>
        <v>-0.004388312348</v>
      </c>
    </row>
    <row r="1072" ht="15.75" customHeight="1">
      <c r="A1072" s="4">
        <f>IF(PRECIOS!A1072="","",PRECIOS!A1072)</f>
        <v>45968</v>
      </c>
      <c r="B1072" s="7">
        <f>IFERROR(IF(OR(PRECIOS!B1072="",PRECIOS!B1071=""),"",PRECIOS!B1072/PRECIOS!B1071-1),"")</f>
        <v>0.02375545852</v>
      </c>
      <c r="C1072" s="7">
        <f>IFERROR(IF(OR(PRECIOS!C1072="",PRECIOS!C1071=""),"",PRECIOS!C1072/PRECIOS!C1071-1),"")</f>
        <v>0.005940594059</v>
      </c>
      <c r="D1072" s="7">
        <f>IFERROR(IF(OR(PRECIOS!D1072="",PRECIOS!D1071=""),"",PRECIOS!D1072/PRECIOS!D1071-1),"")</f>
        <v>0.0345574694</v>
      </c>
      <c r="E1072" s="7">
        <f>IFERROR(IF(OR(PRECIOS!E1072="",PRECIOS!E1071=""),"",PRECIOS!E1072/PRECIOS!E1071-1),"")</f>
        <v>-0.009618441971</v>
      </c>
      <c r="F1072" s="7">
        <f>IFERROR(IF(OR(PRECIOS!F1072="",PRECIOS!F1071=""),"",PRECIOS!F1072/PRECIOS!F1071-1),"")</f>
        <v>-0.007119386637</v>
      </c>
      <c r="G1072" s="7">
        <f>IFERROR(IF(OR(PRECIOS!G1072="",PRECIOS!G1071=""),"",PRECIOS!G1072/PRECIOS!G1071-1),"")</f>
        <v>0.02830514325</v>
      </c>
      <c r="H1072" s="7">
        <f>IFERROR(IF(OR(PRECIOS!H1072="",PRECIOS!H1071=""),"",PRECIOS!H1072/PRECIOS!H1071-1),"")</f>
        <v>0.01438922899</v>
      </c>
      <c r="I1072" s="7">
        <f>IFERROR(IF(OR(PRECIOS!I1072="",PRECIOS!I1071=""),"",PRECIOS!I1072/PRECIOS!I1071-1),"")</f>
        <v>0.01390404297</v>
      </c>
    </row>
    <row r="1073" ht="15.75" customHeight="1">
      <c r="A1073" s="4">
        <f>IF(PRECIOS!A1073="","",PRECIOS!A1073)</f>
        <v>45971</v>
      </c>
      <c r="B1073" s="7">
        <f>IFERROR(IF(OR(PRECIOS!B1073="",PRECIOS!B1072=""),"",PRECIOS!B1073/PRECIOS!B1072-1),"")</f>
        <v>0.008530967412</v>
      </c>
      <c r="C1073" s="7">
        <f>IFERROR(IF(OR(PRECIOS!C1073="",PRECIOS!C1072=""),"",PRECIOS!C1073/PRECIOS!C1072-1),"")</f>
        <v>-0.007436570429</v>
      </c>
      <c r="D1073" s="7">
        <f>IFERROR(IF(OR(PRECIOS!D1073="",PRECIOS!D1072=""),"",PRECIOS!D1073/PRECIOS!D1072-1),"")</f>
        <v>-0.0142408377</v>
      </c>
      <c r="E1073" s="7">
        <f>IFERROR(IF(OR(PRECIOS!E1073="",PRECIOS!E1072=""),"",PRECIOS!E1073/PRECIOS!E1072-1),"")</f>
        <v>0.01551756428</v>
      </c>
      <c r="F1073" s="7">
        <f>IFERROR(IF(OR(PRECIOS!F1073="",PRECIOS!F1072=""),"",PRECIOS!F1073/PRECIOS!F1072-1),"")</f>
        <v>0.02619966906</v>
      </c>
      <c r="G1073" s="7">
        <f>IFERROR(IF(OR(PRECIOS!G1073="",PRECIOS!G1072=""),"",PRECIOS!G1073/PRECIOS!G1072-1),"")</f>
        <v>0.01711983887</v>
      </c>
      <c r="H1073" s="7">
        <f>IFERROR(IF(OR(PRECIOS!H1073="",PRECIOS!H1072=""),"",PRECIOS!H1073/PRECIOS!H1072-1),"")</f>
        <v>0.009044503915</v>
      </c>
      <c r="I1073" s="7">
        <f>IFERROR(IF(OR(PRECIOS!I1073="",PRECIOS!I1072=""),"",PRECIOS!I1073/PRECIOS!I1072-1),"")</f>
        <v>-0.0003347464576</v>
      </c>
    </row>
    <row r="1074" ht="15.75" customHeight="1">
      <c r="A1074" s="4">
        <f>IF(PRECIOS!A1074="","",PRECIOS!A1074)</f>
        <v>45972</v>
      </c>
      <c r="B1074" s="7">
        <f>IFERROR(IF(OR(PRECIOS!B1074="",PRECIOS!B1073=""),"",PRECIOS!B1074/PRECIOS!B1073-1),"")</f>
        <v>0.01319573676</v>
      </c>
      <c r="C1074" s="7">
        <f>IFERROR(IF(OR(PRECIOS!C1074="",PRECIOS!C1073=""),"",PRECIOS!C1074/PRECIOS!C1073-1),"")</f>
        <v>0.004186866461</v>
      </c>
      <c r="D1074" s="7">
        <f>IFERROR(IF(OR(PRECIOS!D1074="",PRECIOS!D1073=""),"",PRECIOS!D1074/PRECIOS!D1073-1),"")</f>
        <v>-0.04843849586</v>
      </c>
      <c r="E1074" s="7">
        <f>IFERROR(IF(OR(PRECIOS!E1074="",PRECIOS!E1073=""),"",PRECIOS!E1074/PRECIOS!E1073-1),"")</f>
        <v>-0.03071897147</v>
      </c>
      <c r="F1074" s="7">
        <f>IFERROR(IF(OR(PRECIOS!F1074="",PRECIOS!F1073=""),"",PRECIOS!F1074/PRECIOS!F1073-1),"")</f>
        <v>0.008331093792</v>
      </c>
      <c r="G1074" s="7">
        <f>IFERROR(IF(OR(PRECIOS!G1074="",PRECIOS!G1073=""),"",PRECIOS!G1074/PRECIOS!G1073-1),"")</f>
        <v>0</v>
      </c>
      <c r="H1074" s="7">
        <f>IFERROR(IF(OR(PRECIOS!H1074="",PRECIOS!H1073=""),"",PRECIOS!H1074/PRECIOS!H1073-1),"")</f>
        <v>0.01306227968</v>
      </c>
      <c r="I1074" s="7">
        <f>IFERROR(IF(OR(PRECIOS!I1074="",PRECIOS!I1073=""),"",PRECIOS!I1074/PRECIOS!I1073-1),"")</f>
        <v>0.0005573484597</v>
      </c>
    </row>
    <row r="1075" ht="15.75" customHeight="1">
      <c r="A1075" s="4">
        <f>IF(PRECIOS!A1075="","",PRECIOS!A1075)</f>
        <v>45973</v>
      </c>
      <c r="B1075" s="7">
        <f>IFERROR(IF(OR(PRECIOS!B1075="",PRECIOS!B1074=""),"",PRECIOS!B1075/PRECIOS!B1074-1),"")</f>
        <v>-0.01385874103</v>
      </c>
      <c r="C1075" s="7">
        <f>IFERROR(IF(OR(PRECIOS!C1075="",PRECIOS!C1074=""),"",PRECIOS!C1075/PRECIOS!C1074-1),"")</f>
        <v>0.008229098091</v>
      </c>
      <c r="D1075" s="7">
        <f>IFERROR(IF(OR(PRECIOS!D1075="",PRECIOS!D1074=""),"",PRECIOS!D1075/PRECIOS!D1074-1),"")</f>
        <v>-0.004967626702</v>
      </c>
      <c r="E1075" s="7">
        <f>IFERROR(IF(OR(PRECIOS!E1075="",PRECIOS!E1074=""),"",PRECIOS!E1075/PRECIOS!E1074-1),"")</f>
        <v>0.004049903509</v>
      </c>
      <c r="F1075" s="7">
        <f>IFERROR(IF(OR(PRECIOS!F1075="",PRECIOS!F1074=""),"",PRECIOS!F1075/PRECIOS!F1074-1),"")</f>
        <v>0.01039445629</v>
      </c>
      <c r="G1075" s="7">
        <f>IFERROR(IF(OR(PRECIOS!G1075="",PRECIOS!G1074=""),"",PRECIOS!G1075/PRECIOS!G1074-1),"")</f>
        <v>-0.002805280528</v>
      </c>
      <c r="H1075" s="7">
        <f>IFERROR(IF(OR(PRECIOS!H1075="",PRECIOS!H1074=""),"",PRECIOS!H1075/PRECIOS!H1074-1),"")</f>
        <v>-0.01398468868</v>
      </c>
      <c r="I1075" s="7">
        <f>IFERROR(IF(OR(PRECIOS!I1075="",PRECIOS!I1074=""),"",PRECIOS!I1075/PRECIOS!I1074-1),"")</f>
        <v>0.00234270415</v>
      </c>
    </row>
    <row r="1076" ht="15.75" customHeight="1">
      <c r="A1076" s="4">
        <f>IF(PRECIOS!A1076="","",PRECIOS!A1076)</f>
        <v>45974</v>
      </c>
      <c r="B1076" s="7">
        <f>IFERROR(IF(OR(PRECIOS!B1076="",PRECIOS!B1075=""),"",PRECIOS!B1076/PRECIOS!B1075-1),"")</f>
        <v>0.005672197765</v>
      </c>
      <c r="C1076" s="7">
        <f>IFERROR(IF(OR(PRECIOS!C1076="",PRECIOS!C1075=""),"",PRECIOS!C1076/PRECIOS!C1075-1),"")</f>
        <v>-0.007835455436</v>
      </c>
      <c r="D1076" s="7">
        <f>IFERROR(IF(OR(PRECIOS!D1076="",PRECIOS!D1075=""),"",PRECIOS!D1076/PRECIOS!D1075-1),"")</f>
        <v>-0.03763953554</v>
      </c>
      <c r="E1076" s="7">
        <f>IFERROR(IF(OR(PRECIOS!E1076="",PRECIOS!E1075=""),"",PRECIOS!E1076/PRECIOS!E1075-1),"")</f>
        <v>-0.04149972929</v>
      </c>
      <c r="F1076" s="7">
        <f>IFERROR(IF(OR(PRECIOS!F1076="",PRECIOS!F1075=""),"",PRECIOS!F1076/PRECIOS!F1075-1),"")</f>
        <v>-0.01767343709</v>
      </c>
      <c r="G1076" s="7">
        <f>IFERROR(IF(OR(PRECIOS!G1076="",PRECIOS!G1075=""),"",PRECIOS!G1076/PRECIOS!G1075-1),"")</f>
        <v>-0.01390038061</v>
      </c>
      <c r="H1076" s="7">
        <f>IFERROR(IF(OR(PRECIOS!H1076="",PRECIOS!H1075=""),"",PRECIOS!H1076/PRECIOS!H1075-1),"")</f>
        <v>0.002547850419</v>
      </c>
      <c r="I1076" s="7">
        <f>IFERROR(IF(OR(PRECIOS!I1076="",PRECIOS!I1075=""),"",PRECIOS!I1076/PRECIOS!I1075-1),"")</f>
        <v>-0.01379032168</v>
      </c>
    </row>
    <row r="1077" ht="15.75" customHeight="1">
      <c r="A1077" s="4">
        <f>IF(PRECIOS!A1077="","",PRECIOS!A1077)</f>
        <v>45975</v>
      </c>
      <c r="B1077" s="7">
        <f>IFERROR(IF(OR(PRECIOS!B1077="",PRECIOS!B1076=""),"",PRECIOS!B1077/PRECIOS!B1076-1),"")</f>
        <v>0.004209108511</v>
      </c>
      <c r="C1077" s="7">
        <f>IFERROR(IF(OR(PRECIOS!C1077="",PRECIOS!C1076=""),"",PRECIOS!C1077/PRECIOS!C1076-1),"")</f>
        <v>-0.005264889766</v>
      </c>
      <c r="D1077" s="7">
        <f>IFERROR(IF(OR(PRECIOS!D1077="",PRECIOS!D1076=""),"",PRECIOS!D1077/PRECIOS!D1076-1),"")</f>
        <v>0.018244346</v>
      </c>
      <c r="E1077" s="7">
        <f>IFERROR(IF(OR(PRECIOS!E1077="",PRECIOS!E1076=""),"",PRECIOS!E1077/PRECIOS!E1076-1),"")</f>
        <v>-0.00474482447</v>
      </c>
      <c r="F1077" s="7">
        <f>IFERROR(IF(OR(PRECIOS!F1077="",PRECIOS!F1076=""),"",PRECIOS!F1077/PRECIOS!F1076-1),"")</f>
        <v>0.03839957035</v>
      </c>
      <c r="G1077" s="7">
        <f>IFERROR(IF(OR(PRECIOS!G1077="",PRECIOS!G1076=""),"",PRECIOS!G1077/PRECIOS!G1076-1),"")</f>
        <v>0.02349387481</v>
      </c>
      <c r="H1077" s="7">
        <f>IFERROR(IF(OR(PRECIOS!H1077="",PRECIOS!H1076=""),"",PRECIOS!H1077/PRECIOS!H1076-1),"")</f>
        <v>0.01702052718</v>
      </c>
      <c r="I1077" s="7">
        <f>IFERROR(IF(OR(PRECIOS!I1077="",PRECIOS!I1076=""),"",PRECIOS!I1077/PRECIOS!I1076-1),"")</f>
        <v>0.0009020656622</v>
      </c>
    </row>
    <row r="1078" ht="15.75" customHeight="1">
      <c r="A1078" s="4">
        <f>IF(PRECIOS!A1078="","",PRECIOS!A1078)</f>
        <v>45978</v>
      </c>
      <c r="B1078" s="7">
        <f>IFERROR(IF(OR(PRECIOS!B1078="",PRECIOS!B1077=""),"",PRECIOS!B1078/PRECIOS!B1077-1),"")</f>
        <v>-0.01349652108</v>
      </c>
      <c r="C1078" s="7">
        <f>IFERROR(IF(OR(PRECIOS!C1078="",PRECIOS!C1077=""),"",PRECIOS!C1078/PRECIOS!C1077-1),"")</f>
        <v>-0.001212923145</v>
      </c>
      <c r="D1078" s="7">
        <f>IFERROR(IF(OR(PRECIOS!D1078="",PRECIOS!D1077=""),"",PRECIOS!D1078/PRECIOS!D1077-1),"")</f>
        <v>0.001774572099</v>
      </c>
      <c r="E1078" s="7">
        <f>IFERROR(IF(OR(PRECIOS!E1078="",PRECIOS!E1077=""),"",PRECIOS!E1078/PRECIOS!E1077-1),"")</f>
        <v>-0.02735605437</v>
      </c>
      <c r="F1078" s="7">
        <f>IFERROR(IF(OR(PRECIOS!F1078="",PRECIOS!F1077=""),"",PRECIOS!F1078/PRECIOS!F1077-1),"")</f>
        <v>-0.004913369537</v>
      </c>
      <c r="G1078" s="7">
        <f>IFERROR(IF(OR(PRECIOS!G1078="",PRECIOS!G1077=""),"",PRECIOS!G1078/PRECIOS!G1077-1),"")</f>
        <v>-0.01770782095</v>
      </c>
      <c r="H1078" s="7">
        <f>IFERROR(IF(OR(PRECIOS!H1078="",PRECIOS!H1077=""),"",PRECIOS!H1078/PRECIOS!H1077-1),"")</f>
        <v>-0.01825690306</v>
      </c>
      <c r="I1078" s="7">
        <f>IFERROR(IF(OR(PRECIOS!I1078="",PRECIOS!I1077=""),"",PRECIOS!I1078/PRECIOS!I1077-1),"")</f>
        <v>0.009012526731</v>
      </c>
    </row>
    <row r="1079" ht="15.75" customHeight="1">
      <c r="A1079" s="4">
        <f>IF(PRECIOS!A1079="","",PRECIOS!A1079)</f>
        <v>45979</v>
      </c>
      <c r="B1079" s="7">
        <f>IFERROR(IF(OR(PRECIOS!B1079="",PRECIOS!B1078=""),"",PRECIOS!B1079/PRECIOS!B1078-1),"")</f>
        <v>0.0114717879</v>
      </c>
      <c r="C1079" s="7">
        <f>IFERROR(IF(OR(PRECIOS!C1079="",PRECIOS!C1078=""),"",PRECIOS!C1079/PRECIOS!C1078-1),"")</f>
        <v>0.001214396114</v>
      </c>
      <c r="D1079" s="7">
        <f>IFERROR(IF(OR(PRECIOS!D1079="",PRECIOS!D1078=""),"",PRECIOS!D1079/PRECIOS!D1078-1),"")</f>
        <v>-0.003314285714</v>
      </c>
      <c r="E1079" s="7">
        <f>IFERROR(IF(OR(PRECIOS!E1079="",PRECIOS!E1078=""),"",PRECIOS!E1079/PRECIOS!E1078-1),"")</f>
        <v>-0.01301239971</v>
      </c>
      <c r="F1079" s="7">
        <f>IFERROR(IF(OR(PRECIOS!F1079="",PRECIOS!F1078=""),"",PRECIOS!F1079/PRECIOS!F1078-1),"")</f>
        <v>0.004677754678</v>
      </c>
      <c r="G1079" s="7">
        <f>IFERROR(IF(OR(PRECIOS!G1079="",PRECIOS!G1078=""),"",PRECIOS!G1079/PRECIOS!G1078-1),"")</f>
        <v>-0.01235186113</v>
      </c>
      <c r="H1079" s="7">
        <f>IFERROR(IF(OR(PRECIOS!H1079="",PRECIOS!H1078=""),"",PRECIOS!H1079/PRECIOS!H1078-1),"")</f>
        <v>0.007968616734</v>
      </c>
      <c r="I1079" s="7">
        <f>IFERROR(IF(OR(PRECIOS!I1079="",PRECIOS!I1078=""),"",PRECIOS!I1079/PRECIOS!I1078-1),"")</f>
        <v>-0.003795548836</v>
      </c>
    </row>
    <row r="1080" ht="15.75" customHeight="1">
      <c r="A1080" s="4">
        <f>IF(PRECIOS!A1080="","",PRECIOS!A1080)</f>
        <v>45980</v>
      </c>
      <c r="B1080" s="7">
        <f>IFERROR(IF(OR(PRECIOS!B1080="",PRECIOS!B1079=""),"",PRECIOS!B1080/PRECIOS!B1079-1),"")</f>
        <v>-0.01411408889</v>
      </c>
      <c r="C1080" s="7">
        <f>IFERROR(IF(OR(PRECIOS!C1080="",PRECIOS!C1079=""),"",PRECIOS!C1080/PRECIOS!C1079-1),"")</f>
        <v>-0.01808358143</v>
      </c>
      <c r="D1080" s="7">
        <f>IFERROR(IF(OR(PRECIOS!D1080="",PRECIOS!D1079=""),"",PRECIOS!D1080/PRECIOS!D1079-1),"")</f>
        <v>0.02706111684</v>
      </c>
      <c r="E1080" s="7">
        <f>IFERROR(IF(OR(PRECIOS!E1080="",PRECIOS!E1079=""),"",PRECIOS!E1080/PRECIOS!E1079-1),"")</f>
        <v>0.02175648113</v>
      </c>
      <c r="F1080" s="7">
        <f>IFERROR(IF(OR(PRECIOS!F1080="",PRECIOS!F1079=""),"",PRECIOS!F1080/PRECIOS!F1079-1),"")</f>
        <v>0.0002586652871</v>
      </c>
      <c r="G1080" s="7">
        <f>IFERROR(IF(OR(PRECIOS!G1080="",PRECIOS!G1079=""),"",PRECIOS!G1080/PRECIOS!G1079-1),"")</f>
        <v>-0.004732127767</v>
      </c>
      <c r="H1080" s="7">
        <f>IFERROR(IF(OR(PRECIOS!H1080="",PRECIOS!H1079=""),"",PRECIOS!H1080/PRECIOS!H1079-1),"")</f>
        <v>-0.01295821695</v>
      </c>
      <c r="I1080" s="7">
        <f>IFERROR(IF(OR(PRECIOS!I1080="",PRECIOS!I1079=""),"",PRECIOS!I1080/PRECIOS!I1079-1),"")</f>
        <v>-0.008408219865</v>
      </c>
    </row>
    <row r="1081" ht="15.75" customHeight="1">
      <c r="A1081" s="4">
        <f>IF(PRECIOS!A1081="","",PRECIOS!A1081)</f>
        <v>45981</v>
      </c>
      <c r="B1081" s="7">
        <f>IFERROR(IF(OR(PRECIOS!B1081="",PRECIOS!B1080=""),"",PRECIOS!B1081/PRECIOS!B1080-1),"")</f>
        <v>-0.002812100554</v>
      </c>
      <c r="C1081" s="7">
        <f>IFERROR(IF(OR(PRECIOS!C1081="",PRECIOS!C1080=""),"",PRECIOS!C1081/PRECIOS!C1080-1),"")</f>
        <v>-0.005390230208</v>
      </c>
      <c r="D1081" s="7">
        <f>IFERROR(IF(OR(PRECIOS!D1081="",PRECIOS!D1080=""),"",PRECIOS!D1081/PRECIOS!D1080-1),"")</f>
        <v>-0.02986491013</v>
      </c>
      <c r="E1081" s="7">
        <f>IFERROR(IF(OR(PRECIOS!E1081="",PRECIOS!E1080=""),"",PRECIOS!E1081/PRECIOS!E1080-1),"")</f>
        <v>-0.05051352524</v>
      </c>
      <c r="F1081" s="7">
        <f>IFERROR(IF(OR(PRECIOS!F1081="",PRECIOS!F1080=""),"",PRECIOS!F1081/PRECIOS!F1080-1),"")</f>
        <v>-0.04292733385</v>
      </c>
      <c r="G1081" s="7">
        <f>IFERROR(IF(OR(PRECIOS!G1081="",PRECIOS!G1080=""),"",PRECIOS!G1081/PRECIOS!G1080-1),"")</f>
        <v>0.0003396162337</v>
      </c>
      <c r="H1081" s="7">
        <f>IFERROR(IF(OR(PRECIOS!H1081="",PRECIOS!H1080=""),"",PRECIOS!H1081/PRECIOS!H1080-1),"")</f>
        <v>-0.0113487178</v>
      </c>
      <c r="I1081" s="7">
        <f>IFERROR(IF(OR(PRECIOS!I1081="",PRECIOS!I1080=""),"",PRECIOS!I1081/PRECIOS!I1080-1),"")</f>
        <v>-0.005085888425</v>
      </c>
    </row>
    <row r="1082" ht="15.75" customHeight="1">
      <c r="A1082" s="4">
        <f>IF(PRECIOS!A1082="","",PRECIOS!A1082)</f>
        <v>45982</v>
      </c>
      <c r="B1082" s="7">
        <f>IFERROR(IF(OR(PRECIOS!B1082="",PRECIOS!B1081=""),"",PRECIOS!B1082/PRECIOS!B1081-1),"")</f>
        <v>0.0005127328662</v>
      </c>
      <c r="C1082" s="7">
        <f>IFERROR(IF(OR(PRECIOS!C1082="",PRECIOS!C1081=""),"",PRECIOS!C1082/PRECIOS!C1081-1),"")</f>
        <v>0.00790335328</v>
      </c>
      <c r="D1082" s="7">
        <f>IFERROR(IF(OR(PRECIOS!D1082="",PRECIOS!D1081=""),"",PRECIOS!D1082/PRECIOS!D1081-1),"")</f>
        <v>-0.02992116923</v>
      </c>
      <c r="E1082" s="7">
        <f>IFERROR(IF(OR(PRECIOS!E1082="",PRECIOS!E1081=""),"",PRECIOS!E1082/PRECIOS!E1081-1),"")</f>
        <v>0.01072549438</v>
      </c>
      <c r="F1082" s="7">
        <f>IFERROR(IF(OR(PRECIOS!F1082="",PRECIOS!F1081=""),"",PRECIOS!F1082/PRECIOS!F1081-1),"")</f>
        <v>-0.03539583896</v>
      </c>
      <c r="G1082" s="7">
        <f>IFERROR(IF(OR(PRECIOS!G1082="",PRECIOS!G1081=""),"",PRECIOS!G1082/PRECIOS!G1081-1),"")</f>
        <v>0.01188253268</v>
      </c>
      <c r="H1082" s="7">
        <f>IFERROR(IF(OR(PRECIOS!H1082="",PRECIOS!H1081=""),"",PRECIOS!H1082/PRECIOS!H1081-1),"")</f>
        <v>0.006303570131</v>
      </c>
      <c r="I1082" s="7">
        <f>IFERROR(IF(OR(PRECIOS!I1082="",PRECIOS!I1081=""),"",PRECIOS!I1082/PRECIOS!I1081-1),"")</f>
        <v>0.001476563841</v>
      </c>
    </row>
    <row r="1083" ht="15.75" customHeight="1">
      <c r="A1083" s="4">
        <f>IF(PRECIOS!A1083="","",PRECIOS!A1083)</f>
        <v>45985</v>
      </c>
      <c r="B1083" s="7">
        <f>IFERROR(IF(OR(PRECIOS!B1083="",PRECIOS!B1082=""),"",PRECIOS!B1083/PRECIOS!B1082-1),"")</f>
        <v>-0.009480696959</v>
      </c>
      <c r="C1083" s="7">
        <f>IFERROR(IF(OR(PRECIOS!C1083="",PRECIOS!C1082=""),"",PRECIOS!C1083/PRECIOS!C1082-1),"")</f>
        <v>-0.001456256301</v>
      </c>
      <c r="D1083" s="7">
        <f>IFERROR(IF(OR(PRECIOS!D1083="",PRECIOS!D1082=""),"",PRECIOS!D1083/PRECIOS!D1082-1),"")</f>
        <v>0.03885165194</v>
      </c>
      <c r="E1083" s="7">
        <f>IFERROR(IF(OR(PRECIOS!E1083="",PRECIOS!E1082=""),"",PRECIOS!E1083/PRECIOS!E1082-1),"")</f>
        <v>-0.003858792319</v>
      </c>
      <c r="F1083" s="7">
        <f>IFERROR(IF(OR(PRECIOS!F1083="",PRECIOS!F1082=""),"",PRECIOS!F1083/PRECIOS!F1082-1),"")</f>
        <v>-0.01148459384</v>
      </c>
      <c r="G1083" s="7">
        <f>IFERROR(IF(OR(PRECIOS!G1083="",PRECIOS!G1082=""),"",PRECIOS!G1083/PRECIOS!G1082-1),"")</f>
        <v>-0.003019627579</v>
      </c>
      <c r="H1083" s="7">
        <f>IFERROR(IF(OR(PRECIOS!H1083="",PRECIOS!H1082=""),"",PRECIOS!H1083/PRECIOS!H1082-1),"")</f>
        <v>-0.002797070294</v>
      </c>
      <c r="I1083" s="7">
        <f>IFERROR(IF(OR(PRECIOS!I1083="",PRECIOS!I1082=""),"",PRECIOS!I1083/PRECIOS!I1082-1),"")</f>
        <v>0.01134477793</v>
      </c>
    </row>
    <row r="1084" ht="15.75" customHeight="1">
      <c r="A1084" s="4">
        <f>IF(PRECIOS!A1084="","",PRECIOS!A1084)</f>
        <v>45986</v>
      </c>
      <c r="B1084" s="7">
        <f>IFERROR(IF(OR(PRECIOS!B1084="",PRECIOS!B1083=""),"",PRECIOS!B1084/PRECIOS!B1083-1),"")</f>
        <v>-0.01258946279</v>
      </c>
      <c r="C1084" s="7">
        <f>IFERROR(IF(OR(PRECIOS!C1084="",PRECIOS!C1083=""),"",PRECIOS!C1084/PRECIOS!C1083-1),"")</f>
        <v>0.001682746242</v>
      </c>
      <c r="D1084" s="7">
        <f>IFERROR(IF(OR(PRECIOS!D1084="",PRECIOS!D1083=""),"",PRECIOS!D1084/PRECIOS!D1083-1),"")</f>
        <v>-0.02455178714</v>
      </c>
      <c r="E1084" s="7">
        <f>IFERROR(IF(OR(PRECIOS!E1084="",PRECIOS!E1083=""),"",PRECIOS!E1084/PRECIOS!E1083-1),"")</f>
        <v>0.01882395666</v>
      </c>
      <c r="F1084" s="7">
        <f>IFERROR(IF(OR(PRECIOS!F1084="",PRECIOS!F1083=""),"",PRECIOS!F1084/PRECIOS!F1083-1),"")</f>
        <v>0.001416831964</v>
      </c>
      <c r="G1084" s="7">
        <f>IFERROR(IF(OR(PRECIOS!G1084="",PRECIOS!G1083=""),"",PRECIOS!G1084/PRECIOS!G1083-1),"")</f>
        <v>-0.001009591116</v>
      </c>
      <c r="H1084" s="7">
        <f>IFERROR(IF(OR(PRECIOS!H1084="",PRECIOS!H1083=""),"",PRECIOS!H1084/PRECIOS!H1083-1),"")</f>
        <v>-0.006279392238</v>
      </c>
      <c r="I1084" s="7">
        <f>IFERROR(IF(OR(PRECIOS!I1084="",PRECIOS!I1083=""),"",PRECIOS!I1084/PRECIOS!I1083-1),"")</f>
        <v>-0.003813006715</v>
      </c>
    </row>
    <row r="1085" ht="15.75" customHeight="1">
      <c r="A1085" s="4">
        <f>IF(PRECIOS!A1085="","",PRECIOS!A1085)</f>
        <v>45987</v>
      </c>
      <c r="B1085" s="7">
        <f>IFERROR(IF(OR(PRECIOS!B1085="",PRECIOS!B1084=""),"",PRECIOS!B1085/PRECIOS!B1084-1),"")</f>
        <v>0.002270544057</v>
      </c>
      <c r="C1085" s="7">
        <f>IFERROR(IF(OR(PRECIOS!C1085="",PRECIOS!C1084=""),"",PRECIOS!C1085/PRECIOS!C1084-1),"")</f>
        <v>0.0106394893</v>
      </c>
      <c r="D1085" s="7">
        <f>IFERROR(IF(OR(PRECIOS!D1085="",PRECIOS!D1084=""),"",PRECIOS!D1085/PRECIOS!D1084-1),"")</f>
        <v>0.03488644346</v>
      </c>
      <c r="E1085" s="7">
        <f>IFERROR(IF(OR(PRECIOS!E1085="",PRECIOS!E1084=""),"",PRECIOS!E1085/PRECIOS!E1084-1),"")</f>
        <v>0.01497103817</v>
      </c>
      <c r="F1085" s="7">
        <f>IFERROR(IF(OR(PRECIOS!F1085="",PRECIOS!F1084=""),"",PRECIOS!F1085/PRECIOS!F1084-1),"")</f>
        <v>0.02037351443</v>
      </c>
      <c r="G1085" s="7">
        <f>IFERROR(IF(OR(PRECIOS!G1085="",PRECIOS!G1084=""),"",PRECIOS!G1085/PRECIOS!G1084-1),"")</f>
        <v>0.01431699512</v>
      </c>
      <c r="H1085" s="7">
        <f>IFERROR(IF(OR(PRECIOS!H1085="",PRECIOS!H1084=""),"",PRECIOS!H1085/PRECIOS!H1084-1),"")</f>
        <v>0.007561944435</v>
      </c>
      <c r="I1085" s="7">
        <f>IFERROR(IF(OR(PRECIOS!I1085="",PRECIOS!I1084=""),"",PRECIOS!I1085/PRECIOS!I1084-1),"")</f>
        <v>0.01328656414</v>
      </c>
    </row>
    <row r="1086" ht="15.75" customHeight="1">
      <c r="A1086" s="4">
        <f>IF(PRECIOS!A1086="","",PRECIOS!A1086)</f>
        <v>45989</v>
      </c>
      <c r="B1086" s="7">
        <f>IFERROR(IF(OR(PRECIOS!B1086="",PRECIOS!B1085=""),"",PRECIOS!B1086/PRECIOS!B1085-1),"")</f>
        <v>0.01002004008</v>
      </c>
      <c r="C1086" s="7">
        <f>IFERROR(IF(OR(PRECIOS!C1086="",PRECIOS!C1085=""),"",PRECIOS!C1086/PRECIOS!C1085-1),"")</f>
        <v>0.00975177305</v>
      </c>
      <c r="D1086" s="7">
        <f>IFERROR(IF(OR(PRECIOS!D1086="",PRECIOS!D1085=""),"",PRECIOS!D1086/PRECIOS!D1085-1),"")</f>
        <v>0.01165158371</v>
      </c>
      <c r="E1086" s="7">
        <f>IFERROR(IF(OR(PRECIOS!E1086="",PRECIOS!E1085=""),"",PRECIOS!E1086/PRECIOS!E1085-1),"")</f>
        <v>0.01229184348</v>
      </c>
      <c r="F1086" s="7">
        <f>IFERROR(IF(OR(PRECIOS!F1086="",PRECIOS!F1085=""),"",PRECIOS!F1086/PRECIOS!F1085-1),"")</f>
        <v>0.02107598447</v>
      </c>
      <c r="G1086" s="7">
        <f>IFERROR(IF(OR(PRECIOS!G1086="",PRECIOS!G1085=""),"",PRECIOS!G1086/PRECIOS!G1085-1),"")</f>
        <v>0.01179010296</v>
      </c>
      <c r="H1086" s="7">
        <f>IFERROR(IF(OR(PRECIOS!H1086="",PRECIOS!H1085=""),"",PRECIOS!H1086/PRECIOS!H1085-1),"")</f>
        <v>0.01310358383</v>
      </c>
      <c r="I1086" s="7">
        <f>IFERROR(IF(OR(PRECIOS!I1086="",PRECIOS!I1085=""),"",PRECIOS!I1086/PRECIOS!I1085-1),"")</f>
        <v>0.007111477333</v>
      </c>
    </row>
    <row r="1087" ht="15.75" customHeight="1">
      <c r="A1087" s="4">
        <f>IF(PRECIOS!A1087="","",PRECIOS!A1087)</f>
        <v>45992</v>
      </c>
      <c r="B1087" s="7">
        <f>IFERROR(IF(OR(PRECIOS!B1087="",PRECIOS!B1086=""),"",PRECIOS!B1087/PRECIOS!B1086-1),"")</f>
        <v>0.006124913734</v>
      </c>
      <c r="C1087" s="7">
        <f>IFERROR(IF(OR(PRECIOS!C1087="",PRECIOS!C1086=""),"",PRECIOS!C1087/PRECIOS!C1086-1),"")</f>
        <v>-0.02315627744</v>
      </c>
      <c r="D1087" s="7">
        <f>IFERROR(IF(OR(PRECIOS!D1087="",PRECIOS!D1086=""),"",PRECIOS!D1087/PRECIOS!D1086-1),"")</f>
        <v>-0.0291848373</v>
      </c>
      <c r="E1087" s="7">
        <f>IFERROR(IF(OR(PRECIOS!E1087="",PRECIOS!E1086=""),"",PRECIOS!E1087/PRECIOS!E1086-1),"")</f>
        <v>-0.01786695192</v>
      </c>
      <c r="F1087" s="7">
        <f>IFERROR(IF(OR(PRECIOS!F1087="",PRECIOS!F1086=""),"",PRECIOS!F1087/PRECIOS!F1086-1),"")</f>
        <v>-0.01059206953</v>
      </c>
      <c r="G1087" s="7">
        <f>IFERROR(IF(OR(PRECIOS!G1087="",PRECIOS!G1086=""),"",PRECIOS!G1087/PRECIOS!G1086-1),"")</f>
        <v>0.008370260955</v>
      </c>
      <c r="H1087" s="7">
        <f>IFERROR(IF(OR(PRECIOS!H1087="",PRECIOS!H1086=""),"",PRECIOS!H1087/PRECIOS!H1086-1),"")</f>
        <v>0.009618064925</v>
      </c>
      <c r="I1087" s="7">
        <f>IFERROR(IF(OR(PRECIOS!I1087="",PRECIOS!I1086=""),"",PRECIOS!I1087/PRECIOS!I1086-1),"")</f>
        <v>-0.02339153983</v>
      </c>
    </row>
    <row r="1088" ht="15.75" customHeight="1">
      <c r="A1088" s="4">
        <f>IF(PRECIOS!A1088="","",PRECIOS!A1088)</f>
        <v>45993</v>
      </c>
      <c r="B1088" s="7">
        <f>IFERROR(IF(OR(PRECIOS!B1088="",PRECIOS!B1087=""),"",PRECIOS!B1088/PRECIOS!B1087-1),"")</f>
        <v>-0.01071765412</v>
      </c>
      <c r="C1088" s="7">
        <f>IFERROR(IF(OR(PRECIOS!C1088="",PRECIOS!C1087=""),"",PRECIOS!C1088/PRECIOS!C1087-1),"")</f>
        <v>0.0003370407819</v>
      </c>
      <c r="D1088" s="7">
        <f>IFERROR(IF(OR(PRECIOS!D1088="",PRECIOS!D1087=""),"",PRECIOS!D1088/PRECIOS!D1087-1),"")</f>
        <v>-0.006277355448</v>
      </c>
      <c r="E1088" s="7">
        <f>IFERROR(IF(OR(PRECIOS!E1088="",PRECIOS!E1087=""),"",PRECIOS!E1088/PRECIOS!E1087-1),"")</f>
        <v>-0.01942833593</v>
      </c>
      <c r="F1088" s="7">
        <f>IFERROR(IF(OR(PRECIOS!F1088="",PRECIOS!F1087=""),"",PRECIOS!F1088/PRECIOS!F1087-1),"")</f>
        <v>-0.008783969256</v>
      </c>
      <c r="G1088" s="7">
        <f>IFERROR(IF(OR(PRECIOS!G1088="",PRECIOS!G1087=""),"",PRECIOS!G1088/PRECIOS!G1087-1),"")</f>
        <v>-0.02001953125</v>
      </c>
      <c r="H1088" s="7">
        <f>IFERROR(IF(OR(PRECIOS!H1088="",PRECIOS!H1087=""),"",PRECIOS!H1088/PRECIOS!H1087-1),"")</f>
        <v>-0.0129213235</v>
      </c>
      <c r="I1088" s="7">
        <f>IFERROR(IF(OR(PRECIOS!I1088="",PRECIOS!I1087=""),"",PRECIOS!I1088/PRECIOS!I1087-1),"")</f>
        <v>-0.007118839313</v>
      </c>
    </row>
    <row r="1089" ht="15.75" customHeight="1">
      <c r="A1089" s="4">
        <f>IF(PRECIOS!A1089="","",PRECIOS!A1089)</f>
        <v>45994</v>
      </c>
      <c r="B1089" s="7">
        <f>IFERROR(IF(OR(PRECIOS!B1089="",PRECIOS!B1088=""),"",PRECIOS!B1089/PRECIOS!B1088-1),"")</f>
        <v>0.0209741723</v>
      </c>
      <c r="C1089" s="7">
        <f>IFERROR(IF(OR(PRECIOS!C1089="",PRECIOS!C1088=""),"",PRECIOS!C1089/PRECIOS!C1088-1),"")</f>
        <v>-0.0119047619</v>
      </c>
      <c r="D1089" s="7">
        <f>IFERROR(IF(OR(PRECIOS!D1089="",PRECIOS!D1088=""),"",PRECIOS!D1089/PRECIOS!D1088-1),"")</f>
        <v>-0.005215879455</v>
      </c>
      <c r="E1089" s="7">
        <f>IFERROR(IF(OR(PRECIOS!E1089="",PRECIOS!E1088=""),"",PRECIOS!E1089/PRECIOS!E1088-1),"")</f>
        <v>0.007384947915</v>
      </c>
      <c r="F1089" s="7">
        <f>IFERROR(IF(OR(PRECIOS!F1089="",PRECIOS!F1088=""),"",PRECIOS!F1089/PRECIOS!F1088-1),"")</f>
        <v>0.03157020216</v>
      </c>
      <c r="G1089" s="7">
        <f>IFERROR(IF(OR(PRECIOS!G1089="",PRECIOS!G1088=""),"",PRECIOS!G1089/PRECIOS!G1088-1),"")</f>
        <v>0.0222554393</v>
      </c>
      <c r="H1089" s="7">
        <f>IFERROR(IF(OR(PRECIOS!H1089="",PRECIOS!H1088=""),"",PRECIOS!H1089/PRECIOS!H1088-1),"")</f>
        <v>0.01874958043</v>
      </c>
      <c r="I1089" s="7">
        <f>IFERROR(IF(OR(PRECIOS!I1089="",PRECIOS!I1088=""),"",PRECIOS!I1089/PRECIOS!I1088-1),"")</f>
        <v>-0.003184830211</v>
      </c>
    </row>
    <row r="1090" ht="15.75" customHeight="1">
      <c r="A1090" s="4">
        <f>IF(PRECIOS!A1090="","",PRECIOS!A1090)</f>
        <v>45995</v>
      </c>
      <c r="B1090" s="7">
        <f>IFERROR(IF(OR(PRECIOS!B1090="",PRECIOS!B1089=""),"",PRECIOS!B1090/PRECIOS!B1089-1),"")</f>
        <v>-0.005602716469</v>
      </c>
      <c r="C1090" s="7">
        <f>IFERROR(IF(OR(PRECIOS!C1090="",PRECIOS!C1089=""),"",PRECIOS!C1090/PRECIOS!C1089-1),"")</f>
        <v>-0.007388042737</v>
      </c>
      <c r="D1090" s="7">
        <f>IFERROR(IF(OR(PRECIOS!D1090="",PRECIOS!D1089=""),"",PRECIOS!D1090/PRECIOS!D1089-1),"")</f>
        <v>0.02575007282</v>
      </c>
      <c r="E1090" s="7">
        <f>IFERROR(IF(OR(PRECIOS!E1090="",PRECIOS!E1089=""),"",PRECIOS!E1090/PRECIOS!E1089-1),"")</f>
        <v>0.01001281402</v>
      </c>
      <c r="F1090" s="7">
        <f>IFERROR(IF(OR(PRECIOS!F1090="",PRECIOS!F1089=""),"",PRECIOS!F1090/PRECIOS!F1089-1),"")</f>
        <v>-0.01637583893</v>
      </c>
      <c r="G1090" s="7">
        <f>IFERROR(IF(OR(PRECIOS!G1090="",PRECIOS!G1089=""),"",PRECIOS!G1090/PRECIOS!G1089-1),"")</f>
        <v>0.0342810723</v>
      </c>
      <c r="H1090" s="7">
        <f>IFERROR(IF(OR(PRECIOS!H1090="",PRECIOS!H1089=""),"",PRECIOS!H1090/PRECIOS!H1089-1),"")</f>
        <v>0.00424584147</v>
      </c>
      <c r="I1090" s="7">
        <f>IFERROR(IF(OR(PRECIOS!I1090="",PRECIOS!I1089=""),"",PRECIOS!I1090/PRECIOS!I1089-1),"")</f>
        <v>-0.002054096577</v>
      </c>
    </row>
    <row r="1091" ht="15.75" customHeight="1">
      <c r="A1091" s="4">
        <f>IF(PRECIOS!A1091="","",PRECIOS!A1091)</f>
        <v>45996</v>
      </c>
      <c r="B1091" s="7">
        <f>IFERROR(IF(OR(PRECIOS!B1091="",PRECIOS!B1090=""),"",PRECIOS!B1091/PRECIOS!B1090-1),"")</f>
        <v>-0.005122076148</v>
      </c>
      <c r="C1091" s="7">
        <f>IFERROR(IF(OR(PRECIOS!C1091="",PRECIOS!C1090=""),"",PRECIOS!C1091/PRECIOS!C1090-1),"")</f>
        <v>-0.01202335967</v>
      </c>
      <c r="D1091" s="7">
        <f>IFERROR(IF(OR(PRECIOS!D1091="",PRECIOS!D1090=""),"",PRECIOS!D1091/PRECIOS!D1090-1),"")</f>
        <v>-0.05054807747</v>
      </c>
      <c r="E1091" s="7">
        <f>IFERROR(IF(OR(PRECIOS!E1091="",PRECIOS!E1090=""),"",PRECIOS!E1091/PRECIOS!E1090-1),"")</f>
        <v>-0.003747086419</v>
      </c>
      <c r="F1091" s="7">
        <f>IFERROR(IF(OR(PRECIOS!F1091="",PRECIOS!F1090=""),"",PRECIOS!F1091/PRECIOS!F1090-1),"")</f>
        <v>-0.02319868996</v>
      </c>
      <c r="G1091" s="7">
        <f>IFERROR(IF(OR(PRECIOS!G1091="",PRECIOS!G1090=""),"",PRECIOS!G1091/PRECIOS!G1090-1),"")</f>
        <v>-0.01335218347</v>
      </c>
      <c r="H1091" s="7">
        <f>IFERROR(IF(OR(PRECIOS!H1091="",PRECIOS!H1090=""),"",PRECIOS!H1091/PRECIOS!H1090-1),"")</f>
        <v>-0.004120716882</v>
      </c>
      <c r="I1091" s="7">
        <f>IFERROR(IF(OR(PRECIOS!I1091="",PRECIOS!I1090=""),"",PRECIOS!I1091/PRECIOS!I1090-1),"")</f>
        <v>-0.009381165754</v>
      </c>
    </row>
    <row r="1092" ht="15.75" customHeight="1">
      <c r="A1092" s="4">
        <f>IF(PRECIOS!A1092="","",PRECIOS!A1092)</f>
        <v>45999</v>
      </c>
      <c r="B1092" s="7">
        <f>IFERROR(IF(OR(PRECIOS!B1092="",PRECIOS!B1091=""),"",PRECIOS!B1092/PRECIOS!B1091-1),"")</f>
        <v>-0.004805217093</v>
      </c>
      <c r="C1092" s="7">
        <f>IFERROR(IF(OR(PRECIOS!C1092="",PRECIOS!C1091=""),"",PRECIOS!C1092/PRECIOS!C1091-1),"")</f>
        <v>-0.008344923505</v>
      </c>
      <c r="D1092" s="7">
        <f>IFERROR(IF(OR(PRECIOS!D1092="",PRECIOS!D1091=""),"",PRECIOS!D1092/PRECIOS!D1091-1),"")</f>
        <v>-0.006281031286</v>
      </c>
      <c r="E1092" s="7">
        <f>IFERROR(IF(OR(PRECIOS!E1092="",PRECIOS!E1091=""),"",PRECIOS!E1092/PRECIOS!E1091-1),"")</f>
        <v>0.01696973287</v>
      </c>
      <c r="F1092" s="7">
        <f>IFERROR(IF(OR(PRECIOS!F1092="",PRECIOS!F1091=""),"",PRECIOS!F1092/PRECIOS!F1091-1),"")</f>
        <v>0.004191114837</v>
      </c>
      <c r="G1092" s="7">
        <f>IFERROR(IF(OR(PRECIOS!G1092="",PRECIOS!G1091=""),"",PRECIOS!G1092/PRECIOS!G1091-1),"")</f>
        <v>-0.01369208725</v>
      </c>
      <c r="H1092" s="7">
        <f>IFERROR(IF(OR(PRECIOS!H1092="",PRECIOS!H1091=""),"",PRECIOS!H1092/PRECIOS!H1091-1),"")</f>
        <v>-0.01088689663</v>
      </c>
      <c r="I1092" s="7">
        <f>IFERROR(IF(OR(PRECIOS!I1092="",PRECIOS!I1091=""),"",PRECIOS!I1092/PRECIOS!I1091-1),"")</f>
        <v>-0.0133952878</v>
      </c>
    </row>
    <row r="1093" ht="15.75" customHeight="1">
      <c r="A1093" s="4">
        <f>IF(PRECIOS!A1093="","",PRECIOS!A1093)</f>
        <v>46000</v>
      </c>
      <c r="B1093" s="7">
        <f>IFERROR(IF(OR(PRECIOS!B1093="",PRECIOS!B1092=""),"",PRECIOS!B1093/PRECIOS!B1092-1),"")</f>
        <v>0.01957234006</v>
      </c>
      <c r="C1093" s="7">
        <f>IFERROR(IF(OR(PRECIOS!C1093="",PRECIOS!C1092=""),"",PRECIOS!C1093/PRECIOS!C1092-1),"")</f>
        <v>-0.0008181393174</v>
      </c>
      <c r="D1093" s="7">
        <f>IFERROR(IF(OR(PRECIOS!D1093="",PRECIOS!D1092=""),"",PRECIOS!D1093/PRECIOS!D1092-1),"")</f>
        <v>-0.007885865639</v>
      </c>
      <c r="E1093" s="7">
        <f>IFERROR(IF(OR(PRECIOS!E1093="",PRECIOS!E1092=""),"",PRECIOS!E1093/PRECIOS!E1092-1),"")</f>
        <v>-0.004746789365</v>
      </c>
      <c r="F1093" s="7">
        <f>IFERROR(IF(OR(PRECIOS!F1093="",PRECIOS!F1092=""),"",PRECIOS!F1093/PRECIOS!F1092-1),"")</f>
        <v>-0.005843071786</v>
      </c>
      <c r="G1093" s="7">
        <f>IFERROR(IF(OR(PRECIOS!G1093="",PRECIOS!G1092=""),"",PRECIOS!G1093/PRECIOS!G1092-1),"")</f>
        <v>-0.006456820016</v>
      </c>
      <c r="H1093" s="7">
        <f>IFERROR(IF(OR(PRECIOS!H1093="",PRECIOS!H1092=""),"",PRECIOS!H1093/PRECIOS!H1092-1),"")</f>
        <v>0.006163944036</v>
      </c>
      <c r="I1093" s="7">
        <f>IFERROR(IF(OR(PRECIOS!I1093="",PRECIOS!I1092=""),"",PRECIOS!I1093/PRECIOS!I1092-1),"")</f>
        <v>0.0007027953804</v>
      </c>
    </row>
    <row r="1094" ht="15.75" customHeight="1">
      <c r="A1094" s="4">
        <f>IF(PRECIOS!A1094="","",PRECIOS!A1094)</f>
        <v>46001</v>
      </c>
      <c r="B1094" s="7">
        <f>IFERROR(IF(OR(PRECIOS!B1094="",PRECIOS!B1093=""),"",PRECIOS!B1094/PRECIOS!B1093-1),"")</f>
        <v>0.01090909091</v>
      </c>
      <c r="C1094" s="7">
        <f>IFERROR(IF(OR(PRECIOS!C1094="",PRECIOS!C1093=""),"",PRECIOS!C1094/PRECIOS!C1093-1),"")</f>
        <v>-0.01649315709</v>
      </c>
      <c r="D1094" s="7">
        <f>IFERROR(IF(OR(PRECIOS!D1094="",PRECIOS!D1093=""),"",PRECIOS!D1094/PRECIOS!D1093-1),"")</f>
        <v>0.002184333475</v>
      </c>
      <c r="E1094" s="7">
        <f>IFERROR(IF(OR(PRECIOS!E1094="",PRECIOS!E1093=""),"",PRECIOS!E1094/PRECIOS!E1093-1),"")</f>
        <v>0.03420529026</v>
      </c>
      <c r="F1094" s="7">
        <f>IFERROR(IF(OR(PRECIOS!F1094="",PRECIOS!F1093=""),"",PRECIOS!F1094/PRECIOS!F1093-1),"")</f>
        <v>0.009515813042</v>
      </c>
      <c r="G1094" s="7">
        <f>IFERROR(IF(OR(PRECIOS!G1094="",PRECIOS!G1093=""),"",PRECIOS!G1094/PRECIOS!G1093-1),"")</f>
        <v>-0.01705930138</v>
      </c>
      <c r="H1094" s="7">
        <f>IFERROR(IF(OR(PRECIOS!H1094="",PRECIOS!H1093=""),"",PRECIOS!H1094/PRECIOS!H1093-1),"")</f>
        <v>0.0105045494</v>
      </c>
      <c r="I1094" s="7">
        <f>IFERROR(IF(OR(PRECIOS!I1094="",PRECIOS!I1093=""),"",PRECIOS!I1094/PRECIOS!I1093-1),"")</f>
        <v>-0.0004689867765</v>
      </c>
    </row>
    <row r="1095" ht="15.75" customHeight="1">
      <c r="A1095" s="4">
        <f>IF(PRECIOS!A1095="","",PRECIOS!A1095)</f>
        <v>46002</v>
      </c>
      <c r="B1095" s="7">
        <f>IFERROR(IF(OR(PRECIOS!B1095="",PRECIOS!B1094=""),"",PRECIOS!B1095/PRECIOS!B1094-1),"")</f>
        <v>0</v>
      </c>
      <c r="C1095" s="7">
        <f>IFERROR(IF(OR(PRECIOS!C1095="",PRECIOS!C1094=""),"",PRECIOS!C1095/PRECIOS!C1094-1),"")</f>
        <v>0.007730732636</v>
      </c>
      <c r="D1095" s="7">
        <f>IFERROR(IF(OR(PRECIOS!D1095="",PRECIOS!D1094=""),"",PRECIOS!D1095/PRECIOS!D1094-1),"")</f>
        <v>0.05709269238</v>
      </c>
      <c r="E1095" s="7">
        <f>IFERROR(IF(OR(PRECIOS!E1095="",PRECIOS!E1094=""),"",PRECIOS!E1095/PRECIOS!E1094-1),"")</f>
        <v>-0.008742396379</v>
      </c>
      <c r="F1095" s="7">
        <f>IFERROR(IF(OR(PRECIOS!F1095="",PRECIOS!F1094=""),"",PRECIOS!F1095/PRECIOS!F1094-1),"")</f>
        <v>-0.01441641253</v>
      </c>
      <c r="G1095" s="7">
        <f>IFERROR(IF(OR(PRECIOS!G1095="",PRECIOS!G1094=""),"",PRECIOS!G1095/PRECIOS!G1094-1),"")</f>
        <v>0.00694214876</v>
      </c>
      <c r="H1095" s="7">
        <f>IFERROR(IF(OR(PRECIOS!H1095="",PRECIOS!H1094=""),"",PRECIOS!H1095/PRECIOS!H1094-1),"")</f>
        <v>-0.004765263804</v>
      </c>
      <c r="I1095" s="7">
        <f>IFERROR(IF(OR(PRECIOS!I1095="",PRECIOS!I1094=""),"",PRECIOS!I1095/PRECIOS!I1094-1),"")</f>
        <v>0.007255022164</v>
      </c>
    </row>
    <row r="1096" ht="15.75" customHeight="1">
      <c r="A1096" s="4">
        <f>IF(PRECIOS!A1096="","",PRECIOS!A1096)</f>
        <v>46003</v>
      </c>
      <c r="B1096" s="7">
        <f>IFERROR(IF(OR(PRECIOS!B1096="",PRECIOS!B1095=""),"",PRECIOS!B1096/PRECIOS!B1095-1),"")</f>
        <v>-0.006023088506</v>
      </c>
      <c r="C1096" s="7">
        <f>IFERROR(IF(OR(PRECIOS!C1096="",PRECIOS!C1095=""),"",PRECIOS!C1096/PRECIOS!C1095-1),"")</f>
        <v>-0.00342263661</v>
      </c>
      <c r="D1096" s="7">
        <f>IFERROR(IF(OR(PRECIOS!D1096="",PRECIOS!D1095=""),"",PRECIOS!D1096/PRECIOS!D1095-1),"")</f>
        <v>-0.02577319588</v>
      </c>
      <c r="E1096" s="7">
        <f>IFERROR(IF(OR(PRECIOS!E1096="",PRECIOS!E1095=""),"",PRECIOS!E1096/PRECIOS!E1095-1),"")</f>
        <v>-0.05246032652</v>
      </c>
      <c r="F1096" s="7">
        <f>IFERROR(IF(OR(PRECIOS!F1096="",PRECIOS!F1095=""),"",PRECIOS!F1096/PRECIOS!F1095-1),"")</f>
        <v>-0.01462728551</v>
      </c>
      <c r="G1096" s="7">
        <f>IFERROR(IF(OR(PRECIOS!G1096="",PRECIOS!G1095=""),"",PRECIOS!G1096/PRECIOS!G1095-1),"")</f>
        <v>-0.01936966513</v>
      </c>
      <c r="H1096" s="7">
        <f>IFERROR(IF(OR(PRECIOS!H1096="",PRECIOS!H1095=""),"",PRECIOS!H1096/PRECIOS!H1095-1),"")</f>
        <v>-0.009791207224</v>
      </c>
      <c r="I1096" s="7">
        <f>IFERROR(IF(OR(PRECIOS!I1096="",PRECIOS!I1095=""),"",PRECIOS!I1096/PRECIOS!I1095-1),"")</f>
        <v>-0.004878311411</v>
      </c>
    </row>
    <row r="1097" ht="15.75" customHeight="1">
      <c r="A1097" s="4">
        <f>IF(PRECIOS!A1097="","",PRECIOS!A1097)</f>
        <v>46006</v>
      </c>
      <c r="B1097" s="7">
        <f>IFERROR(IF(OR(PRECIOS!B1097="",PRECIOS!B1096=""),"",PRECIOS!B1097/PRECIOS!B1096-1),"")</f>
        <v>-0.008921057061</v>
      </c>
      <c r="C1097" s="7">
        <f>IFERROR(IF(OR(PRECIOS!C1097="",PRECIOS!C1096=""),"",PRECIOS!C1097/PRECIOS!C1096-1),"")</f>
        <v>0.01847465656</v>
      </c>
      <c r="D1097" s="7">
        <f>IFERROR(IF(OR(PRECIOS!D1097="",PRECIOS!D1096=""),"",PRECIOS!D1097/PRECIOS!D1096-1),"")</f>
        <v>-0.01087595532</v>
      </c>
      <c r="E1097" s="7">
        <f>IFERROR(IF(OR(PRECIOS!E1097="",PRECIOS!E1096=""),"",PRECIOS!E1097/PRECIOS!E1096-1),"")</f>
        <v>0.003705042472</v>
      </c>
      <c r="F1097" s="7">
        <f>IFERROR(IF(OR(PRECIOS!F1097="",PRECIOS!F1096=""),"",PRECIOS!F1097/PRECIOS!F1096-1),"")</f>
        <v>0.00228375678</v>
      </c>
      <c r="G1097" s="7">
        <f>IFERROR(IF(OR(PRECIOS!G1097="",PRECIOS!G1096=""),"",PRECIOS!G1097/PRECIOS!G1096-1),"")</f>
        <v>-0.004352192836</v>
      </c>
      <c r="H1097" s="7">
        <f>IFERROR(IF(OR(PRECIOS!H1097="",PRECIOS!H1096=""),"",PRECIOS!H1097/PRECIOS!H1096-1),"")</f>
        <v>-0.0070315322</v>
      </c>
      <c r="I1097" s="7">
        <f>IFERROR(IF(OR(PRECIOS!I1097="",PRECIOS!I1096=""),"",PRECIOS!I1097/PRECIOS!I1096-1),"")</f>
        <v>0.009105814219</v>
      </c>
    </row>
    <row r="1098" ht="15.75" customHeight="1">
      <c r="A1098" s="4">
        <f>IF(PRECIOS!A1098="","",PRECIOS!A1098)</f>
        <v>46007</v>
      </c>
      <c r="B1098" s="7">
        <f>IFERROR(IF(OR(PRECIOS!B1098="",PRECIOS!B1097=""),"",PRECIOS!B1098/PRECIOS!B1097-1),"")</f>
        <v>-0.0261548913</v>
      </c>
      <c r="C1098" s="7">
        <f>IFERROR(IF(OR(PRECIOS!C1098="",PRECIOS!C1097=""),"",PRECIOS!C1098/PRECIOS!C1097-1),"")</f>
        <v>-0.003372093023</v>
      </c>
      <c r="D1098" s="7">
        <f>IFERROR(IF(OR(PRECIOS!D1098="",PRECIOS!D1097=""),"",PRECIOS!D1098/PRECIOS!D1097-1),"")</f>
        <v>0.0309063893</v>
      </c>
      <c r="E1098" s="7">
        <f>IFERROR(IF(OR(PRECIOS!E1098="",PRECIOS!E1097=""),"",PRECIOS!E1098/PRECIOS!E1097-1),"")</f>
        <v>-0.009843642148</v>
      </c>
      <c r="F1098" s="7">
        <f>IFERROR(IF(OR(PRECIOS!F1098="",PRECIOS!F1097=""),"",PRECIOS!F1098/PRECIOS!F1097-1),"")</f>
        <v>-0.02762745657</v>
      </c>
      <c r="G1098" s="7">
        <f>IFERROR(IF(OR(PRECIOS!G1098="",PRECIOS!G1097=""),"",PRECIOS!G1098/PRECIOS!G1097-1),"")</f>
        <v>-0.01798924008</v>
      </c>
      <c r="H1098" s="7">
        <f>IFERROR(IF(OR(PRECIOS!H1098="",PRECIOS!H1097=""),"",PRECIOS!H1098/PRECIOS!H1097-1),"")</f>
        <v>-0.03053695769</v>
      </c>
      <c r="I1098" s="7">
        <f>IFERROR(IF(OR(PRECIOS!I1098="",PRECIOS!I1097=""),"",PRECIOS!I1098/PRECIOS!I1097-1),"")</f>
        <v>-0.004165656528</v>
      </c>
    </row>
    <row r="1099" ht="15.75" customHeight="1">
      <c r="A1099" s="4">
        <f>IF(PRECIOS!A1099="","",PRECIOS!A1099)</f>
        <v>46008</v>
      </c>
      <c r="B1099" s="7">
        <f>IFERROR(IF(OR(PRECIOS!B1099="",PRECIOS!B1098=""),"",PRECIOS!B1099/PRECIOS!B1098-1),"")</f>
        <v>0.02380537147</v>
      </c>
      <c r="C1099" s="7">
        <f>IFERROR(IF(OR(PRECIOS!C1099="",PRECIOS!C1098=""),"",PRECIOS!C1099/PRECIOS!C1098-1),"")</f>
        <v>0.01540077004</v>
      </c>
      <c r="D1099" s="7">
        <f>IFERROR(IF(OR(PRECIOS!D1099="",PRECIOS!D1098=""),"",PRECIOS!D1099/PRECIOS!D1098-1),"")</f>
        <v>-0.0777169213</v>
      </c>
      <c r="E1099" s="7">
        <f>IFERROR(IF(OR(PRECIOS!E1099="",PRECIOS!E1098=""),"",PRECIOS!E1099/PRECIOS!E1098-1),"")</f>
        <v>-0.04276664747</v>
      </c>
      <c r="F1099" s="7">
        <f>IFERROR(IF(OR(PRECIOS!F1099="",PRECIOS!F1098=""),"",PRECIOS!F1099/PRECIOS!F1098-1),"")</f>
        <v>-0.002343292326</v>
      </c>
      <c r="G1099" s="7">
        <f>IFERROR(IF(OR(PRECIOS!G1099="",PRECIOS!G1098=""),"",PRECIOS!G1099/PRECIOS!G1098-1),"")</f>
        <v>0.007361753124</v>
      </c>
      <c r="H1099" s="7">
        <f>IFERROR(IF(OR(PRECIOS!H1099="",PRECIOS!H1098=""),"",PRECIOS!H1099/PRECIOS!H1098-1),"")</f>
        <v>0.02214103689</v>
      </c>
      <c r="I1099" s="7">
        <f>IFERROR(IF(OR(PRECIOS!I1099="",PRECIOS!I1098=""),"",PRECIOS!I1099/PRECIOS!I1098-1),"")</f>
        <v>-0.006505195495</v>
      </c>
    </row>
    <row r="1100" ht="15.75" customHeight="1">
      <c r="A1100" s="4">
        <f>IF(PRECIOS!A1100="","",PRECIOS!A1100)</f>
        <v>46009</v>
      </c>
      <c r="B1100" s="7">
        <f>IFERROR(IF(OR(PRECIOS!B1100="",PRECIOS!B1099=""),"",PRECIOS!B1100/PRECIOS!B1099-1),"")</f>
        <v>-0.007409931011</v>
      </c>
      <c r="C1100" s="7">
        <f>IFERROR(IF(OR(PRECIOS!C1100="",PRECIOS!C1099=""),"",PRECIOS!C1100/PRECIOS!C1099-1),"")</f>
        <v>0.002183155234</v>
      </c>
      <c r="D1100" s="7">
        <f>IFERROR(IF(OR(PRECIOS!D1100="",PRECIOS!D1099=""),"",PRECIOS!D1100/PRECIOS!D1099-1),"")</f>
        <v>0.03875726699</v>
      </c>
      <c r="E1100" s="7">
        <f>IFERROR(IF(OR(PRECIOS!E1100="",PRECIOS!E1099=""),"",PRECIOS!E1100/PRECIOS!E1099-1),"")</f>
        <v>0.0004116268761</v>
      </c>
      <c r="F1100" s="7">
        <f>IFERROR(IF(OR(PRECIOS!F1100="",PRECIOS!F1099=""),"",PRECIOS!F1100/PRECIOS!F1099-1),"")</f>
        <v>0.04550792719</v>
      </c>
      <c r="G1100" s="7">
        <f>IFERROR(IF(OR(PRECIOS!G1100="",PRECIOS!G1099=""),"",PRECIOS!G1100/PRECIOS!G1099-1),"")</f>
        <v>-0.00305914344</v>
      </c>
      <c r="H1100" s="7">
        <f>IFERROR(IF(OR(PRECIOS!H1100="",PRECIOS!H1099=""),"",PRECIOS!H1100/PRECIOS!H1099-1),"")</f>
        <v>-0.01451527538</v>
      </c>
      <c r="I1100" s="7">
        <f>IFERROR(IF(OR(PRECIOS!I1100="",PRECIOS!I1099=""),"",PRECIOS!I1100/PRECIOS!I1099-1),"")</f>
        <v>0.009822863309</v>
      </c>
    </row>
    <row r="1101" ht="15.75" customHeight="1">
      <c r="A1101" s="4">
        <f>IF(PRECIOS!A1101="","",PRECIOS!A1101)</f>
        <v>46010</v>
      </c>
      <c r="B1101" s="7">
        <f>IFERROR(IF(OR(PRECIOS!B1101="",PRECIOS!B1100=""),"",PRECIOS!B1101/PRECIOS!B1100-1),"")</f>
        <v>0.001287111721</v>
      </c>
      <c r="C1101" s="7">
        <f>IFERROR(IF(OR(PRECIOS!C1101="",PRECIOS!C1100=""),"",PRECIOS!C1101/PRECIOS!C1100-1),"")</f>
        <v>-0.02224260491</v>
      </c>
      <c r="D1101" s="7">
        <f>IFERROR(IF(OR(PRECIOS!D1101="",PRECIOS!D1100=""),"",PRECIOS!D1101/PRECIOS!D1100-1),"")</f>
        <v>-0.01889631101</v>
      </c>
      <c r="E1101" s="7">
        <f>IFERROR(IF(OR(PRECIOS!E1101="",PRECIOS!E1100=""),"",PRECIOS!E1101/PRECIOS!E1100-1),"")</f>
        <v>0.00585535686</v>
      </c>
      <c r="F1101" s="7">
        <f>IFERROR(IF(OR(PRECIOS!F1101="",PRECIOS!F1100=""),"",PRECIOS!F1101/PRECIOS!F1100-1),"")</f>
        <v>-0.001965739961</v>
      </c>
      <c r="G1101" s="7">
        <f>IFERROR(IF(OR(PRECIOS!G1101="",PRECIOS!G1100=""),"",PRECIOS!G1101/PRECIOS!G1100-1),"")</f>
        <v>-0.0068189567</v>
      </c>
      <c r="H1101" s="7">
        <f>IFERROR(IF(OR(PRECIOS!H1101="",PRECIOS!H1100=""),"",PRECIOS!H1101/PRECIOS!H1100-1),"")</f>
        <v>0</v>
      </c>
      <c r="I1101" s="7">
        <f>IFERROR(IF(OR(PRECIOS!I1101="",PRECIOS!I1100=""),"",PRECIOS!I1101/PRECIOS!I1100-1),"")</f>
        <v>-0.01273720388</v>
      </c>
    </row>
    <row r="1102" ht="15.75" customHeight="1">
      <c r="A1102" s="4">
        <f>IF(PRECIOS!A1102="","",PRECIOS!A1102)</f>
        <v>46013</v>
      </c>
      <c r="B1102" s="7">
        <f>IFERROR(IF(OR(PRECIOS!B1102="",PRECIOS!B1101=""),"",PRECIOS!B1102/PRECIOS!B1101-1),"")</f>
        <v>0.01251178336</v>
      </c>
      <c r="C1102" s="7">
        <f>IFERROR(IF(OR(PRECIOS!C1102="",PRECIOS!C1101=""),"",PRECIOS!C1102/PRECIOS!C1101-1),"")</f>
        <v>0.005159474672</v>
      </c>
      <c r="D1102" s="7">
        <f>IFERROR(IF(OR(PRECIOS!D1102="",PRECIOS!D1101=""),"",PRECIOS!D1102/PRECIOS!D1101-1),"")</f>
        <v>-0.00895540698</v>
      </c>
      <c r="E1102" s="7">
        <f>IFERROR(IF(OR(PRECIOS!E1102="",PRECIOS!E1101=""),"",PRECIOS!E1102/PRECIOS!E1101-1),"")</f>
        <v>0.008149779736</v>
      </c>
      <c r="F1102" s="7">
        <f>IFERROR(IF(OR(PRECIOS!F1102="",PRECIOS!F1101=""),"",PRECIOS!F1102/PRECIOS!F1101-1),"")</f>
        <v>-0.0008441193022</v>
      </c>
      <c r="G1102" s="7">
        <f>IFERROR(IF(OR(PRECIOS!G1102="",PRECIOS!G1101=""),"",PRECIOS!G1102/PRECIOS!G1101-1),"")</f>
        <v>0.01132852729</v>
      </c>
      <c r="H1102" s="7">
        <f>IFERROR(IF(OR(PRECIOS!H1102="",PRECIOS!H1101=""),"",PRECIOS!H1102/PRECIOS!H1101-1),"")</f>
        <v>0.01035262929</v>
      </c>
      <c r="I1102" s="7">
        <f>IFERROR(IF(OR(PRECIOS!I1102="",PRECIOS!I1101=""),"",PRECIOS!I1102/PRECIOS!I1101-1),"")</f>
        <v>0.003715187839</v>
      </c>
    </row>
    <row r="1103" ht="15.75" customHeight="1">
      <c r="A1103" s="4">
        <f>IF(PRECIOS!A1103="","",PRECIOS!A1103)</f>
        <v>46014</v>
      </c>
      <c r="B1103" s="7">
        <f>IFERROR(IF(OR(PRECIOS!B1103="",PRECIOS!B1102=""),"",PRECIOS!B1103/PRECIOS!B1102-1),"")</f>
        <v>0.01074904782</v>
      </c>
      <c r="C1103" s="7">
        <f>IFERROR(IF(OR(PRECIOS!C1103="",PRECIOS!C1102=""),"",PRECIOS!C1103/PRECIOS!C1102-1),"")</f>
        <v>0.00781614559</v>
      </c>
      <c r="D1103" s="7">
        <f>IFERROR(IF(OR(PRECIOS!D1103="",PRECIOS!D1102=""),"",PRECIOS!D1103/PRECIOS!D1102-1),"")</f>
        <v>0.000618926781</v>
      </c>
      <c r="E1103" s="7">
        <f>IFERROR(IF(OR(PRECIOS!E1103="",PRECIOS!E1102=""),"",PRECIOS!E1103/PRECIOS!E1102-1),"")</f>
        <v>0.007553294422</v>
      </c>
      <c r="F1103" s="7">
        <f>IFERROR(IF(OR(PRECIOS!F1103="",PRECIOS!F1102=""),"",PRECIOS!F1103/PRECIOS!F1102-1),"")</f>
        <v>0.01126443255</v>
      </c>
      <c r="G1103" s="7">
        <f>IFERROR(IF(OR(PRECIOS!G1103="",PRECIOS!G1102=""),"",PRECIOS!G1103/PRECIOS!G1102-1),"")</f>
        <v>0.01408689749</v>
      </c>
      <c r="H1103" s="7">
        <f>IFERROR(IF(OR(PRECIOS!H1103="",PRECIOS!H1102=""),"",PRECIOS!H1103/PRECIOS!H1102-1),"")</f>
        <v>0.0065596019</v>
      </c>
      <c r="I1103" s="7">
        <f>IFERROR(IF(OR(PRECIOS!I1103="",PRECIOS!I1102=""),"",PRECIOS!I1103/PRECIOS!I1102-1),"")</f>
        <v>0.003531904874</v>
      </c>
    </row>
    <row r="1104" ht="15.75" customHeight="1">
      <c r="A1104" s="4">
        <f>IF(PRECIOS!A1104="","",PRECIOS!A1104)</f>
        <v>46015</v>
      </c>
      <c r="B1104" s="7">
        <f>IFERROR(IF(OR(PRECIOS!B1104="",PRECIOS!B1103=""),"",PRECIOS!B1104/PRECIOS!B1103-1),"")</f>
        <v>-0.001674761347</v>
      </c>
      <c r="C1104" s="7">
        <f>IFERROR(IF(OR(PRECIOS!C1104="",PRECIOS!C1103=""),"",PRECIOS!C1104/PRECIOS!C1103-1),"")</f>
        <v>0.00902882278</v>
      </c>
      <c r="D1104" s="7">
        <f>IFERROR(IF(OR(PRECIOS!D1104="",PRECIOS!D1103=""),"",PRECIOS!D1104/PRECIOS!D1103-1),"")</f>
        <v>0.001793777448</v>
      </c>
      <c r="E1104" s="7">
        <f>IFERROR(IF(OR(PRECIOS!E1104="",PRECIOS!E1103=""),"",PRECIOS!E1104/PRECIOS!E1103-1),"")</f>
        <v>0.002664105821</v>
      </c>
      <c r="F1104" s="7">
        <f>IFERROR(IF(OR(PRECIOS!F1104="",PRECIOS!F1103=""),"",PRECIOS!F1104/PRECIOS!F1103-1),"")</f>
        <v>0.00306321359</v>
      </c>
      <c r="G1104" s="7">
        <f>IFERROR(IF(OR(PRECIOS!G1104="",PRECIOS!G1103=""),"",PRECIOS!G1104/PRECIOS!G1103-1),"")</f>
        <v>-0.004853556485</v>
      </c>
      <c r="H1104" s="7">
        <f>IFERROR(IF(OR(PRECIOS!H1104="",PRECIOS!H1103=""),"",PRECIOS!H1104/PRECIOS!H1103-1),"")</f>
        <v>-0.002921348315</v>
      </c>
      <c r="I1104" s="7">
        <f>IFERROR(IF(OR(PRECIOS!I1104="",PRECIOS!I1103=""),"",PRECIOS!I1104/PRECIOS!I1103-1),"")</f>
        <v>0.004458000939</v>
      </c>
    </row>
    <row r="1105" ht="15.75" customHeight="1">
      <c r="A1105" s="4">
        <f>IF(PRECIOS!A1105="","",PRECIOS!A1105)</f>
        <v>46017</v>
      </c>
      <c r="B1105" s="7">
        <f>IFERROR(IF(OR(PRECIOS!B1105="",PRECIOS!B1104=""),"",PRECIOS!B1105/PRECIOS!B1104-1),"")</f>
        <v>-0.0009226639826</v>
      </c>
      <c r="C1105" s="7">
        <f>IFERROR(IF(OR(PRECIOS!C1105="",PRECIOS!C1104=""),"",PRECIOS!C1105/PRECIOS!C1104-1),"")</f>
        <v>0</v>
      </c>
      <c r="D1105" s="7">
        <f>IFERROR(IF(OR(PRECIOS!D1105="",PRECIOS!D1104=""),"",PRECIOS!D1105/PRECIOS!D1104-1),"")</f>
        <v>-0.001790565572</v>
      </c>
      <c r="E1105" s="7">
        <f>IFERROR(IF(OR(PRECIOS!E1105="",PRECIOS!E1104=""),"",PRECIOS!E1105/PRECIOS!E1104-1),"")</f>
        <v>-0.004634349801</v>
      </c>
      <c r="F1105" s="7">
        <f>IFERROR(IF(OR(PRECIOS!F1105="",PRECIOS!F1104=""),"",PRECIOS!F1105/PRECIOS!F1104-1),"")</f>
        <v>-0.001665741255</v>
      </c>
      <c r="G1105" s="7">
        <f>IFERROR(IF(OR(PRECIOS!G1105="",PRECIOS!G1104=""),"",PRECIOS!G1105/PRECIOS!G1104-1),"")</f>
        <v>0.001009081736</v>
      </c>
      <c r="H1105" s="7">
        <f>IFERROR(IF(OR(PRECIOS!H1105="",PRECIOS!H1104=""),"",PRECIOS!H1105/PRECIOS!H1104-1),"")</f>
        <v>-0.003831417625</v>
      </c>
      <c r="I1105" s="7">
        <f>IFERROR(IF(OR(PRECIOS!I1105="",PRECIOS!I1104=""),"",PRECIOS!I1105/PRECIOS!I1104-1),"")</f>
        <v>-0.0007007708479</v>
      </c>
    </row>
    <row r="1106" ht="15.75" customHeight="1">
      <c r="A1106" s="4">
        <f>IF(PRECIOS!A1106="","",PRECIOS!A1106)</f>
        <v>46020</v>
      </c>
      <c r="B1106" s="7">
        <f>IFERROR(IF(OR(PRECIOS!B1106="",PRECIOS!B1105=""),"",PRECIOS!B1106/PRECIOS!B1105-1),"")</f>
        <v>0.011921753</v>
      </c>
      <c r="C1106" s="7">
        <f>IFERROR(IF(OR(PRECIOS!C1106="",PRECIOS!C1105=""),"",PRECIOS!C1106/PRECIOS!C1105-1),"")</f>
        <v>0.004244579557</v>
      </c>
      <c r="D1106" s="7">
        <f>IFERROR(IF(OR(PRECIOS!D1106="",PRECIOS!D1105=""),"",PRECIOS!D1106/PRECIOS!D1105-1),"")</f>
        <v>0.001051524711</v>
      </c>
      <c r="E1106" s="7">
        <f>IFERROR(IF(OR(PRECIOS!E1106="",PRECIOS!E1105=""),"",PRECIOS!E1106/PRECIOS!E1105-1),"")</f>
        <v>-0.002234844958</v>
      </c>
      <c r="F1106" s="7">
        <f>IFERROR(IF(OR(PRECIOS!F1106="",PRECIOS!F1105=""),"",PRECIOS!F1106/PRECIOS!F1105-1),"")</f>
        <v>0.01390433815</v>
      </c>
      <c r="G1106" s="7">
        <f>IFERROR(IF(OR(PRECIOS!G1106="",PRECIOS!G1105=""),"",PRECIOS!G1106/PRECIOS!G1105-1),"")</f>
        <v>0.004704301075</v>
      </c>
      <c r="H1106" s="7">
        <f>IFERROR(IF(OR(PRECIOS!H1106="",PRECIOS!H1105=""),"",PRECIOS!H1106/PRECIOS!H1105-1),"")</f>
        <v>0.009502262443</v>
      </c>
      <c r="I1106" s="7">
        <f>IFERROR(IF(OR(PRECIOS!I1106="",PRECIOS!I1105=""),"",PRECIOS!I1106/PRECIOS!I1105-1),"")</f>
        <v>0.001870032726</v>
      </c>
    </row>
    <row r="1107" ht="15.75" customHeight="1">
      <c r="A1107" s="4">
        <f>IF(PRECIOS!A1107="","",PRECIOS!A1107)</f>
        <v>46021</v>
      </c>
      <c r="B1107" s="7">
        <f>IFERROR(IF(OR(PRECIOS!B1107="",PRECIOS!B1106=""),"",PRECIOS!B1107/PRECIOS!B1106-1),"")</f>
        <v>0.003816477226</v>
      </c>
      <c r="C1107" s="7">
        <f>IFERROR(IF(OR(PRECIOS!C1107="",PRECIOS!C1106=""),"",PRECIOS!C1107/PRECIOS!C1106-1),"")</f>
        <v>0.0003427004798</v>
      </c>
      <c r="D1107" s="7">
        <f>IFERROR(IF(OR(PRECIOS!D1107="",PRECIOS!D1106=""),"",PRECIOS!D1107/PRECIOS!D1106-1),"")</f>
        <v>0.004819574889</v>
      </c>
      <c r="E1107" s="7">
        <f>IFERROR(IF(OR(PRECIOS!E1107="",PRECIOS!E1106=""),"",PRECIOS!E1107/PRECIOS!E1106-1),"")</f>
        <v>-0.001835433193</v>
      </c>
      <c r="F1107" s="7">
        <f>IFERROR(IF(OR(PRECIOS!F1107="",PRECIOS!F1106=""),"",PRECIOS!F1107/PRECIOS!F1106-1),"")</f>
        <v>-0.01042238069</v>
      </c>
      <c r="G1107" s="7">
        <f>IFERROR(IF(OR(PRECIOS!G1107="",PRECIOS!G1106=""),"",PRECIOS!G1107/PRECIOS!G1106-1),"")</f>
        <v>0.00602006689</v>
      </c>
      <c r="H1107" s="7">
        <f>IFERROR(IF(OR(PRECIOS!H1107="",PRECIOS!H1106=""),"",PRECIOS!H1107/PRECIOS!H1106-1),"")</f>
        <v>0.00761990139</v>
      </c>
      <c r="I1107" s="7">
        <f>IFERROR(IF(OR(PRECIOS!I1107="",PRECIOS!I1106=""),"",PRECIOS!I1107/PRECIOS!I1106-1),"")</f>
        <v>0.002333177788</v>
      </c>
    </row>
    <row r="1108" ht="15.75" customHeight="1">
      <c r="A1108" s="4">
        <f>IF(PRECIOS!A1108="","",PRECIOS!A1108)</f>
        <v>46022</v>
      </c>
      <c r="B1108" s="7">
        <f>IFERROR(IF(OR(PRECIOS!B1108="",PRECIOS!B1107=""),"",PRECIOS!B1108/PRECIOS!B1107-1),"")</f>
        <v>-0.005372344822</v>
      </c>
      <c r="C1108" s="7">
        <f>IFERROR(IF(OR(PRECIOS!C1108="",PRECIOS!C1107=""),"",PRECIOS!C1108/PRECIOS!C1107-1),"")</f>
        <v>-0.004225191276</v>
      </c>
      <c r="D1108" s="7">
        <f>IFERROR(IF(OR(PRECIOS!D1108="",PRECIOS!D1107=""),"",PRECIOS!D1108/PRECIOS!D1107-1),"")</f>
        <v>-0.007932603616</v>
      </c>
      <c r="E1108" s="7">
        <f>IFERROR(IF(OR(PRECIOS!E1108="",PRECIOS!E1107=""),"",PRECIOS!E1108/PRECIOS!E1107-1),"")</f>
        <v>-0.007324066571</v>
      </c>
      <c r="F1108" s="7">
        <f>IFERROR(IF(OR(PRECIOS!F1108="",PRECIOS!F1107=""),"",PRECIOS!F1108/PRECIOS!F1107-1),"")</f>
        <v>0.0022172949</v>
      </c>
      <c r="G1108" s="7">
        <f>IFERROR(IF(OR(PRECIOS!G1108="",PRECIOS!G1107=""),"",PRECIOS!G1108/PRECIOS!G1107-1),"")</f>
        <v>-0.0008311170213</v>
      </c>
      <c r="H1108" s="7">
        <f>IFERROR(IF(OR(PRECIOS!H1108="",PRECIOS!H1107=""),"",PRECIOS!H1108/PRECIOS!H1107-1),"")</f>
        <v>-0.005560498221</v>
      </c>
      <c r="I1108" s="7">
        <f>IFERROR(IF(OR(PRECIOS!I1108="",PRECIOS!I1107=""),"",PRECIOS!I1108/PRECIOS!I1107-1),"")</f>
        <v>-0.006284916201</v>
      </c>
    </row>
    <row r="1109" ht="15.75" customHeight="1">
      <c r="A1109" s="4">
        <f>IF(PRECIOS!A1109="","",PRECIOS!A1109)</f>
        <v>46024</v>
      </c>
      <c r="B1109" s="7">
        <f>IFERROR(IF(OR(PRECIOS!B1109="",PRECIOS!B1108=""),"",PRECIOS!B1109/PRECIOS!B1108-1),"")</f>
        <v>0.01919561243</v>
      </c>
      <c r="C1109" s="7">
        <f>IFERROR(IF(OR(PRECIOS!C1109="",PRECIOS!C1108=""),"",PRECIOS!C1109/PRECIOS!C1108-1),"")</f>
        <v>-0.0002293577982</v>
      </c>
      <c r="D1109" s="7">
        <f>IFERROR(IF(OR(PRECIOS!D1109="",PRECIOS!D1108=""),"",PRECIOS!D1109/PRECIOS!D1108-1),"")</f>
        <v>0.02417405318</v>
      </c>
      <c r="E1109" s="7">
        <f>IFERROR(IF(OR(PRECIOS!E1109="",PRECIOS!E1108=""),"",PRECIOS!E1109/PRECIOS!E1108-1),"")</f>
        <v>0.02762864588</v>
      </c>
      <c r="F1109" s="7">
        <f>IFERROR(IF(OR(PRECIOS!F1109="",PRECIOS!F1108=""),"",PRECIOS!F1109/PRECIOS!F1108-1),"")</f>
        <v>0.003595132743</v>
      </c>
      <c r="G1109" s="7">
        <f>IFERROR(IF(OR(PRECIOS!G1109="",PRECIOS!G1108=""),"",PRECIOS!G1109/PRECIOS!G1108-1),"")</f>
        <v>0.0123107636</v>
      </c>
      <c r="H1109" s="7">
        <f>IFERROR(IF(OR(PRECIOS!H1109="",PRECIOS!H1108=""),"",PRECIOS!H1109/PRECIOS!H1108-1),"")</f>
        <v>0.02102437933</v>
      </c>
      <c r="I1109" s="7">
        <f>IFERROR(IF(OR(PRECIOS!I1109="",PRECIOS!I1108=""),"",PRECIOS!I1109/PRECIOS!I1108-1),"")</f>
        <v>0.01147809792</v>
      </c>
    </row>
    <row r="1110" ht="15.75" customHeight="1">
      <c r="A1110" s="4">
        <f>IF(PRECIOS!A1110="","",PRECIOS!A1110)</f>
        <v>46027</v>
      </c>
      <c r="B1110" s="7">
        <f>IFERROR(IF(OR(PRECIOS!B1110="",PRECIOS!B1109=""),"",PRECIOS!B1110/PRECIOS!B1109-1),"")</f>
        <v>0.0220953934</v>
      </c>
      <c r="C1110" s="7">
        <f>IFERROR(IF(OR(PRECIOS!C1110="",PRECIOS!C1109=""),"",PRECIOS!C1110/PRECIOS!C1109-1),"")</f>
        <v>-0.003555861436</v>
      </c>
      <c r="D1110" s="7">
        <f>IFERROR(IF(OR(PRECIOS!D1110="",PRECIOS!D1109=""),"",PRECIOS!D1110/PRECIOS!D1109-1),"")</f>
        <v>-0.01391999032</v>
      </c>
      <c r="E1110" s="7">
        <f>IFERROR(IF(OR(PRECIOS!E1110="",PRECIOS!E1109=""),"",PRECIOS!E1110/PRECIOS!E1109-1),"")</f>
        <v>-0.01542879839</v>
      </c>
      <c r="F1110" s="7">
        <f>IFERROR(IF(OR(PRECIOS!F1110="",PRECIOS!F1109=""),"",PRECIOS!F1110/PRECIOS!F1109-1),"")</f>
        <v>0.002480022045</v>
      </c>
      <c r="G1110" s="7">
        <f>IFERROR(IF(OR(PRECIOS!G1110="",PRECIOS!G1109=""),"",PRECIOS!G1110/PRECIOS!G1109-1),"")</f>
        <v>0.005094494659</v>
      </c>
      <c r="H1110" s="7">
        <f>IFERROR(IF(OR(PRECIOS!H1110="",PRECIOS!H1109=""),"",PRECIOS!H1110/PRECIOS!H1109-1),"")</f>
        <v>0.02716319825</v>
      </c>
      <c r="I1110" s="7">
        <f>IFERROR(IF(OR(PRECIOS!I1110="",PRECIOS!I1109=""),"",PRECIOS!I1110/PRECIOS!I1109-1),"")</f>
        <v>-0.01111625753</v>
      </c>
    </row>
    <row r="1111" ht="15.75" customHeight="1">
      <c r="A1111" s="4">
        <f>IF(PRECIOS!A1111="","",PRECIOS!A1111)</f>
        <v>46028</v>
      </c>
      <c r="B1111" s="7">
        <f>IFERROR(IF(OR(PRECIOS!B1111="",PRECIOS!B1110=""),"",PRECIOS!B1111/PRECIOS!B1110-1),"")</f>
        <v>-0.03438098277</v>
      </c>
      <c r="C1111" s="7">
        <f>IFERROR(IF(OR(PRECIOS!C1111="",PRECIOS!C1110=""),"",PRECIOS!C1111/PRECIOS!C1110-1),"")</f>
        <v>0.007482445033</v>
      </c>
      <c r="D1111" s="7">
        <f>IFERROR(IF(OR(PRECIOS!D1111="",PRECIOS!D1110=""),"",PRECIOS!D1111/PRECIOS!D1110-1),"")</f>
        <v>0.0405081937</v>
      </c>
      <c r="E1111" s="7">
        <f>IFERROR(IF(OR(PRECIOS!E1111="",PRECIOS!E1110=""),"",PRECIOS!E1111/PRECIOS!E1110-1),"")</f>
        <v>0.03323403463</v>
      </c>
      <c r="F1111" s="7">
        <f>IFERROR(IF(OR(PRECIOS!F1111="",PRECIOS!F1110=""),"",PRECIOS!F1111/PRECIOS!F1110-1),"")</f>
        <v>-0.05470038483</v>
      </c>
      <c r="G1111" s="7">
        <f>IFERROR(IF(OR(PRECIOS!G1111="",PRECIOS!G1110=""),"",PRECIOS!G1111/PRECIOS!G1110-1),"")</f>
        <v>-0.02714192283</v>
      </c>
      <c r="H1111" s="7">
        <f>IFERROR(IF(OR(PRECIOS!H1111="",PRECIOS!H1110=""),"",PRECIOS!H1111/PRECIOS!H1110-1),"")</f>
        <v>-0.02665813606</v>
      </c>
      <c r="I1111" s="7">
        <f>IFERROR(IF(OR(PRECIOS!I1111="",PRECIOS!I1110=""),"",PRECIOS!I1111/PRECIOS!I1110-1),"")</f>
        <v>0.004918032787</v>
      </c>
    </row>
    <row r="1112" ht="15.75" customHeight="1">
      <c r="A1112" s="4">
        <f>IF(PRECIOS!A1112="","",PRECIOS!A1112)</f>
        <v>46029</v>
      </c>
      <c r="B1112" s="7">
        <f>IFERROR(IF(OR(PRECIOS!B1112="",PRECIOS!B1111=""),"",PRECIOS!B1112/PRECIOS!B1111-1),"")</f>
        <v>-0.02114828583</v>
      </c>
      <c r="C1112" s="7">
        <f>IFERROR(IF(OR(PRECIOS!C1112="",PRECIOS!C1111=""),"",PRECIOS!C1112/PRECIOS!C1111-1),"")</f>
        <v>-0.01428244973</v>
      </c>
      <c r="D1112" s="7">
        <f>IFERROR(IF(OR(PRECIOS!D1112="",PRECIOS!D1111=""),"",PRECIOS!D1112/PRECIOS!D1111-1),"")</f>
        <v>-0.08806700879</v>
      </c>
      <c r="E1112" s="7">
        <f>IFERROR(IF(OR(PRECIOS!E1112="",PRECIOS!E1111=""),"",PRECIOS!E1112/PRECIOS!E1111-1),"")</f>
        <v>-0.03093371775</v>
      </c>
      <c r="F1112" s="7">
        <f>IFERROR(IF(OR(PRECIOS!F1112="",PRECIOS!F1111=""),"",PRECIOS!F1112/PRECIOS!F1111-1),"")</f>
        <v>-0.04681593486</v>
      </c>
      <c r="G1112" s="7">
        <f>IFERROR(IF(OR(PRECIOS!G1112="",PRECIOS!G1111=""),"",PRECIOS!G1112/PRECIOS!G1111-1),"")</f>
        <v>0.01495798319</v>
      </c>
      <c r="H1112" s="7">
        <f>IFERROR(IF(OR(PRECIOS!H1112="",PRECIOS!H1111=""),"",PRECIOS!H1112/PRECIOS!H1111-1),"")</f>
        <v>-0.01117440841</v>
      </c>
      <c r="I1112" s="7">
        <f>IFERROR(IF(OR(PRECIOS!I1112="",PRECIOS!I1111=""),"",PRECIOS!I1112/PRECIOS!I1111-1),"")</f>
        <v>-0.02423677464</v>
      </c>
    </row>
    <row r="1113" ht="15.75" customHeight="1">
      <c r="A1113" s="4">
        <f>IF(PRECIOS!A1113="","",PRECIOS!A1113)</f>
        <v>46030</v>
      </c>
      <c r="B1113" s="7">
        <f>IFERROR(IF(OR(PRECIOS!B1113="",PRECIOS!B1112=""),"",PRECIOS!B1113/PRECIOS!B1112-1),"")</f>
        <v>0.03730272597</v>
      </c>
      <c r="C1113" s="7">
        <f>IFERROR(IF(OR(PRECIOS!C1113="",PRECIOS!C1112=""),"",PRECIOS!C1113/PRECIOS!C1112-1),"")</f>
        <v>0.01101193926</v>
      </c>
      <c r="D1113" s="7">
        <f>IFERROR(IF(OR(PRECIOS!D1113="",PRECIOS!D1112=""),"",PRECIOS!D1113/PRECIOS!D1112-1),"")</f>
        <v>-0.02587322122</v>
      </c>
      <c r="E1113" s="7">
        <f>IFERROR(IF(OR(PRECIOS!E1113="",PRECIOS!E1112=""),"",PRECIOS!E1113/PRECIOS!E1112-1),"")</f>
        <v>-0.006477205814</v>
      </c>
      <c r="F1113" s="7">
        <f>IFERROR(IF(OR(PRECIOS!F1113="",PRECIOS!F1112=""),"",PRECIOS!F1113/PRECIOS!F1112-1),"")</f>
        <v>0.03111653447</v>
      </c>
      <c r="G1113" s="7">
        <f>IFERROR(IF(OR(PRECIOS!G1113="",PRECIOS!G1112=""),"",PRECIOS!G1113/PRECIOS!G1112-1),"")</f>
        <v>0.01258486504</v>
      </c>
      <c r="H1113" s="7">
        <f>IFERROR(IF(OR(PRECIOS!H1113="",PRECIOS!H1112=""),"",PRECIOS!H1113/PRECIOS!H1112-1),"")</f>
        <v>0.03146465766</v>
      </c>
      <c r="I1113" s="7">
        <f>IFERROR(IF(OR(PRECIOS!I1113="",PRECIOS!I1112=""),"",PRECIOS!I1113/PRECIOS!I1112-1),"")</f>
        <v>0.002866013852</v>
      </c>
    </row>
    <row r="1114" ht="15.75" customHeight="1">
      <c r="A1114" s="4">
        <f>IF(PRECIOS!A1114="","",PRECIOS!A1114)</f>
        <v>46031</v>
      </c>
      <c r="B1114" s="7">
        <f>IFERROR(IF(OR(PRECIOS!B1114="",PRECIOS!B1113=""),"",PRECIOS!B1114/PRECIOS!B1113-1),"")</f>
        <v>0.01383125864</v>
      </c>
      <c r="C1114" s="7">
        <f>IFERROR(IF(OR(PRECIOS!C1114="",PRECIOS!C1113=""),"",PRECIOS!C1114/PRECIOS!C1113-1),"")</f>
        <v>-0.002407704655</v>
      </c>
      <c r="D1114" s="7">
        <f>IFERROR(IF(OR(PRECIOS!D1114="",PRECIOS!D1113=""),"",PRECIOS!D1114/PRECIOS!D1113-1),"")</f>
        <v>0.1047144754</v>
      </c>
      <c r="E1114" s="7">
        <f>IFERROR(IF(OR(PRECIOS!E1114="",PRECIOS!E1113=""),"",PRECIOS!E1114/PRECIOS!E1113-1),"")</f>
        <v>0.01225903051</v>
      </c>
      <c r="F1114" s="7">
        <f>IFERROR(IF(OR(PRECIOS!F1114="",PRECIOS!F1113=""),"",PRECIOS!F1114/PRECIOS!F1113-1),"")</f>
        <v>0.008284023669</v>
      </c>
      <c r="G1114" s="7">
        <f>IFERROR(IF(OR(PRECIOS!G1114="",PRECIOS!G1113=""),"",PRECIOS!G1114/PRECIOS!G1113-1),"")</f>
        <v>-0.0135731807</v>
      </c>
      <c r="H1114" s="7">
        <f>IFERROR(IF(OR(PRECIOS!H1114="",PRECIOS!H1113=""),"",PRECIOS!H1114/PRECIOS!H1113-1),"")</f>
        <v>0.002577873255</v>
      </c>
      <c r="I1114" s="7">
        <f>IFERROR(IF(OR(PRECIOS!I1114="",PRECIOS!I1113=""),"",PRECIOS!I1114/PRECIOS!I1113-1),"")</f>
        <v>0.01238390093</v>
      </c>
    </row>
    <row r="1115" ht="15.75" customHeight="1">
      <c r="A1115" s="4">
        <f>IF(PRECIOS!A1115="","",PRECIOS!A1115)</f>
        <v>46034</v>
      </c>
      <c r="B1115" s="7">
        <f>IFERROR(IF(OR(PRECIOS!B1115="",PRECIOS!B1114=""),"",PRECIOS!B1115/PRECIOS!B1114-1),"")</f>
        <v>-0.004654522109</v>
      </c>
      <c r="C1115" s="7">
        <f>IFERROR(IF(OR(PRECIOS!C1115="",PRECIOS!C1114=""),"",PRECIOS!C1115/PRECIOS!C1114-1),"")</f>
        <v>-0.003103091599</v>
      </c>
      <c r="D1115" s="7">
        <f>IFERROR(IF(OR(PRECIOS!D1115="",PRECIOS!D1114=""),"",PRECIOS!D1115/PRECIOS!D1114-1),"")</f>
        <v>0.03732644107</v>
      </c>
      <c r="E1115" s="7">
        <f>IFERROR(IF(OR(PRECIOS!E1115="",PRECIOS!E1114=""),"",PRECIOS!E1115/PRECIOS!E1114-1),"")</f>
        <v>0.01414440233</v>
      </c>
      <c r="F1115" s="7">
        <f>IFERROR(IF(OR(PRECIOS!F1115="",PRECIOS!F1114=""),"",PRECIOS!F1115/PRECIOS!F1114-1),"")</f>
        <v>-0.007629107981</v>
      </c>
      <c r="G1115" s="7">
        <f>IFERROR(IF(OR(PRECIOS!G1115="",PRECIOS!G1114=""),"",PRECIOS!G1115/PRECIOS!G1114-1),"")</f>
        <v>-0.0125994695</v>
      </c>
      <c r="H1115" s="7">
        <f>IFERROR(IF(OR(PRECIOS!H1115="",PRECIOS!H1114=""),"",PRECIOS!H1115/PRECIOS!H1114-1),"")</f>
        <v>-0.007070923505</v>
      </c>
      <c r="I1115" s="7">
        <f>IFERROR(IF(OR(PRECIOS!I1115="",PRECIOS!I1114=""),"",PRECIOS!I1115/PRECIOS!I1114-1),"")</f>
        <v>0.001646671371</v>
      </c>
    </row>
    <row r="1116" ht="15.75" customHeight="1">
      <c r="A1116" s="4">
        <f>IF(PRECIOS!A1116="","",PRECIOS!A1116)</f>
        <v>46035</v>
      </c>
      <c r="B1116" s="7">
        <f>IFERROR(IF(OR(PRECIOS!B1116="",PRECIOS!B1115=""),"",PRECIOS!B1116/PRECIOS!B1115-1),"")</f>
        <v>0.02023703943</v>
      </c>
      <c r="C1116" s="7">
        <f>IFERROR(IF(OR(PRECIOS!C1116="",PRECIOS!C1115=""),"",PRECIOS!C1116/PRECIOS!C1115-1),"")</f>
        <v>0.009338252248</v>
      </c>
      <c r="D1116" s="7">
        <f>IFERROR(IF(OR(PRECIOS!D1116="",PRECIOS!D1115=""),"",PRECIOS!D1116/PRECIOS!D1115-1),"")</f>
        <v>-0.006721520454</v>
      </c>
      <c r="E1116" s="7">
        <f>IFERROR(IF(OR(PRECIOS!E1116="",PRECIOS!E1115=""),"",PRECIOS!E1116/PRECIOS!E1115-1),"")</f>
        <v>0.009966575509</v>
      </c>
      <c r="F1116" s="7">
        <f>IFERROR(IF(OR(PRECIOS!F1116="",PRECIOS!F1115=""),"",PRECIOS!F1116/PRECIOS!F1115-1),"")</f>
        <v>0.02986398581</v>
      </c>
      <c r="G1116" s="7">
        <f>IFERROR(IF(OR(PRECIOS!G1116="",PRECIOS!G1115=""),"",PRECIOS!G1116/PRECIOS!G1115-1),"")</f>
        <v>0.01561450638</v>
      </c>
      <c r="H1116" s="7">
        <f>IFERROR(IF(OR(PRECIOS!H1116="",PRECIOS!H1115=""),"",PRECIOS!H1116/PRECIOS!H1115-1),"")</f>
        <v>0.01424255503</v>
      </c>
      <c r="I1116" s="7">
        <f>IFERROR(IF(OR(PRECIOS!I1116="",PRECIOS!I1115=""),"",PRECIOS!I1116/PRECIOS!I1115-1),"")</f>
        <v>0.006341005167</v>
      </c>
    </row>
    <row r="1117" ht="15.75" customHeight="1">
      <c r="A1117" s="4">
        <f>IF(PRECIOS!A1117="","",PRECIOS!A1117)</f>
        <v>46036</v>
      </c>
      <c r="B1117" s="7">
        <f>IFERROR(IF(OR(PRECIOS!B1117="",PRECIOS!B1116=""),"",PRECIOS!B1117/PRECIOS!B1116-1),"")</f>
        <v>0.0289236605</v>
      </c>
      <c r="C1117" s="7">
        <f>IFERROR(IF(OR(PRECIOS!C1117="",PRECIOS!C1116=""),"",PRECIOS!C1117/PRECIOS!C1116-1),"")</f>
        <v>0.009937178755</v>
      </c>
      <c r="D1117" s="7">
        <f>IFERROR(IF(OR(PRECIOS!D1117="",PRECIOS!D1116=""),"",PRECIOS!D1117/PRECIOS!D1116-1),"")</f>
        <v>-0.01429238129</v>
      </c>
      <c r="E1117" s="7">
        <f>IFERROR(IF(OR(PRECIOS!E1117="",PRECIOS!E1116=""),"",PRECIOS!E1117/PRECIOS!E1116-1),"")</f>
        <v>-0.003730669715</v>
      </c>
      <c r="F1117" s="7">
        <f>IFERROR(IF(OR(PRECIOS!F1117="",PRECIOS!F1116=""),"",PRECIOS!F1117/PRECIOS!F1116-1),"")</f>
        <v>-0.008039046799</v>
      </c>
      <c r="G1117" s="7">
        <f>IFERROR(IF(OR(PRECIOS!G1117="",PRECIOS!G1116=""),"",PRECIOS!G1117/PRECIOS!G1116-1),"")</f>
        <v>0.003636964788</v>
      </c>
      <c r="H1117" s="7">
        <f>IFERROR(IF(OR(PRECIOS!H1117="",PRECIOS!H1116=""),"",PRECIOS!H1117/PRECIOS!H1116-1),"")</f>
        <v>0.02255319149</v>
      </c>
      <c r="I1117" s="7">
        <f>IFERROR(IF(OR(PRECIOS!I1117="",PRECIOS!I1116=""),"",PRECIOS!I1117/PRECIOS!I1116-1),"")</f>
        <v>0.007467911319</v>
      </c>
    </row>
    <row r="1118" ht="15.75" customHeight="1">
      <c r="A1118" s="4">
        <f>IF(PRECIOS!A1118="","",PRECIOS!A1118)</f>
        <v>46037</v>
      </c>
      <c r="B1118" s="7">
        <f>IFERROR(IF(OR(PRECIOS!B1118="",PRECIOS!B1117=""),"",PRECIOS!B1118/PRECIOS!B1117-1),"")</f>
        <v>-0.00821812596</v>
      </c>
      <c r="C1118" s="7">
        <f>IFERROR(IF(OR(PRECIOS!C1118="",PRECIOS!C1117=""),"",PRECIOS!C1118/PRECIOS!C1117-1),"")</f>
        <v>0.004071477041</v>
      </c>
      <c r="D1118" s="7">
        <f>IFERROR(IF(OR(PRECIOS!D1118="",PRECIOS!D1117=""),"",PRECIOS!D1118/PRECIOS!D1117-1),"")</f>
        <v>0.06634313784</v>
      </c>
      <c r="E1118" s="7">
        <f>IFERROR(IF(OR(PRECIOS!E1118="",PRECIOS!E1117=""),"",PRECIOS!E1118/PRECIOS!E1117-1),"")</f>
        <v>0.007006100139</v>
      </c>
      <c r="F1118" s="7">
        <f>IFERROR(IF(OR(PRECIOS!F1118="",PRECIOS!F1117=""),"",PRECIOS!F1118/PRECIOS!F1117-1),"")</f>
        <v>-0.02402315485</v>
      </c>
      <c r="G1118" s="7">
        <f>IFERROR(IF(OR(PRECIOS!G1118="",PRECIOS!G1117=""),"",PRECIOS!G1118/PRECIOS!G1117-1),"")</f>
        <v>-0.006918135398</v>
      </c>
      <c r="H1118" s="7">
        <f>IFERROR(IF(OR(PRECIOS!H1118="",PRECIOS!H1117=""),"",PRECIOS!H1118/PRECIOS!H1117-1),"")</f>
        <v>-0.00936329588</v>
      </c>
      <c r="I1118" s="7">
        <f>IFERROR(IF(OR(PRECIOS!I1118="",PRECIOS!I1117=""),"",PRECIOS!I1118/PRECIOS!I1117-1),"")</f>
        <v>0.01019226315</v>
      </c>
    </row>
    <row r="1119" ht="15.75" customHeight="1">
      <c r="A1119" s="4">
        <f>IF(PRECIOS!A1119="","",PRECIOS!A1119)</f>
        <v>46038</v>
      </c>
      <c r="B1119" s="7">
        <f>IFERROR(IF(OR(PRECIOS!B1119="",PRECIOS!B1118=""),"",PRECIOS!B1119/PRECIOS!B1118-1),"")</f>
        <v>0.005885541702</v>
      </c>
      <c r="C1119" s="7">
        <f>IFERROR(IF(OR(PRECIOS!C1119="",PRECIOS!C1118=""),"",PRECIOS!C1119/PRECIOS!C1118-1),"")</f>
        <v>0.001351655778</v>
      </c>
      <c r="D1119" s="7">
        <f>IFERROR(IF(OR(PRECIOS!D1119="",PRECIOS!D1118=""),"",PRECIOS!D1119/PRECIOS!D1118-1),"")</f>
        <v>-0.07536907537</v>
      </c>
      <c r="E1119" s="7">
        <f>IFERROR(IF(OR(PRECIOS!E1119="",PRECIOS!E1118=""),"",PRECIOS!E1119/PRECIOS!E1118-1),"")</f>
        <v>0.03085827386</v>
      </c>
      <c r="F1119" s="7">
        <f>IFERROR(IF(OR(PRECIOS!F1119="",PRECIOS!F1118=""),"",PRECIOS!F1119/PRECIOS!F1118-1),"")</f>
        <v>0.0174970344</v>
      </c>
      <c r="G1119" s="7">
        <f>IFERROR(IF(OR(PRECIOS!G1119="",PRECIOS!G1118=""),"",PRECIOS!G1119/PRECIOS!G1118-1),"")</f>
        <v>0.02089898822</v>
      </c>
      <c r="H1119" s="7">
        <f>IFERROR(IF(OR(PRECIOS!H1119="",PRECIOS!H1118=""),"",PRECIOS!H1119/PRECIOS!H1118-1),"")</f>
        <v>0.001680319261</v>
      </c>
      <c r="I1119" s="7">
        <f>IFERROR(IF(OR(PRECIOS!I1119="",PRECIOS!I1118=""),"",PRECIOS!I1119/PRECIOS!I1118-1),"")</f>
        <v>-0.005044714515</v>
      </c>
    </row>
    <row r="1120" ht="15.75" customHeight="1">
      <c r="A1120" s="4">
        <f>IF(PRECIOS!A1120="","",PRECIOS!A1120)</f>
        <v>46042</v>
      </c>
      <c r="B1120" s="7">
        <f>IFERROR(IF(OR(PRECIOS!B1120="",PRECIOS!B1119=""),"",PRECIOS!B1120/PRECIOS!B1119-1),"")</f>
        <v>0.004388328586</v>
      </c>
      <c r="C1120" s="7">
        <f>IFERROR(IF(OR(PRECIOS!C1120="",PRECIOS!C1119=""),"",PRECIOS!C1120/PRECIOS!C1119-1),"")</f>
        <v>-0.0008998875141</v>
      </c>
      <c r="D1120" s="7">
        <f>IFERROR(IF(OR(PRECIOS!D1120="",PRECIOS!D1119=""),"",PRECIOS!D1120/PRECIOS!D1119-1),"")</f>
        <v>-0.0587635054</v>
      </c>
      <c r="E1120" s="7">
        <f>IFERROR(IF(OR(PRECIOS!E1120="",PRECIOS!E1119=""),"",PRECIOS!E1120/PRECIOS!E1119-1),"")</f>
        <v>-0.01792</v>
      </c>
      <c r="F1120" s="7">
        <f>IFERROR(IF(OR(PRECIOS!F1120="",PRECIOS!F1119=""),"",PRECIOS!F1120/PRECIOS!F1119-1),"")</f>
        <v>0.006120664529</v>
      </c>
      <c r="G1120" s="7">
        <f>IFERROR(IF(OR(PRECIOS!G1120="",PRECIOS!G1119=""),"",PRECIOS!G1120/PRECIOS!G1119-1),"")</f>
        <v>-0.0006498781478</v>
      </c>
      <c r="H1120" s="7">
        <f>IFERROR(IF(OR(PRECIOS!H1120="",PRECIOS!H1119=""),"",PRECIOS!H1120/PRECIOS!H1119-1),"")</f>
        <v>-0.00188718809</v>
      </c>
      <c r="I1120" s="7">
        <f>IFERROR(IF(OR(PRECIOS!I1120="",PRECIOS!I1119=""),"",PRECIOS!I1120/PRECIOS!I1119-1),"")</f>
        <v>-0.009910117539</v>
      </c>
    </row>
    <row r="1121" ht="15.75" customHeight="1">
      <c r="A1121" s="4">
        <f>IF(PRECIOS!A1121="","",PRECIOS!A1121)</f>
        <v>46043</v>
      </c>
      <c r="B1121" s="7">
        <f>IFERROR(IF(OR(PRECIOS!B1121="",PRECIOS!B1120=""),"",PRECIOS!B1121/PRECIOS!B1120-1),"")</f>
        <v>0.0241453319</v>
      </c>
      <c r="C1121" s="7">
        <f>IFERROR(IF(OR(PRECIOS!C1121="",PRECIOS!C1120=""),"",PRECIOS!C1121/PRECIOS!C1120-1),"")</f>
        <v>0.003715379419</v>
      </c>
      <c r="D1121" s="7">
        <f>IFERROR(IF(OR(PRECIOS!D1121="",PRECIOS!D1120=""),"",PRECIOS!D1121/PRECIOS!D1120-1),"")</f>
        <v>0.02047063325</v>
      </c>
      <c r="E1121" s="7">
        <f>IFERROR(IF(OR(PRECIOS!E1121="",PRECIOS!E1120=""),"",PRECIOS!E1121/PRECIOS!E1120-1),"")</f>
        <v>0.001096004029</v>
      </c>
      <c r="F1121" s="7">
        <f>IFERROR(IF(OR(PRECIOS!F1121="",PRECIOS!F1120=""),"",PRECIOS!F1121/PRECIOS!F1120-1),"")</f>
        <v>0.04548088065</v>
      </c>
      <c r="G1121" s="7">
        <f>IFERROR(IF(OR(PRECIOS!G1121="",PRECIOS!G1120=""),"",PRECIOS!G1121/PRECIOS!G1120-1),"")</f>
        <v>0.0271500569</v>
      </c>
      <c r="H1121" s="7">
        <f>IFERROR(IF(OR(PRECIOS!H1121="",PRECIOS!H1120=""),"",PRECIOS!H1121/PRECIOS!H1120-1),"")</f>
        <v>0.02415966387</v>
      </c>
      <c r="I1121" s="7">
        <f>IFERROR(IF(OR(PRECIOS!I1121="",PRECIOS!I1120=""),"",PRECIOS!I1121/PRECIOS!I1120-1),"")</f>
        <v>0.001396648045</v>
      </c>
    </row>
    <row r="1122" ht="15.75" customHeight="1">
      <c r="A1122" s="4">
        <f>IF(PRECIOS!A1122="","",PRECIOS!A1122)</f>
        <v>46044</v>
      </c>
      <c r="B1122" s="7">
        <f>IFERROR(IF(OR(PRECIOS!B1122="",PRECIOS!B1121=""),"",PRECIOS!B1122/PRECIOS!B1121-1),"")</f>
        <v>0.0002245340918</v>
      </c>
      <c r="C1122" s="7">
        <f>IFERROR(IF(OR(PRECIOS!C1122="",PRECIOS!C1121=""),"",PRECIOS!C1122/PRECIOS!C1121-1),"")</f>
        <v>-0.01839596186</v>
      </c>
      <c r="D1122" s="7">
        <f>IFERROR(IF(OR(PRECIOS!D1122="",PRECIOS!D1121=""),"",PRECIOS!D1122/PRECIOS!D1121-1),"")</f>
        <v>0.002124734408</v>
      </c>
      <c r="E1122" s="7">
        <f>IFERROR(IF(OR(PRECIOS!E1122="",PRECIOS!E1121=""),"",PRECIOS!E1122/PRECIOS!E1121-1),"")</f>
        <v>-0.0115990058</v>
      </c>
      <c r="F1122" s="7">
        <f>IFERROR(IF(OR(PRECIOS!F1122="",PRECIOS!F1121=""),"",PRECIOS!F1122/PRECIOS!F1121-1),"")</f>
        <v>-0.0110834026</v>
      </c>
      <c r="G1122" s="7">
        <f>IFERROR(IF(OR(PRECIOS!G1122="",PRECIOS!G1121=""),"",PRECIOS!G1122/PRECIOS!G1121-1),"")</f>
        <v>0.008547008547</v>
      </c>
      <c r="H1122" s="7">
        <f>IFERROR(IF(OR(PRECIOS!H1122="",PRECIOS!H1121=""),"",PRECIOS!H1122/PRECIOS!H1121-1),"")</f>
        <v>0.003282051282</v>
      </c>
      <c r="I1122" s="7">
        <f>IFERROR(IF(OR(PRECIOS!I1122="",PRECIOS!I1121=""),"",PRECIOS!I1122/PRECIOS!I1121-1),"")</f>
        <v>-0.007205950721</v>
      </c>
    </row>
    <row r="1123" ht="15.75" customHeight="1">
      <c r="A1123" s="4">
        <f>IF(PRECIOS!A1123="","",PRECIOS!A1123)</f>
        <v>46045</v>
      </c>
      <c r="B1123" s="7">
        <f>IFERROR(IF(OR(PRECIOS!B1123="",PRECIOS!B1122=""),"",PRECIOS!B1123/PRECIOS!B1122-1),"")</f>
        <v>0.009952110147</v>
      </c>
      <c r="C1123" s="7">
        <f>IFERROR(IF(OR(PRECIOS!C1123="",PRECIOS!C1122=""),"",PRECIOS!C1123/PRECIOS!C1122-1),"")</f>
        <v>0.0003428179637</v>
      </c>
      <c r="D1123" s="7">
        <f>IFERROR(IF(OR(PRECIOS!D1123="",PRECIOS!D1122=""),"",PRECIOS!D1123/PRECIOS!D1122-1),"")</f>
        <v>-0.001496632577</v>
      </c>
      <c r="E1123" s="7">
        <f>IFERROR(IF(OR(PRECIOS!E1123="",PRECIOS!E1122=""),"",PRECIOS!E1123/PRECIOS!E1122-1),"")</f>
        <v>-0.008442102742</v>
      </c>
      <c r="F1123" s="7">
        <f>IFERROR(IF(OR(PRECIOS!F1123="",PRECIOS!F1122=""),"",PRECIOS!F1123/PRECIOS!F1122-1),"")</f>
        <v>0.02045390866</v>
      </c>
      <c r="G1123" s="7">
        <f>IFERROR(IF(OR(PRECIOS!G1123="",PRECIOS!G1122=""),"",PRECIOS!G1123/PRECIOS!G1122-1),"")</f>
        <v>0.0194601381</v>
      </c>
      <c r="H1123" s="7">
        <f>IFERROR(IF(OR(PRECIOS!H1123="",PRECIOS!H1122=""),"",PRECIOS!H1123/PRECIOS!H1122-1),"")</f>
        <v>0.005724800654</v>
      </c>
      <c r="I1123" s="7">
        <f>IFERROR(IF(OR(PRECIOS!I1123="",PRECIOS!I1122=""),"",PRECIOS!I1123/PRECIOS!I1122-1),"")</f>
        <v>-0.003512058066</v>
      </c>
    </row>
    <row r="1124" ht="15.75" customHeight="1">
      <c r="A1124" s="4">
        <f>IF(PRECIOS!A1124="","",PRECIOS!A1124)</f>
        <v>46048</v>
      </c>
      <c r="B1124" s="7">
        <f>IFERROR(IF(OR(PRECIOS!B1124="",PRECIOS!B1123=""),"",PRECIOS!B1124/PRECIOS!B1123-1),"")</f>
        <v>-0.0009631770023</v>
      </c>
      <c r="C1124" s="7">
        <f>IFERROR(IF(OR(PRECIOS!C1124="",PRECIOS!C1123=""),"",PRECIOS!C1124/PRECIOS!C1123-1),"")</f>
        <v>0.007082476582</v>
      </c>
      <c r="D1124" s="7">
        <f>IFERROR(IF(OR(PRECIOS!D1124="",PRECIOS!D1123=""),"",PRECIOS!D1124/PRECIOS!D1123-1),"")</f>
        <v>-0.008181363977</v>
      </c>
      <c r="E1124" s="7">
        <f>IFERROR(IF(OR(PRECIOS!E1124="",PRECIOS!E1123=""),"",PRECIOS!E1124/PRECIOS!E1123-1),"")</f>
        <v>0.003200289838</v>
      </c>
      <c r="F1124" s="7">
        <f>IFERROR(IF(OR(PRECIOS!F1124="",PRECIOS!F1123=""),"",PRECIOS!F1124/PRECIOS!F1123-1),"")</f>
        <v>0.003020318506</v>
      </c>
      <c r="G1124" s="7">
        <f>IFERROR(IF(OR(PRECIOS!G1124="",PRECIOS!G1123=""),"",PRECIOS!G1124/PRECIOS!G1123-1),"")</f>
        <v>-0.01031403941</v>
      </c>
      <c r="H1124" s="7">
        <f>IFERROR(IF(OR(PRECIOS!H1124="",PRECIOS!H1123=""),"",PRECIOS!H1124/PRECIOS!H1123-1),"")</f>
        <v>0.0006098800569</v>
      </c>
      <c r="I1124" s="7">
        <f>IFERROR(IF(OR(PRECIOS!I1124="",PRECIOS!I1123=""),"",PRECIOS!I1124/PRECIOS!I1123-1),"")</f>
        <v>0.007283834586</v>
      </c>
    </row>
    <row r="1125" ht="15.75" customHeight="1">
      <c r="A1125" s="4">
        <f>IF(PRECIOS!A1125="","",PRECIOS!A1125)</f>
        <v>46049</v>
      </c>
      <c r="B1125" s="7">
        <f>IFERROR(IF(OR(PRECIOS!B1125="",PRECIOS!B1124=""),"",PRECIOS!B1125/PRECIOS!B1124-1),"")</f>
        <v>0.01475823198</v>
      </c>
      <c r="C1125" s="7">
        <f>IFERROR(IF(OR(PRECIOS!C1125="",PRECIOS!C1124=""),"",PRECIOS!C1125/PRECIOS!C1124-1),"")</f>
        <v>0.007713248639</v>
      </c>
      <c r="D1125" s="7">
        <f>IFERROR(IF(OR(PRECIOS!D1125="",PRECIOS!D1124=""),"",PRECIOS!D1125/PRECIOS!D1124-1),"")</f>
        <v>0.03431773818</v>
      </c>
      <c r="E1125" s="7">
        <f>IFERROR(IF(OR(PRECIOS!E1125="",PRECIOS!E1124=""),"",PRECIOS!E1125/PRECIOS!E1124-1),"")</f>
        <v>0.02681473456</v>
      </c>
      <c r="F1125" s="7">
        <f>IFERROR(IF(OR(PRECIOS!F1125="",PRECIOS!F1124=""),"",PRECIOS!F1125/PRECIOS!F1124-1),"")</f>
        <v>0.04790583082</v>
      </c>
      <c r="G1125" s="7">
        <f>IFERROR(IF(OR(PRECIOS!G1125="",PRECIOS!G1124=""),"",PRECIOS!G1125/PRECIOS!G1124-1),"")</f>
        <v>0.01850987712</v>
      </c>
      <c r="H1125" s="7">
        <f>IFERROR(IF(OR(PRECIOS!H1125="",PRECIOS!H1124=""),"",PRECIOS!H1125/PRECIOS!H1124-1),"")</f>
        <v>0.009142624949</v>
      </c>
      <c r="I1125" s="7">
        <f>IFERROR(IF(OR(PRECIOS!I1125="",PRECIOS!I1124=""),"",PRECIOS!I1125/PRECIOS!I1124-1),"")</f>
        <v>0.01306274784</v>
      </c>
    </row>
    <row r="1126" ht="15.75" customHeight="1">
      <c r="A1126" s="4">
        <f>IF(PRECIOS!A1126="","",PRECIOS!A1126)</f>
        <v>46050</v>
      </c>
      <c r="B1126" s="7">
        <f>IFERROR(IF(OR(PRECIOS!B1126="",PRECIOS!B1125=""),"",PRECIOS!B1126/PRECIOS!B1125-1),"")</f>
        <v>0.005481254111</v>
      </c>
      <c r="C1126" s="7">
        <f>IFERROR(IF(OR(PRECIOS!C1126="",PRECIOS!C1125=""),"",PRECIOS!C1126/PRECIOS!C1125-1),"")</f>
        <v>-0.005740657362</v>
      </c>
      <c r="D1126" s="7">
        <f>IFERROR(IF(OR(PRECIOS!D1126="",PRECIOS!D1125=""),"",PRECIOS!D1126/PRECIOS!D1125-1),"")</f>
        <v>0.008401314988</v>
      </c>
      <c r="E1126" s="7">
        <f>IFERROR(IF(OR(PRECIOS!E1126="",PRECIOS!E1125=""),"",PRECIOS!E1126/PRECIOS!E1125-1),"")</f>
        <v>0.01796652891</v>
      </c>
      <c r="F1126" s="7">
        <f>IFERROR(IF(OR(PRECIOS!F1126="",PRECIOS!F1125=""),"",PRECIOS!F1126/PRECIOS!F1125-1),"")</f>
        <v>0.008359456635</v>
      </c>
      <c r="G1126" s="7">
        <f>IFERROR(IF(OR(PRECIOS!G1126="",PRECIOS!G1125=""),"",PRECIOS!G1126/PRECIOS!G1125-1),"")</f>
        <v>0.02199144777</v>
      </c>
      <c r="H1126" s="7">
        <f>IFERROR(IF(OR(PRECIOS!H1126="",PRECIOS!H1125=""),"",PRECIOS!H1126/PRECIOS!H1125-1),"")</f>
        <v>0.007650493255</v>
      </c>
      <c r="I1126" s="7">
        <f>IFERROR(IF(OR(PRECIOS!I1126="",PRECIOS!I1125=""),"",PRECIOS!I1126/PRECIOS!I1125-1),"")</f>
        <v>-0.002302555837</v>
      </c>
    </row>
    <row r="1127" ht="15.75" customHeight="1">
      <c r="A1127" s="4">
        <f>IF(PRECIOS!A1127="","",PRECIOS!A1127)</f>
        <v>46051</v>
      </c>
      <c r="B1127" s="7">
        <f>IFERROR(IF(OR(PRECIOS!B1127="",PRECIOS!B1126=""),"",PRECIOS!B1127/PRECIOS!B1126-1),"")</f>
        <v>0.0212967001</v>
      </c>
      <c r="C1127" s="7">
        <f>IFERROR(IF(OR(PRECIOS!C1127="",PRECIOS!C1126=""),"",PRECIOS!C1127/PRECIOS!C1126-1),"")</f>
        <v>0.009170157364</v>
      </c>
      <c r="D1127" s="7">
        <f>IFERROR(IF(OR(PRECIOS!D1127="",PRECIOS!D1126=""),"",PRECIOS!D1127/PRECIOS!D1126-1),"")</f>
        <v>-0.0184737986</v>
      </c>
      <c r="E1127" s="7">
        <f>IFERROR(IF(OR(PRECIOS!E1127="",PRECIOS!E1126=""),"",PRECIOS!E1127/PRECIOS!E1126-1),"")</f>
        <v>0.020298284</v>
      </c>
      <c r="F1127" s="7">
        <f>IFERROR(IF(OR(PRECIOS!F1127="",PRECIOS!F1126=""),"",PRECIOS!F1127/PRECIOS!F1126-1),"")</f>
        <v>0.03031088083</v>
      </c>
      <c r="G1127" s="7">
        <f>IFERROR(IF(OR(PRECIOS!G1127="",PRECIOS!G1126=""),"",PRECIOS!G1127/PRECIOS!G1126-1),"")</f>
        <v>0.00478182905</v>
      </c>
      <c r="H1127" s="7">
        <f>IFERROR(IF(OR(PRECIOS!H1127="",PRECIOS!H1126=""),"",PRECIOS!H1127/PRECIOS!H1126-1),"")</f>
        <v>0.009190809191</v>
      </c>
      <c r="I1127" s="7">
        <f>IFERROR(IF(OR(PRECIOS!I1127="",PRECIOS!I1126=""),"",PRECIOS!I1127/PRECIOS!I1126-1),"")</f>
        <v>0</v>
      </c>
    </row>
    <row r="1128" ht="15.75" customHeight="1">
      <c r="A1128" s="4">
        <f>IF(PRECIOS!A1128="","",PRECIOS!A1128)</f>
        <v>46052</v>
      </c>
      <c r="B1128" s="7">
        <f>IFERROR(IF(OR(PRECIOS!B1128="",PRECIOS!B1127=""),"",PRECIOS!B1128/PRECIOS!B1127-1),"")</f>
        <v>0.00633406875</v>
      </c>
      <c r="C1128" s="7">
        <f>IFERROR(IF(OR(PRECIOS!C1128="",PRECIOS!C1127=""),"",PRECIOS!C1128/PRECIOS!C1127-1),"")</f>
        <v>0.001907112407</v>
      </c>
      <c r="D1128" s="7">
        <f>IFERROR(IF(OR(PRECIOS!D1128="",PRECIOS!D1127=""),"",PRECIOS!D1128/PRECIOS!D1127-1),"")</f>
        <v>-0.02601796039</v>
      </c>
      <c r="E1128" s="7">
        <f>IFERROR(IF(OR(PRECIOS!E1128="",PRECIOS!E1127=""),"",PRECIOS!E1128/PRECIOS!E1127-1),"")</f>
        <v>-0.008324632446</v>
      </c>
      <c r="F1128" s="7">
        <f>IFERROR(IF(OR(PRECIOS!F1128="",PRECIOS!F1127=""),"",PRECIOS!F1128/PRECIOS!F1127-1),"")</f>
        <v>0.0005028916269</v>
      </c>
      <c r="G1128" s="7">
        <f>IFERROR(IF(OR(PRECIOS!G1128="",PRECIOS!G1127=""),"",PRECIOS!G1128/PRECIOS!G1127-1),"")</f>
        <v>0.0002974419988</v>
      </c>
      <c r="H1128" s="7">
        <f>IFERROR(IF(OR(PRECIOS!H1128="",PRECIOS!H1127=""),"",PRECIOS!H1128/PRECIOS!H1127-1),"")</f>
        <v>0.01069095229</v>
      </c>
      <c r="I1128" s="7">
        <f>IFERROR(IF(OR(PRECIOS!I1128="",PRECIOS!I1127=""),"",PRECIOS!I1128/PRECIOS!I1127-1),"")</f>
        <v>-0.001846295869</v>
      </c>
    </row>
    <row r="1129" ht="15.75" customHeight="1">
      <c r="A1129" s="4">
        <f>IF(PRECIOS!A1129="","",PRECIOS!A1129)</f>
        <v>46055</v>
      </c>
      <c r="B1129" s="7">
        <f>IFERROR(IF(OR(PRECIOS!B1129="",PRECIOS!B1128=""),"",PRECIOS!B1129/PRECIOS!B1128-1),"")</f>
        <v>-0.02121640736</v>
      </c>
      <c r="C1129" s="7">
        <f>IFERROR(IF(OR(PRECIOS!C1129="",PRECIOS!C1128=""),"",PRECIOS!C1129/PRECIOS!C1128-1),"")</f>
        <v>-0.01254058896</v>
      </c>
      <c r="D1129" s="7">
        <f>IFERROR(IF(OR(PRECIOS!D1129="",PRECIOS!D1128=""),"",PRECIOS!D1129/PRECIOS!D1128-1),"")</f>
        <v>-0.02582886012</v>
      </c>
      <c r="E1129" s="7">
        <f>IFERROR(IF(OR(PRECIOS!E1129="",PRECIOS!E1128=""),"",PRECIOS!E1129/PRECIOS!E1128-1),"")</f>
        <v>0.02282169484</v>
      </c>
      <c r="F1129" s="7">
        <f>IFERROR(IF(OR(PRECIOS!F1129="",PRECIOS!F1128=""),"",PRECIOS!F1129/PRECIOS!F1128-1),"")</f>
        <v>-0.02337270671</v>
      </c>
      <c r="G1129" s="7">
        <f>IFERROR(IF(OR(PRECIOS!G1129="",PRECIOS!G1128=""),"",PRECIOS!G1129/PRECIOS!G1128-1),"")</f>
        <v>-0.01367826346</v>
      </c>
      <c r="H1129" s="7">
        <f>IFERROR(IF(OR(PRECIOS!H1129="",PRECIOS!H1128=""),"",PRECIOS!H1129/PRECIOS!H1128-1),"")</f>
        <v>-0.01958863859</v>
      </c>
      <c r="I1129" s="7">
        <f>IFERROR(IF(OR(PRECIOS!I1129="",PRECIOS!I1128=""),"",PRECIOS!I1129/PRECIOS!I1128-1),"")</f>
        <v>-0.01456647399</v>
      </c>
    </row>
    <row r="1130" ht="15.75" customHeight="1">
      <c r="A1130" s="4">
        <f>IF(PRECIOS!A1130="","",PRECIOS!A1130)</f>
        <v>46056</v>
      </c>
      <c r="B1130" s="7">
        <f>IFERROR(IF(OR(PRECIOS!B1130="",PRECIOS!B1129=""),"",PRECIOS!B1130/PRECIOS!B1129-1),"")</f>
        <v>0.03851156069</v>
      </c>
      <c r="C1130" s="7">
        <f>IFERROR(IF(OR(PRECIOS!C1130="",PRECIOS!C1129=""),"",PRECIOS!C1130/PRECIOS!C1129-1),"")</f>
        <v>0.02199795895</v>
      </c>
      <c r="D1130" s="7">
        <f>IFERROR(IF(OR(PRECIOS!D1130="",PRECIOS!D1129=""),"",PRECIOS!D1130/PRECIOS!D1129-1),"")</f>
        <v>-0.008168028005</v>
      </c>
      <c r="E1130" s="7">
        <f>IFERROR(IF(OR(PRECIOS!E1130="",PRECIOS!E1129=""),"",PRECIOS!E1130/PRECIOS!E1129-1),"")</f>
        <v>0.008596705987</v>
      </c>
      <c r="F1130" s="7">
        <f>IFERROR(IF(OR(PRECIOS!F1130="",PRECIOS!F1129=""),"",PRECIOS!F1130/PRECIOS!F1129-1),"")</f>
        <v>0.002830674215</v>
      </c>
      <c r="G1130" s="7">
        <f>IFERROR(IF(OR(PRECIOS!G1130="",PRECIOS!G1129=""),"",PRECIOS!G1130/PRECIOS!G1129-1),"")</f>
        <v>0.03255954175</v>
      </c>
      <c r="H1130" s="7">
        <f>IFERROR(IF(OR(PRECIOS!H1130="",PRECIOS!H1129=""),"",PRECIOS!H1130/PRECIOS!H1129-1),"")</f>
        <v>0.03236763237</v>
      </c>
      <c r="I1130" s="7">
        <f>IFERROR(IF(OR(PRECIOS!I1130="",PRECIOS!I1129=""),"",PRECIOS!I1130/PRECIOS!I1129-1),"")</f>
        <v>0.01454716096</v>
      </c>
    </row>
    <row r="1131" ht="15.75" customHeight="1">
      <c r="A1131" s="4">
        <f>IF(PRECIOS!A1131="","",PRECIOS!A1131)</f>
        <v>46057</v>
      </c>
      <c r="B1131" s="7">
        <f>IFERROR(IF(OR(PRECIOS!B1131="",PRECIOS!B1130=""),"",PRECIOS!B1131/PRECIOS!B1130-1),"")</f>
        <v>0.02685591039</v>
      </c>
      <c r="C1131" s="7">
        <f>IFERROR(IF(OR(PRECIOS!C1131="",PRECIOS!C1130=""),"",PRECIOS!C1131/PRECIOS!C1130-1),"")</f>
        <v>0.00177521358</v>
      </c>
      <c r="D1131" s="7">
        <f>IFERROR(IF(OR(PRECIOS!D1131="",PRECIOS!D1130=""),"",PRECIOS!D1131/PRECIOS!D1130-1),"")</f>
        <v>-0.06849673203</v>
      </c>
      <c r="E1131" s="7">
        <f>IFERROR(IF(OR(PRECIOS!E1131="",PRECIOS!E1130=""),"",PRECIOS!E1131/PRECIOS!E1130-1),"")</f>
        <v>0.00681322925</v>
      </c>
      <c r="F1131" s="7">
        <f>IFERROR(IF(OR(PRECIOS!F1131="",PRECIOS!F1130=""),"",PRECIOS!F1131/PRECIOS!F1130-1),"")</f>
        <v>0.01334359764</v>
      </c>
      <c r="G1131" s="7">
        <f>IFERROR(IF(OR(PRECIOS!G1131="",PRECIOS!G1130=""),"",PRECIOS!G1131/PRECIOS!G1130-1),"")</f>
        <v>-0.0297810219</v>
      </c>
      <c r="H1131" s="7">
        <f>IFERROR(IF(OR(PRECIOS!H1131="",PRECIOS!H1130=""),"",PRECIOS!H1131/PRECIOS!H1130-1),"")</f>
        <v>0.02245016451</v>
      </c>
      <c r="I1131" s="7">
        <f>IFERROR(IF(OR(PRECIOS!I1131="",PRECIOS!I1130=""),"",PRECIOS!I1131/PRECIOS!I1130-1),"")</f>
        <v>-0.003700277521</v>
      </c>
    </row>
    <row r="1132" ht="15.75" customHeight="1">
      <c r="A1132" s="4">
        <f>IF(PRECIOS!A1132="","",PRECIOS!A1132)</f>
        <v>46058</v>
      </c>
      <c r="B1132" s="7">
        <f>IFERROR(IF(OR(PRECIOS!B1132="",PRECIOS!B1131=""),"",PRECIOS!B1132/PRECIOS!B1131-1),"")</f>
        <v>-0.01023104546</v>
      </c>
      <c r="C1132" s="7">
        <f>IFERROR(IF(OR(PRECIOS!C1132="",PRECIOS!C1131=""),"",PRECIOS!C1132/PRECIOS!C1131-1),"")</f>
        <v>0.008749584672</v>
      </c>
      <c r="D1132" s="7">
        <f>IFERROR(IF(OR(PRECIOS!D1132="",PRECIOS!D1131=""),"",PRECIOS!D1132/PRECIOS!D1131-1),"")</f>
        <v>0.003859107494</v>
      </c>
      <c r="E1132" s="7">
        <f>IFERROR(IF(OR(PRECIOS!E1132="",PRECIOS!E1131=""),"",PRECIOS!E1132/PRECIOS!E1131-1),"")</f>
        <v>-0.02830136986</v>
      </c>
      <c r="F1132" s="7">
        <f>IFERROR(IF(OR(PRECIOS!F1132="",PRECIOS!F1131=""),"",PRECIOS!F1132/PRECIOS!F1131-1),"")</f>
        <v>-0.05039250443</v>
      </c>
      <c r="G1132" s="7">
        <f>IFERROR(IF(OR(PRECIOS!G1132="",PRECIOS!G1131=""),"",PRECIOS!G1132/PRECIOS!G1131-1),"")</f>
        <v>0.01444477881</v>
      </c>
      <c r="H1132" s="7">
        <f>IFERROR(IF(OR(PRECIOS!H1132="",PRECIOS!H1131=""),"",PRECIOS!H1132/PRECIOS!H1131-1),"")</f>
        <v>-0.0117357562</v>
      </c>
      <c r="I1132" s="7">
        <f>IFERROR(IF(OR(PRECIOS!I1132="",PRECIOS!I1131=""),"",PRECIOS!I1132/PRECIOS!I1131-1),"")</f>
        <v>0.0004642525534</v>
      </c>
    </row>
    <row r="1133" ht="15.75" customHeight="1">
      <c r="A1133" s="4">
        <f>IF(PRECIOS!A1133="","",PRECIOS!A1133)</f>
        <v>46059</v>
      </c>
      <c r="B1133" s="7">
        <f>IFERROR(IF(OR(PRECIOS!B1133="",PRECIOS!B1132=""),"",PRECIOS!B1133/PRECIOS!B1132-1),"")</f>
        <v>0.0203313253</v>
      </c>
      <c r="C1133" s="7">
        <f>IFERROR(IF(OR(PRECIOS!C1133="",PRECIOS!C1132=""),"",PRECIOS!C1133/PRECIOS!C1132-1),"")</f>
        <v>-0.01097935881</v>
      </c>
      <c r="D1133" s="7">
        <f>IFERROR(IF(OR(PRECIOS!D1133="",PRECIOS!D1132=""),"",PRECIOS!D1133/PRECIOS!D1132-1),"")</f>
        <v>0.04599147271</v>
      </c>
      <c r="E1133" s="7">
        <f>IFERROR(IF(OR(PRECIOS!E1133="",PRECIOS!E1132=""),"",PRECIOS!E1133/PRECIOS!E1132-1),"")</f>
        <v>0.05399385344</v>
      </c>
      <c r="F1133" s="7">
        <f>IFERROR(IF(OR(PRECIOS!F1133="",PRECIOS!F1132=""),"",PRECIOS!F1133/PRECIOS!F1132-1),"")</f>
        <v>0.01706666667</v>
      </c>
      <c r="G1133" s="7">
        <f>IFERROR(IF(OR(PRECIOS!G1133="",PRECIOS!G1132=""),"",PRECIOS!G1133/PRECIOS!G1132-1),"")</f>
        <v>-0.007416196974</v>
      </c>
      <c r="H1133" s="7">
        <f>IFERROR(IF(OR(PRECIOS!H1133="",PRECIOS!H1132=""),"",PRECIOS!H1133/PRECIOS!H1132-1),"")</f>
        <v>0.01991955564</v>
      </c>
      <c r="I1133" s="7">
        <f>IFERROR(IF(OR(PRECIOS!I1133="",PRECIOS!I1132=""),"",PRECIOS!I1133/PRECIOS!I1132-1),"")</f>
        <v>0.005800464037</v>
      </c>
    </row>
    <row r="1134" ht="15.75" customHeight="1">
      <c r="A1134" s="4">
        <f>IF(PRECIOS!A1134="","",PRECIOS!A1134)</f>
        <v>46062</v>
      </c>
      <c r="B1134" s="7">
        <f>IFERROR(IF(OR(PRECIOS!B1134="",PRECIOS!B1133=""),"",PRECIOS!B1134/PRECIOS!B1133-1),"")</f>
        <v>0.01449178128</v>
      </c>
      <c r="C1134" s="7">
        <f>IFERROR(IF(OR(PRECIOS!C1134="",PRECIOS!C1133=""),"",PRECIOS!C1134/PRECIOS!C1133-1),"")</f>
        <v>-0.007770870337</v>
      </c>
      <c r="D1134" s="7">
        <f>IFERROR(IF(OR(PRECIOS!D1134="",PRECIOS!D1133=""),"",PRECIOS!D1134/PRECIOS!D1133-1),"")</f>
        <v>0.02218509856</v>
      </c>
      <c r="E1134" s="7">
        <f>IFERROR(IF(OR(PRECIOS!E1134="",PRECIOS!E1133=""),"",PRECIOS!E1134/PRECIOS!E1133-1),"")</f>
        <v>0.008667273019</v>
      </c>
      <c r="F1134" s="7">
        <f>IFERROR(IF(OR(PRECIOS!F1134="",PRECIOS!F1133=""),"",PRECIOS!F1134/PRECIOS!F1133-1),"")</f>
        <v>0.003932878867</v>
      </c>
      <c r="G1134" s="7">
        <f>IFERROR(IF(OR(PRECIOS!G1134="",PRECIOS!G1133=""),"",PRECIOS!G1134/PRECIOS!G1133-1),"")</f>
        <v>0.01389719068</v>
      </c>
      <c r="H1134" s="7">
        <f>IFERROR(IF(OR(PRECIOS!H1134="",PRECIOS!H1133=""),"",PRECIOS!H1134/PRECIOS!H1133-1),"")</f>
        <v>0.007323943662</v>
      </c>
      <c r="I1134" s="7">
        <f>IFERROR(IF(OR(PRECIOS!I1134="",PRECIOS!I1133=""),"",PRECIOS!I1134/PRECIOS!I1133-1),"")</f>
        <v>0.002998846597</v>
      </c>
    </row>
    <row r="1135" ht="15.75" customHeight="1">
      <c r="A1135" s="4">
        <f>IF(PRECIOS!A1135="","",PRECIOS!A1135)</f>
        <v>46063</v>
      </c>
      <c r="B1135" s="7">
        <f>IFERROR(IF(OR(PRECIOS!B1135="",PRECIOS!B1134=""),"",PRECIOS!B1135/PRECIOS!B1134-1),"")</f>
        <v>0.002513061305</v>
      </c>
      <c r="C1135" s="7">
        <f>IFERROR(IF(OR(PRECIOS!C1135="",PRECIOS!C1134=""),"",PRECIOS!C1135/PRECIOS!C1134-1),"")</f>
        <v>0.01499216827</v>
      </c>
      <c r="D1135" s="7">
        <f>IFERROR(IF(OR(PRECIOS!D1135="",PRECIOS!D1134=""),"",PRECIOS!D1135/PRECIOS!D1134-1),"")</f>
        <v>0.04334183173</v>
      </c>
      <c r="E1135" s="7">
        <f>IFERROR(IF(OR(PRECIOS!E1135="",PRECIOS!E1134=""),"",PRECIOS!E1135/PRECIOS!E1134-1),"")</f>
        <v>0.001087360102</v>
      </c>
      <c r="F1135" s="7">
        <f>IFERROR(IF(OR(PRECIOS!F1135="",PRECIOS!F1134=""),"",PRECIOS!F1135/PRECIOS!F1134-1),"")</f>
        <v>0.02115434839</v>
      </c>
      <c r="G1135" s="7">
        <f>IFERROR(IF(OR(PRECIOS!G1135="",PRECIOS!G1134=""),"",PRECIOS!G1135/PRECIOS!G1134-1),"")</f>
        <v>0.01459100958</v>
      </c>
      <c r="H1135" s="7">
        <f>IFERROR(IF(OR(PRECIOS!H1135="",PRECIOS!H1134=""),"",PRECIOS!H1135/PRECIOS!H1134-1),"")</f>
        <v>-0.001118568233</v>
      </c>
      <c r="I1135" s="7">
        <f>IFERROR(IF(OR(PRECIOS!I1135="",PRECIOS!I1134=""),"",PRECIOS!I1135/PRECIOS!I1134-1),"")</f>
        <v>0.01655933763</v>
      </c>
    </row>
    <row r="1136" ht="15.75" customHeight="1">
      <c r="A1136" s="4">
        <f>IF(PRECIOS!A1136="","",PRECIOS!A1136)</f>
        <v>46064</v>
      </c>
      <c r="B1136" s="7">
        <f>IFERROR(IF(OR(PRECIOS!B1136="",PRECIOS!B1135=""),"",PRECIOS!B1136/PRECIOS!B1135-1),"")</f>
        <v>0.0261890626</v>
      </c>
      <c r="C1136" s="7">
        <f>IFERROR(IF(OR(PRECIOS!C1136="",PRECIOS!C1135=""),"",PRECIOS!C1136/PRECIOS!C1135-1),"")</f>
        <v>0.001543209877</v>
      </c>
      <c r="D1136" s="7">
        <f>IFERROR(IF(OR(PRECIOS!D1136="",PRECIOS!D1135=""),"",PRECIOS!D1136/PRECIOS!D1135-1),"")</f>
        <v>0.003446115288</v>
      </c>
      <c r="E1136" s="7">
        <f>IFERROR(IF(OR(PRECIOS!E1136="",PRECIOS!E1135=""),"",PRECIOS!E1136/PRECIOS!E1135-1),"")</f>
        <v>0.04932842345</v>
      </c>
      <c r="F1136" s="7">
        <f>IFERROR(IF(OR(PRECIOS!F1136="",PRECIOS!F1135=""),"",PRECIOS!F1136/PRECIOS!F1135-1),"")</f>
        <v>-0.002813299233</v>
      </c>
      <c r="G1136" s="7">
        <f>IFERROR(IF(OR(PRECIOS!G1136="",PRECIOS!G1135=""),"",PRECIOS!G1136/PRECIOS!G1135-1),"")</f>
        <v>0.03312027891</v>
      </c>
      <c r="H1136" s="7">
        <f>IFERROR(IF(OR(PRECIOS!H1136="",PRECIOS!H1135=""),"",PRECIOS!H1136/PRECIOS!H1135-1),"")</f>
        <v>0.02612915267</v>
      </c>
      <c r="I1136" s="7">
        <f>IFERROR(IF(OR(PRECIOS!I1136="",PRECIOS!I1135=""),"",PRECIOS!I1136/PRECIOS!I1135-1),"")</f>
        <v>0.008823529412</v>
      </c>
    </row>
    <row r="1137" ht="15.75" customHeight="1">
      <c r="A1137" s="4">
        <f>IF(PRECIOS!A1137="","",PRECIOS!A1137)</f>
        <v>46065</v>
      </c>
      <c r="B1137" s="7">
        <f>IFERROR(IF(OR(PRECIOS!B1137="",PRECIOS!B1136=""),"",PRECIOS!B1137/PRECIOS!B1136-1),"")</f>
        <v>-0.03619182309</v>
      </c>
      <c r="C1137" s="7">
        <f>IFERROR(IF(OR(PRECIOS!C1137="",PRECIOS!C1136=""),"",PRECIOS!C1137/PRECIOS!C1136-1),"")</f>
        <v>0.01871010346</v>
      </c>
      <c r="D1137" s="7">
        <f>IFERROR(IF(OR(PRECIOS!D1137="",PRECIOS!D1136=""),"",PRECIOS!D1137/PRECIOS!D1136-1),"")</f>
        <v>0.01842023103</v>
      </c>
      <c r="E1137" s="7">
        <f>IFERROR(IF(OR(PRECIOS!E1137="",PRECIOS!E1136=""),"",PRECIOS!E1137/PRECIOS!E1136-1),"")</f>
        <v>-0.01454214951</v>
      </c>
      <c r="F1137" s="7">
        <f>IFERROR(IF(OR(PRECIOS!F1137="",PRECIOS!F1136=""),"",PRECIOS!F1137/PRECIOS!F1136-1),"")</f>
        <v>-0.04283149526</v>
      </c>
      <c r="G1137" s="7">
        <f>IFERROR(IF(OR(PRECIOS!G1137="",PRECIOS!G1136=""),"",PRECIOS!G1137/PRECIOS!G1136-1),"")</f>
        <v>0.0001406074241</v>
      </c>
      <c r="H1137" s="7">
        <f>IFERROR(IF(OR(PRECIOS!H1137="",PRECIOS!H1136=""),"",PRECIOS!H1137/PRECIOS!H1136-1),"")</f>
        <v>-0.01818843216</v>
      </c>
      <c r="I1137" s="7">
        <f>IFERROR(IF(OR(PRECIOS!I1137="",PRECIOS!I1136=""),"",PRECIOS!I1137/PRECIOS!I1136-1),"")</f>
        <v>0.01480152501</v>
      </c>
    </row>
    <row r="1138" ht="15.75" customHeight="1">
      <c r="A1138" s="4">
        <f>IF(PRECIOS!A1138="","",PRECIOS!A1138)</f>
        <v>46066</v>
      </c>
      <c r="B1138" s="7">
        <f>IFERROR(IF(OR(PRECIOS!B1138="",PRECIOS!B1137=""),"",PRECIOS!B1138/PRECIOS!B1137-1),"")</f>
        <v>-0.009871273261</v>
      </c>
      <c r="C1138" s="7">
        <f>IFERROR(IF(OR(PRECIOS!C1138="",PRECIOS!C1137=""),"",PRECIOS!C1138/PRECIOS!C1137-1),"")</f>
        <v>0.02582108902</v>
      </c>
      <c r="D1138" s="7">
        <f>IFERROR(IF(OR(PRECIOS!D1138="",PRECIOS!D1137=""),"",PRECIOS!D1138/PRECIOS!D1137-1),"")</f>
        <v>0.05144083384</v>
      </c>
      <c r="E1138" s="7">
        <f>IFERROR(IF(OR(PRECIOS!E1138="",PRECIOS!E1137=""),"",PRECIOS!E1138/PRECIOS!E1137-1),"")</f>
        <v>-0.002766889555</v>
      </c>
      <c r="F1138" s="7">
        <f>IFERROR(IF(OR(PRECIOS!F1138="",PRECIOS!F1137=""),"",PRECIOS!F1138/PRECIOS!F1137-1),"")</f>
        <v>0.001339764202</v>
      </c>
      <c r="G1138" s="7">
        <f>IFERROR(IF(OR(PRECIOS!G1138="",PRECIOS!G1137=""),"",PRECIOS!G1138/PRECIOS!G1137-1),"")</f>
        <v>0.01616758049</v>
      </c>
      <c r="H1138" s="7">
        <f>IFERROR(IF(OR(PRECIOS!H1138="",PRECIOS!H1137=""),"",PRECIOS!H1138/PRECIOS!H1137-1),"")</f>
        <v>0.006854390515</v>
      </c>
      <c r="I1138" s="7">
        <f>IFERROR(IF(OR(PRECIOS!I1138="",PRECIOS!I1137=""),"",PRECIOS!I1138/PRECIOS!I1137-1),"")</f>
        <v>0.02762430939</v>
      </c>
    </row>
    <row r="1139" ht="15.75" customHeight="1">
      <c r="A1139" s="4">
        <f>IF(PRECIOS!A1139="","",PRECIOS!A1139)</f>
        <v>46070</v>
      </c>
      <c r="B1139" s="7">
        <f>IFERROR(IF(OR(PRECIOS!B1139="",PRECIOS!B1138=""),"",PRECIOS!B1139/PRECIOS!B1138-1),"")</f>
        <v>-0.01522398114</v>
      </c>
      <c r="C1139" s="7">
        <f>IFERROR(IF(OR(PRECIOS!C1139="",PRECIOS!C1138=""),"",PRECIOS!C1139/PRECIOS!C1138-1),"")</f>
        <v>-0.03106898368</v>
      </c>
      <c r="D1139" s="7">
        <f>IFERROR(IF(OR(PRECIOS!D1139="",PRECIOS!D1138=""),"",PRECIOS!D1139/PRECIOS!D1138-1),"")</f>
        <v>0.01277042393</v>
      </c>
      <c r="E1139" s="7">
        <f>IFERROR(IF(OR(PRECIOS!E1139="",PRECIOS!E1138=""),"",PRECIOS!E1139/PRECIOS!E1138-1),"")</f>
        <v>0.00575465639</v>
      </c>
      <c r="F1139" s="7">
        <f>IFERROR(IF(OR(PRECIOS!F1139="",PRECIOS!F1138=""),"",PRECIOS!F1139/PRECIOS!F1138-1),"")</f>
        <v>-0.009633395772</v>
      </c>
      <c r="G1139" s="7">
        <f>IFERROR(IF(OR(PRECIOS!G1139="",PRECIOS!G1138=""),"",PRECIOS!G1139/PRECIOS!G1138-1),"")</f>
        <v>-0.004427227449</v>
      </c>
      <c r="H1139" s="7">
        <f>IFERROR(IF(OR(PRECIOS!H1139="",PRECIOS!H1138=""),"",PRECIOS!H1139/PRECIOS!H1138-1),"")</f>
        <v>-0.01103955842</v>
      </c>
      <c r="I1139" s="7">
        <f>IFERROR(IF(OR(PRECIOS!I1139="",PRECIOS!I1138=""),"",PRECIOS!I1139/PRECIOS!I1138-1),"")</f>
        <v>-0.002580645161</v>
      </c>
    </row>
    <row r="1140" ht="15.75" customHeight="1">
      <c r="A1140" s="4">
        <f>IF(PRECIOS!A1140="","",PRECIOS!A1140)</f>
        <v>46071</v>
      </c>
      <c r="B1140" s="7">
        <f>IFERROR(IF(OR(PRECIOS!B1140="",PRECIOS!B1139=""),"",PRECIOS!B1140/PRECIOS!B1139-1),"")</f>
        <v>0.03071345509</v>
      </c>
      <c r="C1140" s="7">
        <f>IFERROR(IF(OR(PRECIOS!C1140="",PRECIOS!C1139=""),"",PRECIOS!C1140/PRECIOS!C1139-1),"")</f>
        <v>-0.01043478261</v>
      </c>
      <c r="D1140" s="7">
        <f>IFERROR(IF(OR(PRECIOS!D1140="",PRECIOS!D1139=""),"",PRECIOS!D1140/PRECIOS!D1139-1),"")</f>
        <v>-0.0179064947</v>
      </c>
      <c r="E1140" s="7">
        <f>IFERROR(IF(OR(PRECIOS!E1140="",PRECIOS!E1139=""),"",PRECIOS!E1140/PRECIOS!E1139-1),"")</f>
        <v>-0.02837875808</v>
      </c>
      <c r="F1140" s="7">
        <f>IFERROR(IF(OR(PRECIOS!F1140="",PRECIOS!F1139=""),"",PRECIOS!F1140/PRECIOS!F1139-1),"")</f>
        <v>0.009997298028</v>
      </c>
      <c r="G1140" s="7">
        <f>IFERROR(IF(OR(PRECIOS!G1140="",PRECIOS!G1139=""),"",PRECIOS!G1140/PRECIOS!G1139-1),"")</f>
        <v>0.002501389661</v>
      </c>
      <c r="H1140" s="7">
        <f>IFERROR(IF(OR(PRECIOS!H1140="",PRECIOS!H1139=""),"",PRECIOS!H1140/PRECIOS!H1139-1),"")</f>
        <v>0.0191627907</v>
      </c>
      <c r="I1140" s="7">
        <f>IFERROR(IF(OR(PRECIOS!I1140="",PRECIOS!I1139=""),"",PRECIOS!I1140/PRECIOS!I1139-1),"")</f>
        <v>-0.01660198361</v>
      </c>
    </row>
    <row r="1141" ht="15.75" customHeight="1">
      <c r="A1141" s="4">
        <f>IF(PRECIOS!A1141="","",PRECIOS!A1141)</f>
        <v>46072</v>
      </c>
      <c r="B1141" s="7">
        <f>IFERROR(IF(OR(PRECIOS!B1141="",PRECIOS!B1140=""),"",PRECIOS!B1141/PRECIOS!B1140-1),"")</f>
        <v>0.001924608442</v>
      </c>
      <c r="C1141" s="7">
        <f>IFERROR(IF(OR(PRECIOS!C1141="",PRECIOS!C1140=""),"",PRECIOS!C1141/PRECIOS!C1140-1),"")</f>
        <v>0.04404657293</v>
      </c>
      <c r="D1141" s="7">
        <f>IFERROR(IF(OR(PRECIOS!D1141="",PRECIOS!D1140=""),"",PRECIOS!D1141/PRECIOS!D1140-1),"")</f>
        <v>0.01131500264</v>
      </c>
      <c r="E1141" s="7">
        <f>IFERROR(IF(OR(PRECIOS!E1141="",PRECIOS!E1140=""),"",PRECIOS!E1141/PRECIOS!E1140-1),"")</f>
        <v>-0.008044586992</v>
      </c>
      <c r="F1141" s="7">
        <f>IFERROR(IF(OR(PRECIOS!F1141="",PRECIOS!F1140=""),"",PRECIOS!F1141/PRECIOS!F1140-1),"")</f>
        <v>0.02996254682</v>
      </c>
      <c r="G1141" s="7">
        <f>IFERROR(IF(OR(PRECIOS!G1141="",PRECIOS!G1140=""),"",PRECIOS!G1141/PRECIOS!G1140-1),"")</f>
        <v>0.0004158580538</v>
      </c>
      <c r="H1141" s="7">
        <f>IFERROR(IF(OR(PRECIOS!H1141="",PRECIOS!H1140=""),"",PRECIOS!H1141/PRECIOS!H1140-1),"")</f>
        <v>0.007301935013</v>
      </c>
      <c r="I1141" s="7">
        <f>IFERROR(IF(OR(PRECIOS!I1141="",PRECIOS!I1140=""),"",PRECIOS!I1141/PRECIOS!I1140-1),"")</f>
        <v>0.01096250822</v>
      </c>
    </row>
    <row r="1142" ht="15.75" customHeight="1">
      <c r="A1142" s="4">
        <f>IF(PRECIOS!A1142="","",PRECIOS!A1142)</f>
        <v>46073</v>
      </c>
      <c r="B1142" s="7">
        <f>IFERROR(IF(OR(PRECIOS!B1142="",PRECIOS!B1141=""),"",PRECIOS!B1142/PRECIOS!B1141-1),"")</f>
        <v>-0.02444194211</v>
      </c>
      <c r="C1142" s="7">
        <f>IFERROR(IF(OR(PRECIOS!C1142="",PRECIOS!C1141=""),"",PRECIOS!C1142/PRECIOS!C1141-1),"")</f>
        <v>-0.007890583903</v>
      </c>
      <c r="D1142" s="7">
        <f>IFERROR(IF(OR(PRECIOS!D1142="",PRECIOS!D1141=""),"",PRECIOS!D1142/PRECIOS!D1141-1),"")</f>
        <v>-0.006376811594</v>
      </c>
      <c r="E1142" s="7">
        <f>IFERROR(IF(OR(PRECIOS!E1142="",PRECIOS!E1141=""),"",PRECIOS!E1142/PRECIOS!E1141-1),"")</f>
        <v>-0.01044206509</v>
      </c>
      <c r="F1142" s="7">
        <f>IFERROR(IF(OR(PRECIOS!F1142="",PRECIOS!F1141=""),"",PRECIOS!F1142/PRECIOS!F1141-1),"")</f>
        <v>0.0002597402597</v>
      </c>
      <c r="G1142" s="7">
        <f>IFERROR(IF(OR(PRECIOS!G1142="",PRECIOS!G1141=""),"",PRECIOS!G1142/PRECIOS!G1141-1),"")</f>
        <v>0.01122350007</v>
      </c>
      <c r="H1142" s="7">
        <f>IFERROR(IF(OR(PRECIOS!H1142="",PRECIOS!H1141=""),"",PRECIOS!H1142/PRECIOS!H1141-1),"")</f>
        <v>-0.005436752447</v>
      </c>
      <c r="I1142" s="7">
        <f>IFERROR(IF(OR(PRECIOS!I1142="",PRECIOS!I1141=""),"",PRECIOS!I1142/PRECIOS!I1141-1),"")</f>
        <v>0.004771199306</v>
      </c>
    </row>
    <row r="1143" ht="15.75" customHeight="1">
      <c r="A1143" s="4">
        <f>IF(PRECIOS!A1143="","",PRECIOS!A1143)</f>
        <v>46076</v>
      </c>
      <c r="B1143" s="7">
        <f>IFERROR(IF(OR(PRECIOS!B1143="",PRECIOS!B1142=""),"",PRECIOS!B1143/PRECIOS!B1142-1),"")</f>
        <v>0.02362846279</v>
      </c>
      <c r="C1143" s="7">
        <f>IFERROR(IF(OR(PRECIOS!C1143="",PRECIOS!C1142=""),"",PRECIOS!C1143/PRECIOS!C1142-1),"")</f>
        <v>0.009331919406</v>
      </c>
      <c r="D1143" s="7">
        <f>IFERROR(IF(OR(PRECIOS!D1143="",PRECIOS!D1142=""),"",PRECIOS!D1143/PRECIOS!D1142-1),"")</f>
        <v>-0.02100350058</v>
      </c>
      <c r="E1143" s="7">
        <f>IFERROR(IF(OR(PRECIOS!E1143="",PRECIOS!E1142=""),"",PRECIOS!E1143/PRECIOS!E1142-1),"")</f>
        <v>-0.03034442123</v>
      </c>
      <c r="F1143" s="7">
        <f>IFERROR(IF(OR(PRECIOS!F1143="",PRECIOS!F1142=""),"",PRECIOS!F1143/PRECIOS!F1142-1),"")</f>
        <v>-0.02570760841</v>
      </c>
      <c r="G1143" s="7">
        <f>IFERROR(IF(OR(PRECIOS!G1143="",PRECIOS!G1142=""),"",PRECIOS!G1143/PRECIOS!G1142-1),"")</f>
        <v>0</v>
      </c>
      <c r="H1143" s="7">
        <f>IFERROR(IF(OR(PRECIOS!H1143="",PRECIOS!H1142=""),"",PRECIOS!H1143/PRECIOS!H1142-1),"")</f>
        <v>0.004919825073</v>
      </c>
      <c r="I1143" s="7">
        <f>IFERROR(IF(OR(PRECIOS!I1143="",PRECIOS!I1142=""),"",PRECIOS!I1143/PRECIOS!I1142-1),"")</f>
        <v>0.007554500324</v>
      </c>
    </row>
    <row r="1144" ht="15.75" customHeight="1">
      <c r="A1144" s="4">
        <f>IF(PRECIOS!A1144="","",PRECIOS!A1144)</f>
        <v>46077</v>
      </c>
      <c r="B1144" s="7">
        <f>IFERROR(IF(OR(PRECIOS!B1144="",PRECIOS!B1143=""),"",PRECIOS!B1144/PRECIOS!B1143-1),"")</f>
        <v>-0.00994958875</v>
      </c>
      <c r="C1144" s="7">
        <f>IFERROR(IF(OR(PRECIOS!C1144="",PRECIOS!C1143=""),"",PRECIOS!C1144/PRECIOS!C1143-1),"")</f>
        <v>0.006619037613</v>
      </c>
      <c r="D1144" s="7">
        <f>IFERROR(IF(OR(PRECIOS!D1144="",PRECIOS!D1143=""),"",PRECIOS!D1144/PRECIOS!D1143-1),"")</f>
        <v>0.02276519666</v>
      </c>
      <c r="E1144" s="7">
        <f>IFERROR(IF(OR(PRECIOS!E1144="",PRECIOS!E1143=""),"",PRECIOS!E1144/PRECIOS!E1143-1),"")</f>
        <v>0.0345532385</v>
      </c>
      <c r="F1144" s="7">
        <f>IFERROR(IF(OR(PRECIOS!F1144="",PRECIOS!F1143=""),"",PRECIOS!F1144/PRECIOS!F1143-1),"")</f>
        <v>0.01305970149</v>
      </c>
      <c r="G1144" s="7">
        <f>IFERROR(IF(OR(PRECIOS!G1144="",PRECIOS!G1143=""),"",PRECIOS!G1144/PRECIOS!G1143-1),"")</f>
        <v>0.007125239792</v>
      </c>
      <c r="H1144" s="7">
        <f>IFERROR(IF(OR(PRECIOS!H1144="",PRECIOS!H1143=""),"",PRECIOS!H1144/PRECIOS!H1143-1),"")</f>
        <v>-0.0009066183137</v>
      </c>
      <c r="I1144" s="7">
        <f>IFERROR(IF(OR(PRECIOS!I1144="",PRECIOS!I1143=""),"",PRECIOS!I1144/PRECIOS!I1143-1),"")</f>
        <v>0.01113967438</v>
      </c>
    </row>
    <row r="1145" ht="15.75" customHeight="1">
      <c r="A1145" s="4">
        <f>IF(PRECIOS!A1145="","",PRECIOS!A1145)</f>
        <v>46078</v>
      </c>
      <c r="B1145" s="7">
        <f>IFERROR(IF(OR(PRECIOS!B1145="",PRECIOS!B1144=""),"",PRECIOS!B1145/PRECIOS!B1144-1),"")</f>
        <v>-0.001339943722</v>
      </c>
      <c r="C1145" s="7">
        <f>IFERROR(IF(OR(PRECIOS!C1145="",PRECIOS!C1144=""),"",PRECIOS!C1145/PRECIOS!C1144-1),"")</f>
        <v>0.001148105626</v>
      </c>
      <c r="D1145" s="7">
        <f>IFERROR(IF(OR(PRECIOS!D1145="",PRECIOS!D1144=""),"",PRECIOS!D1145/PRECIOS!D1144-1),"")</f>
        <v>0.0217923319</v>
      </c>
      <c r="E1145" s="7">
        <f>IFERROR(IF(OR(PRECIOS!E1145="",PRECIOS!E1144=""),"",PRECIOS!E1145/PRECIOS!E1144-1),"")</f>
        <v>-0.002749893208</v>
      </c>
      <c r="F1145" s="7">
        <f>IFERROR(IF(OR(PRECIOS!F1145="",PRECIOS!F1144=""),"",PRECIOS!F1145/PRECIOS!F1144-1),"")</f>
        <v>-0.01841620626</v>
      </c>
      <c r="G1145" s="7">
        <f>IFERROR(IF(OR(PRECIOS!G1145="",PRECIOS!G1144=""),"",PRECIOS!G1145/PRECIOS!G1144-1),"")</f>
        <v>0.006394557823</v>
      </c>
      <c r="H1145" s="7">
        <f>IFERROR(IF(OR(PRECIOS!H1145="",PRECIOS!H1144=""),"",PRECIOS!H1145/PRECIOS!H1144-1),"")</f>
        <v>-0.004174228675</v>
      </c>
      <c r="I1145" s="7">
        <f>IFERROR(IF(OR(PRECIOS!I1145="",PRECIOS!I1144=""),"",PRECIOS!I1145/PRECIOS!I1144-1),"")</f>
        <v>0.003389830508</v>
      </c>
    </row>
    <row r="1146" ht="15.75" customHeight="1">
      <c r="A1146" s="4">
        <f>IF(PRECIOS!A1146="","",PRECIOS!A1146)</f>
        <v>46079</v>
      </c>
      <c r="B1146" s="7">
        <f>IFERROR(IF(OR(PRECIOS!B1146="",PRECIOS!B1145=""),"",PRECIOS!B1146/PRECIOS!B1145-1),"")</f>
        <v>-0.003488528109</v>
      </c>
      <c r="C1146" s="7">
        <f>IFERROR(IF(OR(PRECIOS!C1146="",PRECIOS!C1145=""),"",PRECIOS!C1146/PRECIOS!C1145-1),"")</f>
        <v>0.004482902419</v>
      </c>
      <c r="D1146" s="7">
        <f>IFERROR(IF(OR(PRECIOS!D1146="",PRECIOS!D1145=""),"",PRECIOS!D1146/PRECIOS!D1145-1),"")</f>
        <v>0.008325729927</v>
      </c>
      <c r="E1146" s="7">
        <f>IFERROR(IF(OR(PRECIOS!E1146="",PRECIOS!E1145=""),"",PRECIOS!E1146/PRECIOS!E1145-1),"")</f>
        <v>0.002837790807</v>
      </c>
      <c r="F1146" s="7">
        <f>IFERROR(IF(OR(PRECIOS!F1146="",PRECIOS!F1145=""),"",PRECIOS!F1146/PRECIOS!F1145-1),"")</f>
        <v>-0.0276065398</v>
      </c>
      <c r="G1146" s="7">
        <f>IFERROR(IF(OR(PRECIOS!G1146="",PRECIOS!G1145=""),"",PRECIOS!G1146/PRECIOS!G1145-1),"")</f>
        <v>0.01081519535</v>
      </c>
      <c r="H1146" s="7">
        <f>IFERROR(IF(OR(PRECIOS!H1146="",PRECIOS!H1145=""),"",PRECIOS!H1146/PRECIOS!H1145-1),"")</f>
        <v>0.003280481137</v>
      </c>
      <c r="I1146" s="7">
        <f>IFERROR(IF(OR(PRECIOS!I1146="",PRECIOS!I1145=""),"",PRECIOS!I1146/PRECIOS!I1145-1),"")</f>
        <v>-0.003800675676</v>
      </c>
    </row>
    <row r="1147" ht="15.75" customHeight="1">
      <c r="A1147" s="4">
        <f>IF(PRECIOS!A1147="","",PRECIOS!A1147)</f>
        <v>46080</v>
      </c>
      <c r="B1147" s="7">
        <f>IFERROR(IF(OR(PRECIOS!B1147="",PRECIOS!B1146=""),"",PRECIOS!B1147/PRECIOS!B1146-1),"")</f>
        <v>0.02665948566</v>
      </c>
      <c r="C1147" s="7">
        <f>IFERROR(IF(OR(PRECIOS!C1147="",PRECIOS!C1146=""),"",PRECIOS!C1147/PRECIOS!C1146-1),"")</f>
        <v>0.01069019201</v>
      </c>
      <c r="D1147" s="7">
        <f>IFERROR(IF(OR(PRECIOS!D1147="",PRECIOS!D1146=""),"",PRECIOS!D1147/PRECIOS!D1146-1),"")</f>
        <v>-0.0165705237</v>
      </c>
      <c r="E1147" s="7">
        <f>IFERROR(IF(OR(PRECIOS!E1147="",PRECIOS!E1146=""),"",PRECIOS!E1147/PRECIOS!E1146-1),"")</f>
        <v>0.0035505486</v>
      </c>
      <c r="F1147" s="7">
        <f>IFERROR(IF(OR(PRECIOS!F1147="",PRECIOS!F1146=""),"",PRECIOS!F1147/PRECIOS!F1146-1),"")</f>
        <v>-0.02453142227</v>
      </c>
      <c r="G1147" s="7">
        <f>IFERROR(IF(OR(PRECIOS!G1147="",PRECIOS!G1146=""),"",PRECIOS!G1147/PRECIOS!G1146-1),"")</f>
        <v>-0.0006687174</v>
      </c>
      <c r="H1147" s="7">
        <f>IFERROR(IF(OR(PRECIOS!H1147="",PRECIOS!H1146=""),"",PRECIOS!H1147/PRECIOS!H1146-1),"")</f>
        <v>0.01580381471</v>
      </c>
      <c r="I1147" s="7">
        <f>IFERROR(IF(OR(PRECIOS!I1147="",PRECIOS!I1146=""),"",PRECIOS!I1147/PRECIOS!I1146-1),"")</f>
        <v>0.01165748198</v>
      </c>
    </row>
    <row r="1148" ht="15.75" customHeight="1">
      <c r="A1148" s="4">
        <f>IF(PRECIOS!A1148="","",PRECIOS!A1148)</f>
        <v>46083</v>
      </c>
      <c r="B1148" s="7">
        <f>IFERROR(IF(OR(PRECIOS!B1148="",PRECIOS!B1147=""),"",PRECIOS!B1148/PRECIOS!B1147-1),"")</f>
        <v>0.01127868852</v>
      </c>
      <c r="C1148" s="7">
        <f>IFERROR(IF(OR(PRECIOS!C1148="",PRECIOS!C1147=""),"",PRECIOS!C1148/PRECIOS!C1147-1),"")</f>
        <v>-0.001540357363</v>
      </c>
      <c r="D1148" s="7">
        <f>IFERROR(IF(OR(PRECIOS!D1148="",PRECIOS!D1147=""),"",PRECIOS!D1148/PRECIOS!D1147-1),"")</f>
        <v>-0.04543101961</v>
      </c>
      <c r="E1148" s="7">
        <f>IFERROR(IF(OR(PRECIOS!E1148="",PRECIOS!E1147=""),"",PRECIOS!E1148/PRECIOS!E1147-1),"")</f>
        <v>0.003937007874</v>
      </c>
      <c r="F1148" s="7">
        <f>IFERROR(IF(OR(PRECIOS!F1148="",PRECIOS!F1147=""),"",PRECIOS!F1148/PRECIOS!F1147-1),"")</f>
        <v>-0.001130262786</v>
      </c>
      <c r="G1148" s="7">
        <f>IFERROR(IF(OR(PRECIOS!G1148="",PRECIOS!G1147=""),"",PRECIOS!G1148/PRECIOS!G1147-1),"")</f>
        <v>0.02061027837</v>
      </c>
      <c r="H1148" s="7">
        <f>IFERROR(IF(OR(PRECIOS!H1148="",PRECIOS!H1147=""),"",PRECIOS!H1148/PRECIOS!H1147-1),"")</f>
        <v>0.0200286123</v>
      </c>
      <c r="I1148" s="7">
        <f>IFERROR(IF(OR(PRECIOS!I1148="",PRECIOS!I1147=""),"",PRECIOS!I1148/PRECIOS!I1147-1),"")</f>
        <v>-0.007542426147</v>
      </c>
    </row>
    <row r="1149" ht="15.75" customHeight="1">
      <c r="A1149" s="4">
        <f>IF(PRECIOS!A1149="","",PRECIOS!A1149)</f>
        <v>46084</v>
      </c>
      <c r="B1149" s="7">
        <f>IFERROR(IF(OR(PRECIOS!B1149="",PRECIOS!B1148=""),"",PRECIOS!B1149/PRECIOS!B1148-1),"")</f>
        <v>-0.01549734146</v>
      </c>
      <c r="C1149" s="7">
        <f>IFERROR(IF(OR(PRECIOS!C1149="",PRECIOS!C1148=""),"",PRECIOS!C1149/PRECIOS!C1148-1),"")</f>
        <v>-0.004525352258</v>
      </c>
      <c r="D1149" s="7">
        <f>IFERROR(IF(OR(PRECIOS!D1149="",PRECIOS!D1148=""),"",PRECIOS!D1149/PRECIOS!D1148-1),"")</f>
        <v>-0.02584493042</v>
      </c>
      <c r="E1149" s="7">
        <f>IFERROR(IF(OR(PRECIOS!E1149="",PRECIOS!E1148=""),"",PRECIOS!E1149/PRECIOS!E1148-1),"")</f>
        <v>-0.05786963434</v>
      </c>
      <c r="F1149" s="7">
        <f>IFERROR(IF(OR(PRECIOS!F1149="",PRECIOS!F1148=""),"",PRECIOS!F1149/PRECIOS!F1148-1),"")</f>
        <v>-0.01923620934</v>
      </c>
      <c r="G1149" s="7">
        <f>IFERROR(IF(OR(PRECIOS!G1149="",PRECIOS!G1148=""),"",PRECIOS!G1149/PRECIOS!G1148-1),"")</f>
        <v>-0.004982953055</v>
      </c>
      <c r="H1149" s="7">
        <f>IFERROR(IF(OR(PRECIOS!H1149="",PRECIOS!H1148=""),"",PRECIOS!H1149/PRECIOS!H1148-1),"")</f>
        <v>-0.009116409537</v>
      </c>
      <c r="I1149" s="7">
        <f>IFERROR(IF(OR(PRECIOS!I1149="",PRECIOS!I1148=""),"",PRECIOS!I1149/PRECIOS!I1148-1),"")</f>
        <v>-0.006333122229</v>
      </c>
    </row>
    <row r="1150" ht="15.75" customHeight="1">
      <c r="A1150" s="4">
        <f>IF(PRECIOS!A1150="","",PRECIOS!A1150)</f>
        <v>46085</v>
      </c>
      <c r="B1150" s="7">
        <f>IFERROR(IF(OR(PRECIOS!B1150="",PRECIOS!B1149=""),"",PRECIOS!B1150/PRECIOS!B1149-1),"")</f>
        <v>-0.01323849042</v>
      </c>
      <c r="C1150" s="7">
        <f>IFERROR(IF(OR(PRECIOS!C1150="",PRECIOS!C1149=""),"",PRECIOS!C1150/PRECIOS!C1149-1),"")</f>
        <v>0.008678582498</v>
      </c>
      <c r="D1150" s="7">
        <f>IFERROR(IF(OR(PRECIOS!D1150="",PRECIOS!D1149=""),"",PRECIOS!D1150/PRECIOS!D1149-1),"")</f>
        <v>0.01026592455</v>
      </c>
      <c r="E1150" s="7">
        <f>IFERROR(IF(OR(PRECIOS!E1150="",PRECIOS!E1149=""),"",PRECIOS!E1150/PRECIOS!E1149-1),"")</f>
        <v>-0.003093711329</v>
      </c>
      <c r="F1150" s="7">
        <f>IFERROR(IF(OR(PRECIOS!F1150="",PRECIOS!F1149=""),"",PRECIOS!F1150/PRECIOS!F1149-1),"")</f>
        <v>0.01528699164</v>
      </c>
      <c r="G1150" s="7">
        <f>IFERROR(IF(OR(PRECIOS!G1150="",PRECIOS!G1149=""),"",PRECIOS!G1150/PRECIOS!G1149-1),"")</f>
        <v>-0.001449657354</v>
      </c>
      <c r="H1150" s="7">
        <f>IFERROR(IF(OR(PRECIOS!H1150="",PRECIOS!H1149=""),"",PRECIOS!H1150/PRECIOS!H1149-1),"")</f>
        <v>-0.005838641189</v>
      </c>
      <c r="I1150" s="7">
        <f>IFERROR(IF(OR(PRECIOS!I1150="",PRECIOS!I1149=""),"",PRECIOS!I1150/PRECIOS!I1149-1),"")</f>
        <v>0.004248990865</v>
      </c>
    </row>
    <row r="1151" ht="15.75" customHeight="1">
      <c r="A1151" s="4">
        <f>IF(PRECIOS!A1151="","",PRECIOS!A1151)</f>
        <v>46086</v>
      </c>
      <c r="B1151" s="7">
        <f>IFERROR(IF(OR(PRECIOS!B1151="",PRECIOS!B1150=""),"",PRECIOS!B1151/PRECIOS!B1150-1),"")</f>
        <v>0.006274195702</v>
      </c>
      <c r="C1151" s="7">
        <f>IFERROR(IF(OR(PRECIOS!C1151="",PRECIOS!C1150=""),"",PRECIOS!C1151/PRECIOS!C1150-1),"")</f>
        <v>-0.004404383898</v>
      </c>
      <c r="D1151" s="7">
        <f>IFERROR(IF(OR(PRECIOS!D1151="",PRECIOS!D1150=""),"",PRECIOS!D1151/PRECIOS!D1150-1),"")</f>
        <v>0.02473065622</v>
      </c>
      <c r="E1151" s="7">
        <f>IFERROR(IF(OR(PRECIOS!E1151="",PRECIOS!E1150=""),"",PRECIOS!E1151/PRECIOS!E1150-1),"")</f>
        <v>0.0009309936241</v>
      </c>
      <c r="F1151" s="7">
        <f>IFERROR(IF(OR(PRECIOS!F1151="",PRECIOS!F1150=""),"",PRECIOS!F1151/PRECIOS!F1150-1),"")</f>
        <v>0.02215909091</v>
      </c>
      <c r="G1151" s="7">
        <f>IFERROR(IF(OR(PRECIOS!G1151="",PRECIOS!G1150=""),"",PRECIOS!G1151/PRECIOS!G1150-1),"")</f>
        <v>-0.01319783555</v>
      </c>
      <c r="H1151" s="7">
        <f>IFERROR(IF(OR(PRECIOS!H1151="",PRECIOS!H1150=""),"",PRECIOS!H1151/PRECIOS!H1150-1),"")</f>
        <v>0.005161060687</v>
      </c>
      <c r="I1151" s="7">
        <f>IFERROR(IF(OR(PRECIOS!I1151="",PRECIOS!I1150=""),"",PRECIOS!I1151/PRECIOS!I1150-1),"")</f>
        <v>-0.007827374656</v>
      </c>
    </row>
    <row r="1152" ht="15.75" customHeight="1">
      <c r="A1152" s="4">
        <f>IF(PRECIOS!A1152="","",PRECIOS!A1152)</f>
        <v>46087</v>
      </c>
      <c r="B1152" s="7">
        <f>IFERROR(IF(OR(PRECIOS!B1152="",PRECIOS!B1151=""),"",PRECIOS!B1152/PRECIOS!B1151-1),"")</f>
        <v>0.002984876625</v>
      </c>
      <c r="C1152" s="7">
        <f>IFERROR(IF(OR(PRECIOS!C1152="",PRECIOS!C1151=""),"",PRECIOS!C1152/PRECIOS!C1151-1),"")</f>
        <v>0.002880658436</v>
      </c>
      <c r="D1152" s="7">
        <f>IFERROR(IF(OR(PRECIOS!D1152="",PRECIOS!D1151=""),"",PRECIOS!D1152/PRECIOS!D1151-1),"")</f>
        <v>-0.05227001195</v>
      </c>
      <c r="E1152" s="7">
        <f>IFERROR(IF(OR(PRECIOS!E1152="",PRECIOS!E1151=""),"",PRECIOS!E1152/PRECIOS!E1151-1),"")</f>
        <v>-0.01984272386</v>
      </c>
      <c r="F1152" s="7">
        <f>IFERROR(IF(OR(PRECIOS!F1152="",PRECIOS!F1151=""),"",PRECIOS!F1152/PRECIOS!F1151-1),"")</f>
        <v>0.02529182879</v>
      </c>
      <c r="G1152" s="7">
        <f>IFERROR(IF(OR(PRECIOS!G1152="",PRECIOS!G1151=""),"",PRECIOS!G1152/PRECIOS!G1151-1),"")</f>
        <v>-0.00708840444</v>
      </c>
      <c r="H1152" s="7">
        <f>IFERROR(IF(OR(PRECIOS!H1152="",PRECIOS!H1151=""),"",PRECIOS!H1152/PRECIOS!H1151-1),"")</f>
        <v>0.001593484419</v>
      </c>
      <c r="I1152" s="7">
        <f>IFERROR(IF(OR(PRECIOS!I1152="",PRECIOS!I1151=""),"",PRECIOS!I1152/PRECIOS!I1151-1),"")</f>
        <v>-0.003411513859</v>
      </c>
    </row>
    <row r="1153" ht="15.75" customHeight="1">
      <c r="A1153" s="4">
        <f>IF(PRECIOS!A1153="","",PRECIOS!A1153)</f>
        <v>46090</v>
      </c>
      <c r="B1153" s="7">
        <f>IFERROR(IF(OR(PRECIOS!B1153="",PRECIOS!B1152=""),"",PRECIOS!B1153/PRECIOS!B1152-1),"")</f>
        <v>-0.005092255803</v>
      </c>
      <c r="C1153" s="7">
        <f>IFERROR(IF(OR(PRECIOS!C1153="",PRECIOS!C1152=""),"",PRECIOS!C1153/PRECIOS!C1152-1),"")</f>
        <v>-0.00235945835</v>
      </c>
      <c r="D1153" s="7">
        <f>IFERROR(IF(OR(PRECIOS!D1153="",PRECIOS!D1152=""),"",PRECIOS!D1153/PRECIOS!D1152-1),"")</f>
        <v>0.03132682004</v>
      </c>
      <c r="E1153" s="7">
        <f>IFERROR(IF(OR(PRECIOS!E1153="",PRECIOS!E1152=""),"",PRECIOS!E1153/PRECIOS!E1152-1),"")</f>
        <v>0.01759884975</v>
      </c>
      <c r="F1153" s="7">
        <f>IFERROR(IF(OR(PRECIOS!F1153="",PRECIOS!F1152=""),"",PRECIOS!F1153/PRECIOS!F1152-1),"")</f>
        <v>-0.002981837896</v>
      </c>
      <c r="G1153" s="7">
        <f>IFERROR(IF(OR(PRECIOS!G1153="",PRECIOS!G1152=""),"",PRECIOS!G1153/PRECIOS!G1152-1),"")</f>
        <v>-0.01427801724</v>
      </c>
      <c r="H1153" s="7">
        <f>IFERROR(IF(OR(PRECIOS!H1153="",PRECIOS!H1152=""),"",PRECIOS!H1153/PRECIOS!H1152-1),"")</f>
        <v>-0.004419303518</v>
      </c>
      <c r="I1153" s="7">
        <f>IFERROR(IF(OR(PRECIOS!I1153="",PRECIOS!I1152=""),"",PRECIOS!I1153/PRECIOS!I1152-1),"")</f>
        <v>0.002353444587</v>
      </c>
    </row>
    <row r="1154" ht="15.75" customHeight="1">
      <c r="A1154" s="4">
        <f>IF(PRECIOS!A1154="","",PRECIOS!A1154)</f>
        <v>46091</v>
      </c>
      <c r="B1154" s="7">
        <f>IFERROR(IF(OR(PRECIOS!B1154="",PRECIOS!B1153=""),"",PRECIOS!B1154/PRECIOS!B1153-1),"")</f>
        <v>-0.01535495879</v>
      </c>
      <c r="C1154" s="7">
        <f>IFERROR(IF(OR(PRECIOS!C1154="",PRECIOS!C1153=""),"",PRECIOS!C1154/PRECIOS!C1153-1),"")</f>
        <v>-0.01007712082</v>
      </c>
      <c r="D1154" s="7">
        <f>IFERROR(IF(OR(PRECIOS!D1154="",PRECIOS!D1153=""),"",PRECIOS!D1154/PRECIOS!D1153-1),"")</f>
        <v>0.004767143381</v>
      </c>
      <c r="E1154" s="7">
        <f>IFERROR(IF(OR(PRECIOS!E1154="",PRECIOS!E1153=""),"",PRECIOS!E1154/PRECIOS!E1153-1),"")</f>
        <v>0.02031819595</v>
      </c>
      <c r="F1154" s="7">
        <f>IFERROR(IF(OR(PRECIOS!F1154="",PRECIOS!F1153=""),"",PRECIOS!F1154/PRECIOS!F1153-1),"")</f>
        <v>-0.002718868951</v>
      </c>
      <c r="G1154" s="7">
        <f>IFERROR(IF(OR(PRECIOS!G1154="",PRECIOS!G1153=""),"",PRECIOS!G1154/PRECIOS!G1153-1),"")</f>
        <v>0.009018857611</v>
      </c>
      <c r="H1154" s="7">
        <f>IFERROR(IF(OR(PRECIOS!H1154="",PRECIOS!H1153=""),"",PRECIOS!H1154/PRECIOS!H1153-1),"")</f>
        <v>-0.01278409091</v>
      </c>
      <c r="I1154" s="7">
        <f>IFERROR(IF(OR(PRECIOS!I1154="",PRECIOS!I1153=""),"",PRECIOS!I1154/PRECIOS!I1153-1),"")</f>
        <v>-0.006189967983</v>
      </c>
    </row>
    <row r="1155" ht="15.75" customHeight="1">
      <c r="A1155" s="4">
        <f>IF(PRECIOS!A1155="","",PRECIOS!A1155)</f>
        <v>46092</v>
      </c>
      <c r="B1155" s="7">
        <f>IFERROR(IF(OR(PRECIOS!B1155="",PRECIOS!B1154=""),"",PRECIOS!B1155/PRECIOS!B1154-1),"")</f>
        <v>0.02329035307</v>
      </c>
      <c r="C1155" s="7">
        <f>IFERROR(IF(OR(PRECIOS!C1155="",PRECIOS!C1154=""),"",PRECIOS!C1155/PRECIOS!C1154-1),"")</f>
        <v>-0.0001038745196</v>
      </c>
      <c r="D1155" s="7">
        <f>IFERROR(IF(OR(PRECIOS!D1155="",PRECIOS!D1154=""),"",PRECIOS!D1155/PRECIOS!D1154-1),"")</f>
        <v>-0.03187347932</v>
      </c>
      <c r="E1155" s="7">
        <f>IFERROR(IF(OR(PRECIOS!E1155="",PRECIOS!E1154=""),"",PRECIOS!E1155/PRECIOS!E1154-1),"")</f>
        <v>-0.01459591204</v>
      </c>
      <c r="F1155" s="7">
        <f>IFERROR(IF(OR(PRECIOS!F1155="",PRECIOS!F1154=""),"",PRECIOS!F1155/PRECIOS!F1154-1),"")</f>
        <v>0.07088331516</v>
      </c>
      <c r="G1155" s="7">
        <f>IFERROR(IF(OR(PRECIOS!G1155="",PRECIOS!G1154=""),"",PRECIOS!G1155/PRECIOS!G1154-1),"")</f>
        <v>0.00758396533</v>
      </c>
      <c r="H1155" s="7">
        <f>IFERROR(IF(OR(PRECIOS!H1155="",PRECIOS!H1154=""),"",PRECIOS!H1155/PRECIOS!H1154-1),"")</f>
        <v>0.02482014388</v>
      </c>
      <c r="I1155" s="7">
        <f>IFERROR(IF(OR(PRECIOS!I1155="",PRECIOS!I1154=""),"",PRECIOS!I1155/PRECIOS!I1154-1),"")</f>
        <v>-0.00837628866</v>
      </c>
    </row>
    <row r="1156" ht="15.75" customHeight="1">
      <c r="A1156" s="4">
        <f>IF(PRECIOS!A1156="","",PRECIOS!A1156)</f>
        <v>46093</v>
      </c>
      <c r="B1156" s="7">
        <f>IFERROR(IF(OR(PRECIOS!B1156="",PRECIOS!B1155=""),"",PRECIOS!B1156/PRECIOS!B1155-1),"")</f>
        <v>0.012864494</v>
      </c>
      <c r="C1156" s="7">
        <f>IFERROR(IF(OR(PRECIOS!C1156="",PRECIOS!C1155=""),"",PRECIOS!C1156/PRECIOS!C1155-1),"")</f>
        <v>0.01641387908</v>
      </c>
      <c r="D1156" s="7">
        <f>IFERROR(IF(OR(PRECIOS!D1156="",PRECIOS!D1155=""),"",PRECIOS!D1156/PRECIOS!D1155-1),"")</f>
        <v>0.002638853983</v>
      </c>
      <c r="E1156" s="7">
        <f>IFERROR(IF(OR(PRECIOS!E1156="",PRECIOS!E1155=""),"",PRECIOS!E1156/PRECIOS!E1155-1),"")</f>
        <v>-0.02009612412</v>
      </c>
      <c r="F1156" s="7">
        <f>IFERROR(IF(OR(PRECIOS!F1156="",PRECIOS!F1155=""),"",PRECIOS!F1156/PRECIOS!F1155-1),"")</f>
        <v>-0.02596741344</v>
      </c>
      <c r="G1156" s="7">
        <f>IFERROR(IF(OR(PRECIOS!G1156="",PRECIOS!G1155=""),"",PRECIOS!G1156/PRECIOS!G1155-1),"")</f>
        <v>-0.01182795699</v>
      </c>
      <c r="H1156" s="7">
        <f>IFERROR(IF(OR(PRECIOS!H1156="",PRECIOS!H1155=""),"",PRECIOS!H1156/PRECIOS!H1155-1),"")</f>
        <v>0.009301509302</v>
      </c>
      <c r="I1156" s="7">
        <f>IFERROR(IF(OR(PRECIOS!I1156="",PRECIOS!I1155=""),"",PRECIOS!I1156/PRECIOS!I1155-1),"")</f>
        <v>0.007147498376</v>
      </c>
    </row>
    <row r="1157" ht="15.75" customHeight="1">
      <c r="A1157" s="4">
        <f>IF(PRECIOS!A1157="","",PRECIOS!A1157)</f>
        <v>46094</v>
      </c>
      <c r="B1157" s="7">
        <f>IFERROR(IF(OR(PRECIOS!B1157="",PRECIOS!B1156=""),"",PRECIOS!B1157/PRECIOS!B1156-1),"")</f>
        <v>0.01686966717</v>
      </c>
      <c r="C1157" s="7">
        <f>IFERROR(IF(OR(PRECIOS!C1157="",PRECIOS!C1156=""),"",PRECIOS!C1157/PRECIOS!C1156-1),"")</f>
        <v>0.001737530662</v>
      </c>
      <c r="D1157" s="7">
        <f>IFERROR(IF(OR(PRECIOS!D1157="",PRECIOS!D1156=""),"",PRECIOS!D1157/PRECIOS!D1156-1),"")</f>
        <v>-0.003947863141</v>
      </c>
      <c r="E1157" s="7">
        <f>IFERROR(IF(OR(PRECIOS!E1157="",PRECIOS!E1156=""),"",PRECIOS!E1157/PRECIOS!E1156-1),"")</f>
        <v>0.01938962827</v>
      </c>
      <c r="F1157" s="7">
        <f>IFERROR(IF(OR(PRECIOS!F1157="",PRECIOS!F1156=""),"",PRECIOS!F1157/PRECIOS!F1156-1),"")</f>
        <v>-0.0002613695766</v>
      </c>
      <c r="G1157" s="7">
        <f>IFERROR(IF(OR(PRECIOS!G1157="",PRECIOS!G1156=""),"",PRECIOS!G1157/PRECIOS!G1156-1),"")</f>
        <v>-0.002448313384</v>
      </c>
      <c r="H1157" s="7">
        <f>IFERROR(IF(OR(PRECIOS!H1157="",PRECIOS!H1156=""),"",PRECIOS!H1157/PRECIOS!H1156-1),"")</f>
        <v>0.003303773257</v>
      </c>
      <c r="I1157" s="7">
        <f>IFERROR(IF(OR(PRECIOS!I1157="",PRECIOS!I1156=""),"",PRECIOS!I1157/PRECIOS!I1156-1),"")</f>
        <v>0.009892473118</v>
      </c>
    </row>
    <row r="1158" ht="15.75" customHeight="1">
      <c r="A1158" s="4">
        <f>IF(PRECIOS!A1158="","",PRECIOS!A1158)</f>
        <v>46097</v>
      </c>
      <c r="B1158" s="7">
        <f>IFERROR(IF(OR(PRECIOS!B1158="",PRECIOS!B1157=""),"",PRECIOS!B1158/PRECIOS!B1157-1),"")</f>
        <v>0.00710991545</v>
      </c>
      <c r="C1158" s="7">
        <f>IFERROR(IF(OR(PRECIOS!C1158="",PRECIOS!C1157=""),"",PRECIOS!C1158/PRECIOS!C1157-1),"")</f>
        <v>0.01122334456</v>
      </c>
      <c r="D1158" s="7">
        <f>IFERROR(IF(OR(PRECIOS!D1158="",PRECIOS!D1157=""),"",PRECIOS!D1158/PRECIOS!D1157-1),"")</f>
        <v>0.01912551117</v>
      </c>
      <c r="E1158" s="7">
        <f>IFERROR(IF(OR(PRECIOS!E1158="",PRECIOS!E1157=""),"",PRECIOS!E1158/PRECIOS!E1157-1),"")</f>
        <v>0.01586944288</v>
      </c>
      <c r="F1158" s="7">
        <f>IFERROR(IF(OR(PRECIOS!F1158="",PRECIOS!F1157=""),"",PRECIOS!F1158/PRECIOS!F1157-1),"")</f>
        <v>-0.02091503268</v>
      </c>
      <c r="G1158" s="7">
        <f>IFERROR(IF(OR(PRECIOS!G1158="",PRECIOS!G1157=""),"",PRECIOS!G1158/PRECIOS!G1157-1),"")</f>
        <v>0.007499318244</v>
      </c>
      <c r="H1158" s="7">
        <f>IFERROR(IF(OR(PRECIOS!H1158="",PRECIOS!H1157=""),"",PRECIOS!H1158/PRECIOS!H1157-1),"")</f>
        <v>0.003466204506</v>
      </c>
      <c r="I1158" s="7">
        <f>IFERROR(IF(OR(PRECIOS!I1158="",PRECIOS!I1157=""),"",PRECIOS!I1158/PRECIOS!I1157-1),"")</f>
        <v>0.006388415673</v>
      </c>
    </row>
    <row r="1159" ht="15.75" customHeight="1">
      <c r="A1159" s="4">
        <f>IF(PRECIOS!A1159="","",PRECIOS!A1159)</f>
        <v>46098</v>
      </c>
      <c r="B1159" s="7">
        <f>IFERROR(IF(OR(PRECIOS!B1159="",PRECIOS!B1158=""),"",PRECIOS!B1159/PRECIOS!B1158-1),"")</f>
        <v>0.01004897284</v>
      </c>
      <c r="C1159" s="7">
        <f>IFERROR(IF(OR(PRECIOS!C1159="",PRECIOS!C1158=""),"",PRECIOS!C1159/PRECIOS!C1158-1),"")</f>
        <v>-0.008475431339</v>
      </c>
      <c r="D1159" s="7">
        <f>IFERROR(IF(OR(PRECIOS!D1159="",PRECIOS!D1158=""),"",PRECIOS!D1159/PRECIOS!D1158-1),"")</f>
        <v>0.01444533613</v>
      </c>
      <c r="E1159" s="7">
        <f>IFERROR(IF(OR(PRECIOS!E1159="",PRECIOS!E1158=""),"",PRECIOS!E1159/PRECIOS!E1158-1),"")</f>
        <v>0.008060048748</v>
      </c>
      <c r="F1159" s="7">
        <f>IFERROR(IF(OR(PRECIOS!F1159="",PRECIOS!F1158=""),"",PRECIOS!F1159/PRECIOS!F1158-1),"")</f>
        <v>0.017623498</v>
      </c>
      <c r="G1159" s="7">
        <f>IFERROR(IF(OR(PRECIOS!G1159="",PRECIOS!G1158=""),"",PRECIOS!G1159/PRECIOS!G1158-1),"")</f>
        <v>-0.002706726215</v>
      </c>
      <c r="H1159" s="7">
        <f>IFERROR(IF(OR(PRECIOS!H1159="",PRECIOS!H1158=""),"",PRECIOS!H1159/PRECIOS!H1158-1),"")</f>
        <v>0.01053540587</v>
      </c>
      <c r="I1159" s="7">
        <f>IFERROR(IF(OR(PRECIOS!I1159="",PRECIOS!I1158=""),"",PRECIOS!I1159/PRECIOS!I1158-1),"")</f>
        <v>-0.002750740584</v>
      </c>
    </row>
    <row r="1160" ht="15.75" customHeight="1">
      <c r="A1160" s="4">
        <f>IF(PRECIOS!A1160="","",PRECIOS!A1160)</f>
        <v>46099</v>
      </c>
      <c r="B1160" s="7">
        <f>IFERROR(IF(OR(PRECIOS!B1160="",PRECIOS!B1159=""),"",PRECIOS!B1160/PRECIOS!B1159-1),"")</f>
        <v>-0.007682135886</v>
      </c>
      <c r="C1160" s="7">
        <f>IFERROR(IF(OR(PRECIOS!C1160="",PRECIOS!C1159=""),"",PRECIOS!C1160/PRECIOS!C1159-1),"")</f>
        <v>-0.01760455887</v>
      </c>
      <c r="D1160" s="7">
        <f>IFERROR(IF(OR(PRECIOS!D1160="",PRECIOS!D1159=""),"",PRECIOS!D1160/PRECIOS!D1159-1),"")</f>
        <v>0.03523398041</v>
      </c>
      <c r="E1160" s="7">
        <f>IFERROR(IF(OR(PRECIOS!E1160="",PRECIOS!E1159=""),"",PRECIOS!E1160/PRECIOS!E1159-1),"")</f>
        <v>-0.009369418876</v>
      </c>
      <c r="F1160" s="7">
        <f>IFERROR(IF(OR(PRECIOS!F1160="",PRECIOS!F1159=""),"",PRECIOS!F1160/PRECIOS!F1159-1),"")</f>
        <v>0.03594856993</v>
      </c>
      <c r="G1160" s="7">
        <f>IFERROR(IF(OR(PRECIOS!G1160="",PRECIOS!G1159=""),"",PRECIOS!G1160/PRECIOS!G1159-1),"")</f>
        <v>-0.01207762247</v>
      </c>
      <c r="H1160" s="7">
        <f>IFERROR(IF(OR(PRECIOS!H1160="",PRECIOS!H1159=""),"",PRECIOS!H1160/PRECIOS!H1159-1),"")</f>
        <v>-0.001367287643</v>
      </c>
      <c r="I1160" s="7">
        <f>IFERROR(IF(OR(PRECIOS!I1160="",PRECIOS!I1159=""),"",PRECIOS!I1160/PRECIOS!I1159-1),"")</f>
        <v>-0.008487163166</v>
      </c>
    </row>
    <row r="1161" ht="15.75" customHeight="1">
      <c r="A1161" s="4">
        <f>IF(PRECIOS!A1161="","",PRECIOS!A1161)</f>
        <v>46100</v>
      </c>
      <c r="B1161" s="7">
        <f>IFERROR(IF(OR(PRECIOS!B1161="",PRECIOS!B1160=""),"",PRECIOS!B1161/PRECIOS!B1160-1),"")</f>
        <v>0.003616980773</v>
      </c>
      <c r="C1161" s="7">
        <f>IFERROR(IF(OR(PRECIOS!C1161="",PRECIOS!C1160=""),"",PRECIOS!C1161/PRECIOS!C1160-1),"")</f>
        <v>-0.003211104206</v>
      </c>
      <c r="D1161" s="7">
        <f>IFERROR(IF(OR(PRECIOS!D1161="",PRECIOS!D1160=""),"",PRECIOS!D1161/PRECIOS!D1160-1),"")</f>
        <v>-0.01616505996</v>
      </c>
      <c r="E1161" s="7">
        <f>IFERROR(IF(OR(PRECIOS!E1161="",PRECIOS!E1160=""),"",PRECIOS!E1161/PRECIOS!E1160-1),"")</f>
        <v>-0.000859821379</v>
      </c>
      <c r="F1161" s="7">
        <f>IFERROR(IF(OR(PRECIOS!F1161="",PRECIOS!F1160=""),"",PRECIOS!F1161/PRECIOS!F1160-1),"")</f>
        <v>0.05344478217</v>
      </c>
      <c r="G1161" s="7">
        <f>IFERROR(IF(OR(PRECIOS!G1161="",PRECIOS!G1160=""),"",PRECIOS!G1161/PRECIOS!G1160-1),"")</f>
        <v>0.01730769231</v>
      </c>
      <c r="H1161" s="7">
        <f>IFERROR(IF(OR(PRECIOS!H1161="",PRECIOS!H1160=""),"",PRECIOS!H1161/PRECIOS!H1160-1),"")</f>
        <v>0.01591648126</v>
      </c>
      <c r="I1161" s="7">
        <f>IFERROR(IF(OR(PRECIOS!I1161="",PRECIOS!I1160=""),"",PRECIOS!I1161/PRECIOS!I1160-1),"")</f>
        <v>-0.00406591055</v>
      </c>
    </row>
    <row r="1162" ht="15.75" customHeight="1">
      <c r="A1162" s="4">
        <f>IF(PRECIOS!A1162="","",PRECIOS!A1162)</f>
        <v>46101</v>
      </c>
      <c r="B1162" s="7">
        <f>IFERROR(IF(OR(PRECIOS!B1162="",PRECIOS!B1161=""),"",PRECIOS!B1162/PRECIOS!B1161-1),"")</f>
        <v>0.00954729388</v>
      </c>
      <c r="C1162" s="7">
        <f>IFERROR(IF(OR(PRECIOS!C1162="",PRECIOS!C1161=""),"",PRECIOS!C1162/PRECIOS!C1161-1),"")</f>
        <v>-0.029512626</v>
      </c>
      <c r="D1162" s="7">
        <f>IFERROR(IF(OR(PRECIOS!D1162="",PRECIOS!D1161=""),"",PRECIOS!D1162/PRECIOS!D1161-1),"")</f>
        <v>-0.1275616897</v>
      </c>
      <c r="E1162" s="7">
        <f>IFERROR(IF(OR(PRECIOS!E1162="",PRECIOS!E1161=""),"",PRECIOS!E1162/PRECIOS!E1161-1),"")</f>
        <v>-0.009521694473</v>
      </c>
      <c r="F1162" s="7">
        <f>IFERROR(IF(OR(PRECIOS!F1162="",PRECIOS!F1161=""),"",PRECIOS!F1162/PRECIOS!F1161-1),"")</f>
        <v>0.007934599663</v>
      </c>
      <c r="G1162" s="7">
        <f>IFERROR(IF(OR(PRECIOS!G1162="",PRECIOS!G1161=""),"",PRECIOS!G1162/PRECIOS!G1161-1),"")</f>
        <v>-0.02227923305</v>
      </c>
      <c r="H1162" s="7">
        <f>IFERROR(IF(OR(PRECIOS!H1162="",PRECIOS!H1161=""),"",PRECIOS!H1162/PRECIOS!H1161-1),"")</f>
        <v>-0.0008423180593</v>
      </c>
      <c r="I1162" s="7">
        <f>IFERROR(IF(OR(PRECIOS!I1162="",PRECIOS!I1161=""),"",PRECIOS!I1162/PRECIOS!I1161-1),"")</f>
        <v>-0.04061022776</v>
      </c>
    </row>
    <row r="1163" ht="15.75" customHeight="1">
      <c r="A1163" s="4">
        <f>IF(PRECIOS!A1163="","",PRECIOS!A1163)</f>
        <v>46104</v>
      </c>
      <c r="B1163" s="7">
        <f>IFERROR(IF(OR(PRECIOS!B1163="",PRECIOS!B1162=""),"",PRECIOS!B1163/PRECIOS!B1162-1),"")</f>
        <v>0.00914385921</v>
      </c>
      <c r="C1163" s="7">
        <f>IFERROR(IF(OR(PRECIOS!C1163="",PRECIOS!C1162=""),"",PRECIOS!C1163/PRECIOS!C1162-1),"")</f>
        <v>0.003854802441</v>
      </c>
      <c r="D1163" s="7">
        <f>IFERROR(IF(OR(PRECIOS!D1163="",PRECIOS!D1162=""),"",PRECIOS!D1163/PRECIOS!D1162-1),"")</f>
        <v>0.03609094645</v>
      </c>
      <c r="E1163" s="7">
        <f>IFERROR(IF(OR(PRECIOS!E1163="",PRECIOS!E1162=""),"",PRECIOS!E1163/PRECIOS!E1162-1),"")</f>
        <v>0.008239910314</v>
      </c>
      <c r="F1163" s="7">
        <f>IFERROR(IF(OR(PRECIOS!F1163="",PRECIOS!F1162=""),"",PRECIOS!F1163/PRECIOS!F1162-1),"")</f>
        <v>-0.0169370229</v>
      </c>
      <c r="G1163" s="7">
        <f>IFERROR(IF(OR(PRECIOS!G1163="",PRECIOS!G1162=""),"",PRECIOS!G1163/PRECIOS!G1162-1),"")</f>
        <v>0.01643419417</v>
      </c>
      <c r="H1163" s="7">
        <f>IFERROR(IF(OR(PRECIOS!H1163="",PRECIOS!H1162=""),"",PRECIOS!H1163/PRECIOS!H1162-1),"")</f>
        <v>0.005395380206</v>
      </c>
      <c r="I1163" s="7">
        <f>IFERROR(IF(OR(PRECIOS!I1163="",PRECIOS!I1162=""),"",PRECIOS!I1163/PRECIOS!I1162-1),"")</f>
        <v>0.002911534155</v>
      </c>
    </row>
    <row r="1164" ht="15.75" customHeight="1">
      <c r="A1164" s="4">
        <f>IF(PRECIOS!A1164="","",PRECIOS!A1164)</f>
        <v>46105</v>
      </c>
      <c r="B1164" s="7">
        <f>IFERROR(IF(OR(PRECIOS!B1164="",PRECIOS!B1163=""),"",PRECIOS!B1164/PRECIOS!B1163-1),"")</f>
        <v>0.02637621796</v>
      </c>
      <c r="C1164" s="7">
        <f>IFERROR(IF(OR(PRECIOS!C1164="",PRECIOS!C1163=""),"",PRECIOS!C1164/PRECIOS!C1163-1),"")</f>
        <v>0.002453333333</v>
      </c>
      <c r="D1164" s="7">
        <f>IFERROR(IF(OR(PRECIOS!D1164="",PRECIOS!D1163=""),"",PRECIOS!D1164/PRECIOS!D1163-1),"")</f>
        <v>0.00945204574</v>
      </c>
      <c r="E1164" s="7">
        <f>IFERROR(IF(OR(PRECIOS!E1164="",PRECIOS!E1163=""),"",PRECIOS!E1164/PRECIOS!E1163-1),"")</f>
        <v>0.03991771835</v>
      </c>
      <c r="F1164" s="7">
        <f>IFERROR(IF(OR(PRECIOS!F1164="",PRECIOS!F1163=""),"",PRECIOS!F1164/PRECIOS!F1163-1),"")</f>
        <v>0.03275903907</v>
      </c>
      <c r="G1164" s="7">
        <f>IFERROR(IF(OR(PRECIOS!G1164="",PRECIOS!G1163=""),"",PRECIOS!G1164/PRECIOS!G1163-1),"")</f>
        <v>0.01168478261</v>
      </c>
      <c r="H1164" s="7">
        <f>IFERROR(IF(OR(PRECIOS!H1164="",PRECIOS!H1163=""),"",PRECIOS!H1164/PRECIOS!H1163-1),"")</f>
        <v>0.02029179943</v>
      </c>
      <c r="I1164" s="7">
        <f>IFERROR(IF(OR(PRECIOS!I1164="",PRECIOS!I1163=""),"",PRECIOS!I1164/PRECIOS!I1163-1),"")</f>
        <v>0.006922733363</v>
      </c>
    </row>
    <row r="1165" ht="15.75" customHeight="1">
      <c r="A1165" s="4">
        <f>IF(PRECIOS!A1165="","",PRECIOS!A1165)</f>
        <v>46106</v>
      </c>
      <c r="B1165" s="7">
        <f>IFERROR(IF(OR(PRECIOS!B1165="",PRECIOS!B1164=""),"",PRECIOS!B1165/PRECIOS!B1164-1),"")</f>
        <v>-0.01281896239</v>
      </c>
      <c r="C1165" s="7">
        <f>IFERROR(IF(OR(PRECIOS!C1165="",PRECIOS!C1164=""),"",PRECIOS!C1165/PRECIOS!C1164-1),"")</f>
        <v>0.006703553948</v>
      </c>
      <c r="D1165" s="7">
        <f>IFERROR(IF(OR(PRECIOS!D1165="",PRECIOS!D1164=""),"",PRECIOS!D1165/PRECIOS!D1164-1),"")</f>
        <v>-0.007922996333</v>
      </c>
      <c r="E1165" s="7">
        <f>IFERROR(IF(OR(PRECIOS!E1165="",PRECIOS!E1164=""),"",PRECIOS!E1165/PRECIOS!E1164-1),"")</f>
        <v>0.002405773857</v>
      </c>
      <c r="F1165" s="7">
        <f>IFERROR(IF(OR(PRECIOS!F1165="",PRECIOS!F1164=""),"",PRECIOS!F1165/PRECIOS!F1164-1),"")</f>
        <v>0.01456766917</v>
      </c>
      <c r="G1165" s="7">
        <f>IFERROR(IF(OR(PRECIOS!G1165="",PRECIOS!G1164=""),"",PRECIOS!G1165/PRECIOS!G1164-1),"")</f>
        <v>-0.008729519205</v>
      </c>
      <c r="H1165" s="7">
        <f>IFERROR(IF(OR(PRECIOS!H1165="",PRECIOS!H1164=""),"",PRECIOS!H1165/PRECIOS!H1164-1),"")</f>
        <v>-0.004437869822</v>
      </c>
      <c r="I1165" s="7">
        <f>IFERROR(IF(OR(PRECIOS!I1165="",PRECIOS!I1164=""),"",PRECIOS!I1165/PRECIOS!I1164-1),"")</f>
        <v>0.003548458638</v>
      </c>
    </row>
    <row r="1166" ht="15.75" customHeight="1">
      <c r="A1166" s="4">
        <f>IF(PRECIOS!A1166="","",PRECIOS!A1166)</f>
        <v>46107</v>
      </c>
      <c r="B1166" s="7">
        <f>IFERROR(IF(OR(PRECIOS!B1166="",PRECIOS!B1165=""),"",PRECIOS!B1166/PRECIOS!B1165-1),"")</f>
        <v>0.01329168198</v>
      </c>
      <c r="C1166" s="7">
        <f>IFERROR(IF(OR(PRECIOS!C1166="",PRECIOS!C1165=""),"",PRECIOS!C1166/PRECIOS!C1165-1),"")</f>
        <v>0.008561462847</v>
      </c>
      <c r="D1166" s="7">
        <f>IFERROR(IF(OR(PRECIOS!D1166="",PRECIOS!D1165=""),"",PRECIOS!D1166/PRECIOS!D1165-1),"")</f>
        <v>0.005214177282</v>
      </c>
      <c r="E1166" s="7">
        <f>IFERROR(IF(OR(PRECIOS!E1166="",PRECIOS!E1165=""),"",PRECIOS!E1166/PRECIOS!E1165-1),"")</f>
        <v>-0.04773333333</v>
      </c>
      <c r="F1166" s="7">
        <f>IFERROR(IF(OR(PRECIOS!F1166="",PRECIOS!F1165=""),"",PRECIOS!F1166/PRECIOS!F1165-1),"")</f>
        <v>0.01157943492</v>
      </c>
      <c r="G1166" s="7">
        <f>IFERROR(IF(OR(PRECIOS!G1166="",PRECIOS!G1165=""),"",PRECIOS!G1166/PRECIOS!G1165-1),"")</f>
        <v>0.003387074922</v>
      </c>
      <c r="H1166" s="7">
        <f>IFERROR(IF(OR(PRECIOS!H1166="",PRECIOS!H1165=""),"",PRECIOS!H1166/PRECIOS!H1165-1),"")</f>
        <v>0.01568433218</v>
      </c>
      <c r="I1166" s="7">
        <f>IFERROR(IF(OR(PRECIOS!I1166="",PRECIOS!I1165=""),"",PRECIOS!I1166/PRECIOS!I1165-1),"")</f>
        <v>0.001767955801</v>
      </c>
    </row>
    <row r="1167" ht="15.75" customHeight="1">
      <c r="A1167" s="4">
        <f>IF(PRECIOS!A1167="","",PRECIOS!A1167)</f>
        <v>46108</v>
      </c>
      <c r="B1167" s="7">
        <f>IFERROR(IF(OR(PRECIOS!B1167="",PRECIOS!B1166=""),"",PRECIOS!B1167/PRECIOS!B1166-1),"")</f>
        <v>0.03360938161</v>
      </c>
      <c r="C1167" s="7">
        <f>IFERROR(IF(OR(PRECIOS!C1167="",PRECIOS!C1166=""),"",PRECIOS!C1167/PRECIOS!C1166-1),"")</f>
        <v>0.00136239782</v>
      </c>
      <c r="D1167" s="7">
        <f>IFERROR(IF(OR(PRECIOS!D1167="",PRECIOS!D1166=""),"",PRECIOS!D1167/PRECIOS!D1166-1),"")</f>
        <v>0.02087984242</v>
      </c>
      <c r="E1167" s="7">
        <f>IFERROR(IF(OR(PRECIOS!E1167="",PRECIOS!E1166=""),"",PRECIOS!E1167/PRECIOS!E1166-1),"")</f>
        <v>0.0007280873705</v>
      </c>
      <c r="F1167" s="7">
        <f>IFERROR(IF(OR(PRECIOS!F1167="",PRECIOS!F1166=""),"",PRECIOS!F1167/PRECIOS!F1166-1),"")</f>
        <v>0.03411172161</v>
      </c>
      <c r="G1167" s="7">
        <f>IFERROR(IF(OR(PRECIOS!G1167="",PRECIOS!G1166=""),"",PRECIOS!G1167/PRECIOS!G1166-1),"")</f>
        <v>-0.006481231434</v>
      </c>
      <c r="H1167" s="7">
        <f>IFERROR(IF(OR(PRECIOS!H1167="",PRECIOS!H1166=""),"",PRECIOS!H1167/PRECIOS!H1166-1),"")</f>
        <v>0.01690507152</v>
      </c>
      <c r="I1167" s="7">
        <f>IFERROR(IF(OR(PRECIOS!I1167="",PRECIOS!I1166=""),"",PRECIOS!I1167/PRECIOS!I1166-1),"")</f>
        <v>0.005735715861</v>
      </c>
    </row>
    <row r="1168" ht="15.75" customHeight="1">
      <c r="A1168" s="4">
        <f>IF(PRECIOS!A1168="","",PRECIOS!A1168)</f>
        <v>46111</v>
      </c>
      <c r="B1168" s="7">
        <f>IFERROR(IF(OR(PRECIOS!B1168="",PRECIOS!B1167=""),"",PRECIOS!B1168/PRECIOS!B1167-1),"")</f>
        <v>0.002807181707</v>
      </c>
      <c r="C1168" s="7">
        <f>IFERROR(IF(OR(PRECIOS!C1168="",PRECIOS!C1167=""),"",PRECIOS!C1168/PRECIOS!C1167-1),"")</f>
        <v>0.01444270016</v>
      </c>
      <c r="D1168" s="7">
        <f>IFERROR(IF(OR(PRECIOS!D1168="",PRECIOS!D1167=""),"",PRECIOS!D1168/PRECIOS!D1167-1),"")</f>
        <v>-0.05106766144</v>
      </c>
      <c r="E1168" s="7">
        <f>IFERROR(IF(OR(PRECIOS!E1168="",PRECIOS!E1167=""),"",PRECIOS!E1168/PRECIOS!E1167-1),"")</f>
        <v>-0.03870047011</v>
      </c>
      <c r="F1168" s="7">
        <f>IFERROR(IF(OR(PRECIOS!F1168="",PRECIOS!F1167=""),"",PRECIOS!F1168/PRECIOS!F1167-1),"")</f>
        <v>0.02103165818</v>
      </c>
      <c r="G1168" s="7">
        <f>IFERROR(IF(OR(PRECIOS!G1168="",PRECIOS!G1167=""),"",PRECIOS!G1168/PRECIOS!G1167-1),"")</f>
        <v>-0.01508562109</v>
      </c>
      <c r="H1168" s="7">
        <f>IFERROR(IF(OR(PRECIOS!H1168="",PRECIOS!H1167=""),"",PRECIOS!H1168/PRECIOS!H1167-1),"")</f>
        <v>-0.009590792839</v>
      </c>
      <c r="I1168" s="7">
        <f>IFERROR(IF(OR(PRECIOS!I1168="",PRECIOS!I1167=""),"",PRECIOS!I1168/PRECIOS!I1167-1),"")</f>
        <v>0.00723842948</v>
      </c>
    </row>
    <row r="1169" ht="15.75" customHeight="1">
      <c r="A1169" s="4">
        <f>IF(PRECIOS!A1169="","",PRECIOS!A1169)</f>
        <v>46112</v>
      </c>
      <c r="B1169" s="7">
        <f>IFERROR(IF(OR(PRECIOS!B1169="",PRECIOS!B1168=""),"",PRECIOS!B1169/PRECIOS!B1168-1),"")</f>
        <v>-0.01055578235</v>
      </c>
      <c r="C1169" s="7">
        <f>IFERROR(IF(OR(PRECIOS!C1169="",PRECIOS!C1168=""),"",PRECIOS!C1169/PRECIOS!C1168-1),"")</f>
        <v>-0.004229856598</v>
      </c>
      <c r="D1169" s="7">
        <f>IFERROR(IF(OR(PRECIOS!D1169="",PRECIOS!D1168=""),"",PRECIOS!D1169/PRECIOS!D1168-1),"")</f>
        <v>0.01891012607</v>
      </c>
      <c r="E1169" s="7">
        <f>IFERROR(IF(OR(PRECIOS!E1169="",PRECIOS!E1168=""),"",PRECIOS!E1169/PRECIOS!E1168-1),"")</f>
        <v>0.04116088842</v>
      </c>
      <c r="F1169" s="7">
        <f>IFERROR(IF(OR(PRECIOS!F1169="",PRECIOS!F1168=""),"",PRECIOS!F1169/PRECIOS!F1168-1),"")</f>
        <v>0.002168256722</v>
      </c>
      <c r="G1169" s="7">
        <f>IFERROR(IF(OR(PRECIOS!G1169="",PRECIOS!G1168=""),"",PRECIOS!G1169/PRECIOS!G1168-1),"")</f>
        <v>0.004277632124</v>
      </c>
      <c r="H1169" s="7">
        <f>IFERROR(IF(OR(PRECIOS!H1169="",PRECIOS!H1168=""),"",PRECIOS!H1169/PRECIOS!H1168-1),"")</f>
        <v>-0.01129761136</v>
      </c>
      <c r="I1169" s="7">
        <f>IFERROR(IF(OR(PRECIOS!I1169="",PRECIOS!I1168=""),"",PRECIOS!I1169/PRECIOS!I1168-1),"")</f>
        <v>-0.0006533101045</v>
      </c>
    </row>
    <row r="1170" ht="15.75" customHeight="1">
      <c r="A1170" s="4">
        <f>IF(PRECIOS!A1170="","",PRECIOS!A1170)</f>
        <v>46113</v>
      </c>
      <c r="B1170" s="7">
        <f>IFERROR(IF(OR(PRECIOS!B1170="",PRECIOS!B1169=""),"",PRECIOS!B1170/PRECIOS!B1169-1),"")</f>
        <v>-0.05233997407</v>
      </c>
      <c r="C1170" s="7">
        <f>IFERROR(IF(OR(PRECIOS!C1170="",PRECIOS!C1169=""),"",PRECIOS!C1170/PRECIOS!C1169-1),"")</f>
        <v>0.004351429755</v>
      </c>
      <c r="D1170" s="7">
        <f>IFERROR(IF(OR(PRECIOS!D1170="",PRECIOS!D1169=""),"",PRECIOS!D1170/PRECIOS!D1169-1),"")</f>
        <v>0.02414687687</v>
      </c>
      <c r="E1170" s="7">
        <f>IFERROR(IF(OR(PRECIOS!E1170="",PRECIOS!E1169=""),"",PRECIOS!E1170/PRECIOS!E1169-1),"")</f>
        <v>0.02205944027</v>
      </c>
      <c r="F1170" s="7">
        <f>IFERROR(IF(OR(PRECIOS!F1170="",PRECIOS!F1169=""),"",PRECIOS!F1170/PRECIOS!F1169-1),"")</f>
        <v>-0.04132410212</v>
      </c>
      <c r="G1170" s="7">
        <f>IFERROR(IF(OR(PRECIOS!G1170="",PRECIOS!G1169=""),"",PRECIOS!G1170/PRECIOS!G1169-1),"")</f>
        <v>-0.01305303655</v>
      </c>
      <c r="H1170" s="7">
        <f>IFERROR(IF(OR(PRECIOS!H1170="",PRECIOS!H1169=""),"",PRECIOS!H1170/PRECIOS!H1169-1),"")</f>
        <v>-0.03738165198</v>
      </c>
      <c r="I1170" s="7">
        <f>IFERROR(IF(OR(PRECIOS!I1170="",PRECIOS!I1169=""),"",PRECIOS!I1170/PRECIOS!I1169-1),"")</f>
        <v>0.004794072783</v>
      </c>
    </row>
    <row r="1171" ht="15.75" customHeight="1">
      <c r="A1171" s="4">
        <f>IF(PRECIOS!A1171="","",PRECIOS!A1171)</f>
        <v>46114</v>
      </c>
      <c r="B1171" s="7">
        <f>IFERROR(IF(OR(PRECIOS!B1171="",PRECIOS!B1170=""),"",PRECIOS!B1171/PRECIOS!B1170-1),"")</f>
        <v>-0.0005597711158</v>
      </c>
      <c r="C1171" s="7">
        <f>IFERROR(IF(OR(PRECIOS!C1171="",PRECIOS!C1170=""),"",PRECIOS!C1171/PRECIOS!C1170-1),"")</f>
        <v>0.005260986177</v>
      </c>
      <c r="D1171" s="7">
        <f>IFERROR(IF(OR(PRECIOS!D1171="",PRECIOS!D1170=""),"",PRECIOS!D1171/PRECIOS!D1170-1),"")</f>
        <v>-0.01805663809</v>
      </c>
      <c r="E1171" s="7">
        <f>IFERROR(IF(OR(PRECIOS!E1171="",PRECIOS!E1170=""),"",PRECIOS!E1171/PRECIOS!E1170-1),"")</f>
        <v>-0.01220045957</v>
      </c>
      <c r="F1171" s="7">
        <f>IFERROR(IF(OR(PRECIOS!F1171="",PRECIOS!F1170=""),"",PRECIOS!F1171/PRECIOS!F1170-1),"")</f>
        <v>0.0205371248</v>
      </c>
      <c r="G1171" s="7">
        <f>IFERROR(IF(OR(PRECIOS!G1171="",PRECIOS!G1170=""),"",PRECIOS!G1171/PRECIOS!G1170-1),"")</f>
        <v>0.002366699151</v>
      </c>
      <c r="H1171" s="7">
        <f>IFERROR(IF(OR(PRECIOS!H1171="",PRECIOS!H1170=""),"",PRECIOS!H1171/PRECIOS!H1170-1),"")</f>
        <v>0.004748177039</v>
      </c>
      <c r="I1171" s="7">
        <f>IFERROR(IF(OR(PRECIOS!I1171="",PRECIOS!I1170=""),"",PRECIOS!I1171/PRECIOS!I1170-1),"")</f>
        <v>0.004988072002</v>
      </c>
    </row>
    <row r="1172" ht="15.75" customHeight="1">
      <c r="A1172" s="4">
        <f>IF(PRECIOS!A1172="","",PRECIOS!A1172)</f>
        <v>46118</v>
      </c>
      <c r="B1172" s="7">
        <f>IFERROR(IF(OR(PRECIOS!B1172="",PRECIOS!B1171=""),"",PRECIOS!B1172/PRECIOS!B1171-1),"")</f>
        <v>0.0166780758</v>
      </c>
      <c r="C1172" s="7">
        <f>IFERROR(IF(OR(PRECIOS!C1172="",PRECIOS!C1171=""),"",PRECIOS!C1172/PRECIOS!C1171-1),"")</f>
        <v>-0.005233453053</v>
      </c>
      <c r="D1172" s="7">
        <f>IFERROR(IF(OR(PRECIOS!D1172="",PRECIOS!D1171=""),"",PRECIOS!D1172/PRECIOS!D1171-1),"")</f>
        <v>0.002711998942</v>
      </c>
      <c r="E1172" s="7">
        <f>IFERROR(IF(OR(PRECIOS!E1172="",PRECIOS!E1171=""),"",PRECIOS!E1172/PRECIOS!E1171-1),"")</f>
        <v>0.007726391581</v>
      </c>
      <c r="F1172" s="7">
        <f>IFERROR(IF(OR(PRECIOS!F1172="",PRECIOS!F1171=""),"",PRECIOS!F1172/PRECIOS!F1171-1),"")</f>
        <v>-0.02963290579</v>
      </c>
      <c r="G1172" s="7">
        <f>IFERROR(IF(OR(PRECIOS!G1172="",PRECIOS!G1171=""),"",PRECIOS!G1172/PRECIOS!G1171-1),"")</f>
        <v>0.008194444444</v>
      </c>
      <c r="H1172" s="7">
        <f>IFERROR(IF(OR(PRECIOS!H1172="",PRECIOS!H1171=""),"",PRECIOS!H1172/PRECIOS!H1171-1),"")</f>
        <v>0.007257383966</v>
      </c>
      <c r="I1172" s="7">
        <f>IFERROR(IF(OR(PRECIOS!I1172="",PRECIOS!I1171=""),"",PRECIOS!I1172/PRECIOS!I1171-1),"")</f>
        <v>-0.003668536901</v>
      </c>
    </row>
    <row r="1173" ht="15.75" customHeight="1">
      <c r="A1173" s="4">
        <f>IF(PRECIOS!A1173="","",PRECIOS!A1173)</f>
        <v>46119</v>
      </c>
      <c r="B1173" s="7">
        <f>IFERROR(IF(OR(PRECIOS!B1173="",PRECIOS!B1172=""),"",PRECIOS!B1173/PRECIOS!B1172-1),"")</f>
        <v>0.003305380425</v>
      </c>
      <c r="C1173" s="7">
        <f>IFERROR(IF(OR(PRECIOS!C1173="",PRECIOS!C1172=""),"",PRECIOS!C1173/PRECIOS!C1172-1),"")</f>
        <v>-0.0012378791</v>
      </c>
      <c r="D1173" s="7">
        <f>IFERROR(IF(OR(PRECIOS!D1173="",PRECIOS!D1172=""),"",PRECIOS!D1173/PRECIOS!D1172-1),"")</f>
        <v>0.01378718913</v>
      </c>
      <c r="E1173" s="7">
        <f>IFERROR(IF(OR(PRECIOS!E1173="",PRECIOS!E1172=""),"",PRECIOS!E1173/PRECIOS!E1172-1),"")</f>
        <v>0.01363049273</v>
      </c>
      <c r="F1173" s="7">
        <f>IFERROR(IF(OR(PRECIOS!F1173="",PRECIOS!F1172=""),"",PRECIOS!F1173/PRECIOS!F1172-1),"")</f>
        <v>0.006608933455</v>
      </c>
      <c r="G1173" s="7">
        <f>IFERROR(IF(OR(PRECIOS!G1173="",PRECIOS!G1172=""),"",PRECIOS!G1173/PRECIOS!G1172-1),"")</f>
        <v>0.0199752032</v>
      </c>
      <c r="H1173" s="7">
        <f>IFERROR(IF(OR(PRECIOS!H1173="",PRECIOS!H1172=""),"",PRECIOS!H1173/PRECIOS!H1172-1),"")</f>
        <v>0.008042895442</v>
      </c>
      <c r="I1173" s="7">
        <f>IFERROR(IF(OR(PRECIOS!I1173="",PRECIOS!I1172=""),"",PRECIOS!I1173/PRECIOS!I1172-1),"")</f>
        <v>0.002165908599</v>
      </c>
    </row>
    <row r="1174" ht="15.75" customHeight="1">
      <c r="A1174" s="4">
        <f>IF(PRECIOS!A1174="","",PRECIOS!A1174)</f>
        <v>46120</v>
      </c>
      <c r="B1174" s="7">
        <f>IFERROR(IF(OR(PRECIOS!B1174="",PRECIOS!B1173=""),"",PRECIOS!B1174/PRECIOS!B1173-1),"")</f>
        <v>-0.04691599048</v>
      </c>
      <c r="C1174" s="7">
        <f>IFERROR(IF(OR(PRECIOS!C1174="",PRECIOS!C1173=""),"",PRECIOS!C1174/PRECIOS!C1173-1),"")</f>
        <v>0.003614955588</v>
      </c>
      <c r="D1174" s="7">
        <f>IFERROR(IF(OR(PRECIOS!D1174="",PRECIOS!D1173=""),"",PRECIOS!D1174/PRECIOS!D1173-1),"")</f>
        <v>0.01438053097</v>
      </c>
      <c r="E1174" s="7">
        <f>IFERROR(IF(OR(PRECIOS!E1174="",PRECIOS!E1173=""),"",PRECIOS!E1174/PRECIOS!E1173-1),"")</f>
        <v>0.04535719127</v>
      </c>
      <c r="F1174" s="7">
        <f>IFERROR(IF(OR(PRECIOS!F1174="",PRECIOS!F1173=""),"",PRECIOS!F1174/PRECIOS!F1173-1),"")</f>
        <v>-0.01562146253</v>
      </c>
      <c r="G1174" s="7">
        <f>IFERROR(IF(OR(PRECIOS!G1174="",PRECIOS!G1173=""),"",PRECIOS!G1174/PRECIOS!G1173-1),"")</f>
        <v>-0.01391139924</v>
      </c>
      <c r="H1174" s="7">
        <f>IFERROR(IF(OR(PRECIOS!H1174="",PRECIOS!H1173=""),"",PRECIOS!H1174/PRECIOS!H1173-1),"")</f>
        <v>-0.0350731383</v>
      </c>
      <c r="I1174" s="7">
        <f>IFERROR(IF(OR(PRECIOS!I1174="",PRECIOS!I1173=""),"",PRECIOS!I1174/PRECIOS!I1173-1),"")</f>
        <v>0.01102226064</v>
      </c>
    </row>
    <row r="1175" ht="15.75" customHeight="1">
      <c r="A1175" s="4">
        <f>IF(PRECIOS!A1175="","",PRECIOS!A1175)</f>
        <v>46121</v>
      </c>
      <c r="B1175" s="7">
        <f>IFERROR(IF(OR(PRECIOS!B1175="",PRECIOS!B1174=""),"",PRECIOS!B1175/PRECIOS!B1174-1),"")</f>
        <v>-0.007553450262</v>
      </c>
      <c r="C1175" s="7">
        <f>IFERROR(IF(OR(PRECIOS!C1175="",PRECIOS!C1174=""),"",PRECIOS!C1175/PRECIOS!C1174-1),"")</f>
        <v>0.004322321704</v>
      </c>
      <c r="D1175" s="7">
        <f>IFERROR(IF(OR(PRECIOS!D1175="",PRECIOS!D1174=""),"",PRECIOS!D1175/PRECIOS!D1174-1),"")</f>
        <v>-0.02014240811</v>
      </c>
      <c r="E1175" s="7">
        <f>IFERROR(IF(OR(PRECIOS!E1175="",PRECIOS!E1174=""),"",PRECIOS!E1175/PRECIOS!E1174-1),"")</f>
        <v>0.03853934333</v>
      </c>
      <c r="F1175" s="7">
        <f>IFERROR(IF(OR(PRECIOS!F1175="",PRECIOS!F1174=""),"",PRECIOS!F1175/PRECIOS!F1174-1),"")</f>
        <v>-0.01816927323</v>
      </c>
      <c r="G1175" s="7">
        <f>IFERROR(IF(OR(PRECIOS!G1175="",PRECIOS!G1174=""),"",PRECIOS!G1175/PRECIOS!G1174-1),"")</f>
        <v>-0.002602383235</v>
      </c>
      <c r="H1175" s="7">
        <f>IFERROR(IF(OR(PRECIOS!H1175="",PRECIOS!H1174=""),"",PRECIOS!H1175/PRECIOS!H1174-1),"")</f>
        <v>-0.01240310078</v>
      </c>
      <c r="I1175" s="7">
        <f>IFERROR(IF(OR(PRECIOS!I1175="",PRECIOS!I1174=""),"",PRECIOS!I1175/PRECIOS!I1174-1),"")</f>
        <v>0.007909362976</v>
      </c>
    </row>
    <row r="1176" ht="15.75" customHeight="1">
      <c r="A1176" s="4">
        <f>IF(PRECIOS!A1176="","",PRECIOS!A1176)</f>
        <v>46122</v>
      </c>
      <c r="B1176" s="7">
        <f>IFERROR(IF(OR(PRECIOS!B1176="",PRECIOS!B1175=""),"",PRECIOS!B1176/PRECIOS!B1175-1),"")</f>
        <v>-0.01631836945</v>
      </c>
      <c r="C1176" s="7">
        <f>IFERROR(IF(OR(PRECIOS!C1176="",PRECIOS!C1175=""),"",PRECIOS!C1176/PRECIOS!C1175-1),"")</f>
        <v>-0.004508658674</v>
      </c>
      <c r="D1176" s="7">
        <f>IFERROR(IF(OR(PRECIOS!D1176="",PRECIOS!D1175=""),"",PRECIOS!D1176/PRECIOS!D1175-1),"")</f>
        <v>0.01296235679</v>
      </c>
      <c r="E1176" s="7">
        <f>IFERROR(IF(OR(PRECIOS!E1176="",PRECIOS!E1175=""),"",PRECIOS!E1176/PRECIOS!E1175-1),"")</f>
        <v>0.006392967735</v>
      </c>
      <c r="F1176" s="7">
        <f>IFERROR(IF(OR(PRECIOS!F1176="",PRECIOS!F1175=""),"",PRECIOS!F1176/PRECIOS!F1175-1),"")</f>
        <v>0.006090419302</v>
      </c>
      <c r="G1176" s="7">
        <f>IFERROR(IF(OR(PRECIOS!G1176="",PRECIOS!G1175=""),"",PRECIOS!G1176/PRECIOS!G1175-1),"")</f>
        <v>-0.001098599286</v>
      </c>
      <c r="H1176" s="7">
        <f>IFERROR(IF(OR(PRECIOS!H1176="",PRECIOS!H1175=""),"",PRECIOS!H1176/PRECIOS!H1175-1),"")</f>
        <v>-0.006802721088</v>
      </c>
      <c r="I1176" s="7">
        <f>IFERROR(IF(OR(PRECIOS!I1176="",PRECIOS!I1175=""),"",PRECIOS!I1176/PRECIOS!I1175-1),"")</f>
        <v>-0.004029692471</v>
      </c>
    </row>
    <row r="1177" ht="15.75" customHeight="1">
      <c r="A1177" s="4">
        <f>IF(PRECIOS!A1177="","",PRECIOS!A1177)</f>
        <v>46125</v>
      </c>
      <c r="B1177" s="7">
        <f>IFERROR(IF(OR(PRECIOS!B1177="",PRECIOS!B1176=""),"",PRECIOS!B1177/PRECIOS!B1176-1),"")</f>
        <v>0.0008524031211</v>
      </c>
      <c r="C1177" s="7">
        <f>IFERROR(IF(OR(PRECIOS!C1177="",PRECIOS!C1176=""),"",PRECIOS!C1177/PRECIOS!C1176-1),"")</f>
        <v>-0.01255790015</v>
      </c>
      <c r="D1177" s="7">
        <f>IFERROR(IF(OR(PRECIOS!D1177="",PRECIOS!D1176=""),"",PRECIOS!D1177/PRECIOS!D1176-1),"")</f>
        <v>0.0224261617</v>
      </c>
      <c r="E1177" s="7">
        <f>IFERROR(IF(OR(PRECIOS!E1177="",PRECIOS!E1176=""),"",PRECIOS!E1177/PRECIOS!E1176-1),"")</f>
        <v>0.0008933002481</v>
      </c>
      <c r="F1177" s="7">
        <f>IFERROR(IF(OR(PRECIOS!F1177="",PRECIOS!F1176=""),"",PRECIOS!F1177/PRECIOS!F1176-1),"")</f>
        <v>0.01303841676</v>
      </c>
      <c r="G1177" s="7">
        <f>IFERROR(IF(OR(PRECIOS!G1177="",PRECIOS!G1176=""),"",PRECIOS!G1177/PRECIOS!G1176-1),"")</f>
        <v>-0.01649711301</v>
      </c>
      <c r="H1177" s="7">
        <f>IFERROR(IF(OR(PRECIOS!H1177="",PRECIOS!H1176=""),"",PRECIOS!H1177/PRECIOS!H1176-1),"")</f>
        <v>0.002985598876</v>
      </c>
      <c r="I1177" s="7">
        <f>IFERROR(IF(OR(PRECIOS!I1177="",PRECIOS!I1176=""),"",PRECIOS!I1177/PRECIOS!I1176-1),"")</f>
        <v>-0.01213798978</v>
      </c>
    </row>
    <row r="1178" ht="15.75" customHeight="1">
      <c r="A1178" s="4">
        <f>IF(PRECIOS!A1178="","",PRECIOS!A1178)</f>
        <v>46126</v>
      </c>
      <c r="B1178" s="7">
        <f>IFERROR(IF(OR(PRECIOS!B1178="",PRECIOS!B1177=""),"",PRECIOS!B1178/PRECIOS!B1177-1),"")</f>
        <v>-0.02227463312</v>
      </c>
      <c r="C1178" s="7">
        <f>IFERROR(IF(OR(PRECIOS!C1178="",PRECIOS!C1177=""),"",PRECIOS!C1178/PRECIOS!C1177-1),"")</f>
        <v>0.0003127280309</v>
      </c>
      <c r="D1178" s="7">
        <f>IFERROR(IF(OR(PRECIOS!D1178="",PRECIOS!D1177=""),"",PRECIOS!D1178/PRECIOS!D1177-1),"")</f>
        <v>0.03647281922</v>
      </c>
      <c r="E1178" s="7">
        <f>IFERROR(IF(OR(PRECIOS!E1178="",PRECIOS!E1177=""),"",PRECIOS!E1178/PRECIOS!E1177-1),"")</f>
        <v>-0.003619595399</v>
      </c>
      <c r="F1178" s="7">
        <f>IFERROR(IF(OR(PRECIOS!F1178="",PRECIOS!F1177=""),"",PRECIOS!F1178/PRECIOS!F1177-1),"")</f>
        <v>-0.03217651115</v>
      </c>
      <c r="G1178" s="7">
        <f>IFERROR(IF(OR(PRECIOS!G1178="",PRECIOS!G1177=""),"",PRECIOS!G1178/PRECIOS!G1177-1),"")</f>
        <v>-0.001397819402</v>
      </c>
      <c r="H1178" s="7">
        <f>IFERROR(IF(OR(PRECIOS!H1178="",PRECIOS!H1177=""),"",PRECIOS!H1178/PRECIOS!H1177-1),"")</f>
        <v>-0.02031167922</v>
      </c>
      <c r="I1178" s="7">
        <f>IFERROR(IF(OR(PRECIOS!I1178="",PRECIOS!I1177=""),"",PRECIOS!I1178/PRECIOS!I1177-1),"")</f>
        <v>0.001724509593</v>
      </c>
    </row>
    <row r="1179" ht="15.75" customHeight="1">
      <c r="A1179" s="4">
        <f>IF(PRECIOS!A1179="","",PRECIOS!A1179)</f>
        <v>46127</v>
      </c>
      <c r="B1179" s="7">
        <f>IFERROR(IF(OR(PRECIOS!B1179="",PRECIOS!B1178=""),"",PRECIOS!B1179/PRECIOS!B1178-1),"")</f>
        <v>-0.001541141785</v>
      </c>
      <c r="C1179" s="7">
        <f>IFERROR(IF(OR(PRECIOS!C1179="",PRECIOS!C1178=""),"",PRECIOS!C1179/PRECIOS!C1178-1),"")</f>
        <v>-0.01375573155</v>
      </c>
      <c r="D1179" s="7">
        <f>IFERROR(IF(OR(PRECIOS!D1179="",PRECIOS!D1178=""),"",PRECIOS!D1179/PRECIOS!D1178-1),"")</f>
        <v>-0.006281636885</v>
      </c>
      <c r="E1179" s="7">
        <f>IFERROR(IF(OR(PRECIOS!E1179="",PRECIOS!E1178=""),"",PRECIOS!E1179/PRECIOS!E1178-1),"")</f>
        <v>-0.01701915899</v>
      </c>
      <c r="F1179" s="7">
        <f>IFERROR(IF(OR(PRECIOS!F1179="",PRECIOS!F1178=""),"",PRECIOS!F1179/PRECIOS!F1178-1),"")</f>
        <v>-0.0135359772</v>
      </c>
      <c r="G1179" s="7">
        <f>IFERROR(IF(OR(PRECIOS!G1179="",PRECIOS!G1178=""),"",PRECIOS!G1179/PRECIOS!G1178-1),"")</f>
        <v>-0.009518477044</v>
      </c>
      <c r="H1179" s="7">
        <f>IFERROR(IF(OR(PRECIOS!H1179="",PRECIOS!H1178=""),"",PRECIOS!H1179/PRECIOS!H1178-1),"")</f>
        <v>-0.003395889187</v>
      </c>
      <c r="I1179" s="7">
        <f>IFERROR(IF(OR(PRECIOS!I1179="",PRECIOS!I1178=""),"",PRECIOS!I1179/PRECIOS!I1178-1),"")</f>
        <v>-0.009683666882</v>
      </c>
    </row>
    <row r="1180" ht="15.75" customHeight="1">
      <c r="A1180" s="4">
        <f>IF(PRECIOS!A1180="","",PRECIOS!A1180)</f>
        <v>46128</v>
      </c>
      <c r="B1180" s="7">
        <f>IFERROR(IF(OR(PRECIOS!B1180="",PRECIOS!B1179=""),"",PRECIOS!B1180/PRECIOS!B1179-1),"")</f>
        <v>0.01993154822</v>
      </c>
      <c r="C1180" s="7">
        <f>IFERROR(IF(OR(PRECIOS!C1180="",PRECIOS!C1179=""),"",PRECIOS!C1180/PRECIOS!C1179-1),"")</f>
        <v>0.002747252747</v>
      </c>
      <c r="D1180" s="7">
        <f>IFERROR(IF(OR(PRECIOS!D1180="",PRECIOS!D1179=""),"",PRECIOS!D1180/PRECIOS!D1179-1),"")</f>
        <v>0.01589542163</v>
      </c>
      <c r="E1180" s="7">
        <f>IFERROR(IF(OR(PRECIOS!E1180="",PRECIOS!E1179=""),"",PRECIOS!E1180/PRECIOS!E1179-1),"")</f>
        <v>-0.005897838303</v>
      </c>
      <c r="F1180" s="7">
        <f>IFERROR(IF(OR(PRECIOS!F1180="",PRECIOS!F1179=""),"",PRECIOS!F1180/PRECIOS!F1179-1),"")</f>
        <v>0.007944150217</v>
      </c>
      <c r="G1180" s="7">
        <f>IFERROR(IF(OR(PRECIOS!G1180="",PRECIOS!G1179=""),"",PRECIOS!G1180/PRECIOS!G1179-1),"")</f>
        <v>0.001413227812</v>
      </c>
      <c r="H1180" s="7">
        <f>IFERROR(IF(OR(PRECIOS!H1180="",PRECIOS!H1179=""),"",PRECIOS!H1180/PRECIOS!H1179-1),"")</f>
        <v>0.01470588235</v>
      </c>
      <c r="I1180" s="7">
        <f>IFERROR(IF(OR(PRECIOS!I1180="",PRECIOS!I1179=""),"",PRECIOS!I1180/PRECIOS!I1179-1),"")</f>
        <v>0.007170795306</v>
      </c>
    </row>
    <row r="1181" ht="15.75" customHeight="1">
      <c r="A1181" s="4">
        <f>IF(PRECIOS!A1181="","",PRECIOS!A1181)</f>
        <v>46129</v>
      </c>
      <c r="B1181" s="7">
        <f>IFERROR(IF(OR(PRECIOS!B1181="",PRECIOS!B1180=""),"",PRECIOS!B1181/PRECIOS!B1180-1),"")</f>
        <v>-0.03645216476</v>
      </c>
      <c r="C1181" s="7">
        <f>IFERROR(IF(OR(PRECIOS!C1181="",PRECIOS!C1180=""),"",PRECIOS!C1181/PRECIOS!C1180-1),"")</f>
        <v>-0.004109589041</v>
      </c>
      <c r="D1181" s="7">
        <f>IFERROR(IF(OR(PRECIOS!D1181="",PRECIOS!D1180=""),"",PRECIOS!D1181/PRECIOS!D1180-1),"")</f>
        <v>-0.01250528605</v>
      </c>
      <c r="E1181" s="7">
        <f>IFERROR(IF(OR(PRECIOS!E1181="",PRECIOS!E1180=""),"",PRECIOS!E1181/PRECIOS!E1180-1),"")</f>
        <v>0.03432383571</v>
      </c>
      <c r="F1181" s="7">
        <f>IFERROR(IF(OR(PRECIOS!F1181="",PRECIOS!F1180=""),"",PRECIOS!F1181/PRECIOS!F1180-1),"")</f>
        <v>-0.03057081443</v>
      </c>
      <c r="G1181" s="7">
        <f>IFERROR(IF(OR(PRECIOS!G1181="",PRECIOS!G1180=""),"",PRECIOS!G1181/PRECIOS!G1180-1),"")</f>
        <v>0.004092576912</v>
      </c>
      <c r="H1181" s="7">
        <f>IFERROR(IF(OR(PRECIOS!H1181="",PRECIOS!H1180=""),"",PRECIOS!H1181/PRECIOS!H1180-1),"")</f>
        <v>-0.02757158006</v>
      </c>
      <c r="I1181" s="7">
        <f>IFERROR(IF(OR(PRECIOS!I1181="",PRECIOS!I1180=""),"",PRECIOS!I1181/PRECIOS!I1180-1),"")</f>
        <v>-0.004099244876</v>
      </c>
    </row>
    <row r="1182" ht="15.75" customHeight="1">
      <c r="A1182" s="4">
        <f>IF(PRECIOS!A1182="","",PRECIOS!A1182)</f>
        <v>46132</v>
      </c>
      <c r="B1182" s="7">
        <f>IFERROR(IF(OR(PRECIOS!B1182="",PRECIOS!B1181=""),"",PRECIOS!B1182/PRECIOS!B1181-1),"")</f>
        <v>0.008467631795</v>
      </c>
      <c r="C1182" s="7">
        <f>IFERROR(IF(OR(PRECIOS!C1182="",PRECIOS!C1181=""),"",PRECIOS!C1182/PRECIOS!C1181-1),"")</f>
        <v>-0.01058089091</v>
      </c>
      <c r="D1182" s="7">
        <f>IFERROR(IF(OR(PRECIOS!D1182="",PRECIOS!D1181=""),"",PRECIOS!D1182/PRECIOS!D1181-1),"")</f>
        <v>-0.0236143399</v>
      </c>
      <c r="E1182" s="7">
        <f>IFERROR(IF(OR(PRECIOS!E1182="",PRECIOS!E1181=""),"",PRECIOS!E1182/PRECIOS!E1181-1),"")</f>
        <v>0.003348021959</v>
      </c>
      <c r="F1182" s="7">
        <f>IFERROR(IF(OR(PRECIOS!F1182="",PRECIOS!F1181=""),"",PRECIOS!F1182/PRECIOS!F1181-1),"")</f>
        <v>0.009608277901</v>
      </c>
      <c r="G1182" s="7">
        <f>IFERROR(IF(OR(PRECIOS!G1182="",PRECIOS!G1181=""),"",PRECIOS!G1182/PRECIOS!G1181-1),"")</f>
        <v>-0.003373155306</v>
      </c>
      <c r="H1182" s="7">
        <f>IFERROR(IF(OR(PRECIOS!H1182="",PRECIOS!H1181=""),"",PRECIOS!H1182/PRECIOS!H1181-1),"")</f>
        <v>0.0009087604507</v>
      </c>
      <c r="I1182" s="7">
        <f>IFERROR(IF(OR(PRECIOS!I1182="",PRECIOS!I1181=""),"",PRECIOS!I1182/PRECIOS!I1181-1),"")</f>
        <v>-0.008882149047</v>
      </c>
    </row>
    <row r="1183" ht="15.75" customHeight="1">
      <c r="A1183" s="4">
        <f>IF(PRECIOS!A1183="","",PRECIOS!A1183)</f>
        <v>46133</v>
      </c>
      <c r="B1183" s="7">
        <f>IFERROR(IF(OR(PRECIOS!B1183="",PRECIOS!B1182=""),"",PRECIOS!B1183/PRECIOS!B1182-1),"")</f>
        <v>0.004604550379</v>
      </c>
      <c r="C1183" s="7">
        <f>IFERROR(IF(OR(PRECIOS!C1183="",PRECIOS!C1182=""),"",PRECIOS!C1183/PRECIOS!C1182-1),"")</f>
        <v>-0.01700352903</v>
      </c>
      <c r="D1183" s="7">
        <f>IFERROR(IF(OR(PRECIOS!D1183="",PRECIOS!D1182=""),"",PRECIOS!D1183/PRECIOS!D1182-1),"")</f>
        <v>-0.02938596491</v>
      </c>
      <c r="E1183" s="7">
        <f>IFERROR(IF(OR(PRECIOS!E1183="",PRECIOS!E1182=""),"",PRECIOS!E1183/PRECIOS!E1182-1),"")</f>
        <v>0.005226096131</v>
      </c>
      <c r="F1183" s="7">
        <f>IFERROR(IF(OR(PRECIOS!F1183="",PRECIOS!F1182=""),"",PRECIOS!F1183/PRECIOS!F1182-1),"")</f>
        <v>0.05222059541</v>
      </c>
      <c r="G1183" s="7">
        <f>IFERROR(IF(OR(PRECIOS!G1183="",PRECIOS!G1182=""),"",PRECIOS!G1183/PRECIOS!G1182-1),"")</f>
        <v>-0.006769143985</v>
      </c>
      <c r="H1183" s="7">
        <f>IFERROR(IF(OR(PRECIOS!H1183="",PRECIOS!H1182=""),"",PRECIOS!H1183/PRECIOS!H1182-1),"")</f>
        <v>0.01452696568</v>
      </c>
      <c r="I1183" s="7">
        <f>IFERROR(IF(OR(PRECIOS!I1183="",PRECIOS!I1182=""),"",PRECIOS!I1183/PRECIOS!I1182-1),"")</f>
        <v>-0.0174863388</v>
      </c>
    </row>
    <row r="1184" ht="15.75" customHeight="1">
      <c r="A1184" s="4">
        <f>IF(PRECIOS!A1184="","",PRECIOS!A1184)</f>
        <v>46134</v>
      </c>
      <c r="B1184" s="7">
        <f>IFERROR(IF(OR(PRECIOS!B1184="",PRECIOS!B1183=""),"",PRECIOS!B1184/PRECIOS!B1183-1),"")</f>
        <v>0.007684011863</v>
      </c>
      <c r="C1184" s="7">
        <f>IFERROR(IF(OR(PRECIOS!C1184="",PRECIOS!C1183=""),"",PRECIOS!C1184/PRECIOS!C1183-1),"")</f>
        <v>-0.000543951262</v>
      </c>
      <c r="D1184" s="7">
        <f>IFERROR(IF(OR(PRECIOS!D1184="",PRECIOS!D1183=""),"",PRECIOS!D1184/PRECIOS!D1183-1),"")</f>
        <v>0.005680717836</v>
      </c>
      <c r="E1184" s="7">
        <f>IFERROR(IF(OR(PRECIOS!E1184="",PRECIOS!E1183=""),"",PRECIOS!E1184/PRECIOS!E1183-1),"")</f>
        <v>0.01017817916</v>
      </c>
      <c r="F1184" s="7">
        <f>IFERROR(IF(OR(PRECIOS!F1184="",PRECIOS!F1183=""),"",PRECIOS!F1184/PRECIOS!F1183-1),"")</f>
        <v>0.0006957328386</v>
      </c>
      <c r="G1184" s="7">
        <f>IFERROR(IF(OR(PRECIOS!G1184="",PRECIOS!G1183=""),"",PRECIOS!G1184/PRECIOS!G1183-1),"")</f>
        <v>0.009512991623</v>
      </c>
      <c r="H1184" s="7">
        <f>IFERROR(IF(OR(PRECIOS!H1184="",PRECIOS!H1183=""),"",PRECIOS!H1184/PRECIOS!H1183-1),"")</f>
        <v>0.01199212457</v>
      </c>
      <c r="I1184" s="7">
        <f>IFERROR(IF(OR(PRECIOS!I1184="",PRECIOS!I1183=""),"",PRECIOS!I1184/PRECIOS!I1183-1),"")</f>
        <v>-0.001779755284</v>
      </c>
    </row>
    <row r="1185" ht="15.75" customHeight="1">
      <c r="A1185" s="4">
        <f>IF(PRECIOS!A1185="","",PRECIOS!A1185)</f>
        <v>46135</v>
      </c>
      <c r="B1185" s="7">
        <f>IFERROR(IF(OR(PRECIOS!B1185="",PRECIOS!B1184=""),"",PRECIOS!B1185/PRECIOS!B1184-1),"")</f>
        <v>0.006889632107</v>
      </c>
      <c r="C1185" s="7">
        <f>IFERROR(IF(OR(PRECIOS!C1185="",PRECIOS!C1184=""),"",PRECIOS!C1185/PRECIOS!C1184-1),"")</f>
        <v>0.02220529008</v>
      </c>
      <c r="D1185" s="7">
        <f>IFERROR(IF(OR(PRECIOS!D1185="",PRECIOS!D1184=""),"",PRECIOS!D1185/PRECIOS!D1184-1),"")</f>
        <v>0.006804031067</v>
      </c>
      <c r="E1185" s="7">
        <f>IFERROR(IF(OR(PRECIOS!E1185="",PRECIOS!E1184=""),"",PRECIOS!E1185/PRECIOS!E1184-1),"")</f>
        <v>0.02568439365</v>
      </c>
      <c r="F1185" s="7">
        <f>IFERROR(IF(OR(PRECIOS!F1185="",PRECIOS!F1184=""),"",PRECIOS!F1185/PRECIOS!F1184-1),"")</f>
        <v>0.003707995365</v>
      </c>
      <c r="G1185" s="7">
        <f>IFERROR(IF(OR(PRECIOS!G1185="",PRECIOS!G1184=""),"",PRECIOS!G1185/PRECIOS!G1184-1),"")</f>
        <v>0.007735583685</v>
      </c>
      <c r="H1185" s="7">
        <f>IFERROR(IF(OR(PRECIOS!H1185="",PRECIOS!H1184=""),"",PRECIOS!H1185/PRECIOS!H1184-1),"")</f>
        <v>0.007782101167</v>
      </c>
      <c r="I1185" s="7">
        <f>IFERROR(IF(OR(PRECIOS!I1185="",PRECIOS!I1184=""),"",PRECIOS!I1185/PRECIOS!I1184-1),"")</f>
        <v>0.02718965901</v>
      </c>
    </row>
    <row r="1186" ht="15.75" customHeight="1">
      <c r="A1186" s="4">
        <f>IF(PRECIOS!A1186="","",PRECIOS!A1186)</f>
        <v>46136</v>
      </c>
      <c r="B1186" s="7">
        <f>IFERROR(IF(OR(PRECIOS!B1186="",PRECIOS!B1185=""),"",PRECIOS!B1186/PRECIOS!B1185-1),"")</f>
        <v>-0.01076197436</v>
      </c>
      <c r="C1186" s="7">
        <f>IFERROR(IF(OR(PRECIOS!C1186="",PRECIOS!C1185=""),"",PRECIOS!C1186/PRECIOS!C1185-1),"")</f>
        <v>-0.00447236716</v>
      </c>
      <c r="D1186" s="7">
        <f>IFERROR(IF(OR(PRECIOS!D1186="",PRECIOS!D1185=""),"",PRECIOS!D1186/PRECIOS!D1185-1),"")</f>
        <v>0.04781638508</v>
      </c>
      <c r="E1186" s="7">
        <f>IFERROR(IF(OR(PRECIOS!E1186="",PRECIOS!E1185=""),"",PRECIOS!E1186/PRECIOS!E1185-1),"")</f>
        <v>-0.00136631331</v>
      </c>
      <c r="F1186" s="7">
        <f>IFERROR(IF(OR(PRECIOS!F1186="",PRECIOS!F1185=""),"",PRECIOS!F1186/PRECIOS!F1185-1),"")</f>
        <v>-0.008543061649</v>
      </c>
      <c r="G1186" s="7">
        <f>IFERROR(IF(OR(PRECIOS!G1186="",PRECIOS!G1185=""),"",PRECIOS!G1186/PRECIOS!G1185-1),"")</f>
        <v>0.007397069086</v>
      </c>
      <c r="H1186" s="7">
        <f>IFERROR(IF(OR(PRECIOS!H1186="",PRECIOS!H1185=""),"",PRECIOS!H1186/PRECIOS!H1185-1),"")</f>
        <v>-0.001930501931</v>
      </c>
      <c r="I1186" s="7">
        <f>IFERROR(IF(OR(PRECIOS!I1186="",PRECIOS!I1185=""),"",PRECIOS!I1186/PRECIOS!I1185-1),"")</f>
        <v>0.001952701237</v>
      </c>
    </row>
    <row r="1187" ht="15.75" customHeight="1">
      <c r="A1187" s="4">
        <f>IF(PRECIOS!A1187="","",PRECIOS!A1187)</f>
        <v>46139</v>
      </c>
      <c r="B1187" s="7">
        <f>IFERROR(IF(OR(PRECIOS!B1187="",PRECIOS!B1186=""),"",PRECIOS!B1187/PRECIOS!B1186-1),"")</f>
        <v>-0.004835135317</v>
      </c>
      <c r="C1187" s="7">
        <f>IFERROR(IF(OR(PRECIOS!C1187="",PRECIOS!C1186=""),"",PRECIOS!C1187/PRECIOS!C1186-1),"")</f>
        <v>0.002994972724</v>
      </c>
      <c r="D1187" s="7">
        <f>IFERROR(IF(OR(PRECIOS!D1187="",PRECIOS!D1186=""),"",PRECIOS!D1187/PRECIOS!D1186-1),"")</f>
        <v>0.01356860359</v>
      </c>
      <c r="E1187" s="7">
        <f>IFERROR(IF(OR(PRECIOS!E1187="",PRECIOS!E1186=""),"",PRECIOS!E1187/PRECIOS!E1186-1),"")</f>
        <v>-0.01686638988</v>
      </c>
      <c r="F1187" s="7">
        <f>IFERROR(IF(OR(PRECIOS!F1187="",PRECIOS!F1186=""),"",PRECIOS!F1187/PRECIOS!F1186-1),"")</f>
        <v>0.001397298556</v>
      </c>
      <c r="G1187" s="7">
        <f>IFERROR(IF(OR(PRECIOS!G1187="",PRECIOS!G1186=""),"",PRECIOS!G1187/PRECIOS!G1186-1),"")</f>
        <v>-0.007896924356</v>
      </c>
      <c r="H1187" s="7">
        <f>IFERROR(IF(OR(PRECIOS!H1187="",PRECIOS!H1186=""),"",PRECIOS!H1187/PRECIOS!H1186-1),"")</f>
        <v>-0.001758396343</v>
      </c>
      <c r="I1187" s="7">
        <f>IFERROR(IF(OR(PRECIOS!I1187="",PRECIOS!I1186=""),"",PRECIOS!I1187/PRECIOS!I1186-1),"")</f>
        <v>0.0002165439584</v>
      </c>
    </row>
    <row r="1188" ht="15.75" customHeight="1">
      <c r="A1188" s="4">
        <f>IF(PRECIOS!A1188="","",PRECIOS!A1188)</f>
        <v>46140</v>
      </c>
      <c r="B1188" s="7">
        <f>IFERROR(IF(OR(PRECIOS!B1188="",PRECIOS!B1187=""),"",PRECIOS!B1188/PRECIOS!B1187-1),"")</f>
        <v>0.01599298198</v>
      </c>
      <c r="C1188" s="7">
        <f>IFERROR(IF(OR(PRECIOS!C1188="",PRECIOS!C1187=""),"",PRECIOS!C1188/PRECIOS!C1187-1),"")</f>
        <v>0.006825210622</v>
      </c>
      <c r="D1188" s="7">
        <f>IFERROR(IF(OR(PRECIOS!D1188="",PRECIOS!D1187=""),"",PRECIOS!D1188/PRECIOS!D1187-1),"")</f>
        <v>-0.03277704406</v>
      </c>
      <c r="E1188" s="7">
        <f>IFERROR(IF(OR(PRECIOS!E1188="",PRECIOS!E1187=""),"",PRECIOS!E1188/PRECIOS!E1187-1),"")</f>
        <v>-0.008877798306</v>
      </c>
      <c r="F1188" s="7">
        <f>IFERROR(IF(OR(PRECIOS!F1188="",PRECIOS!F1187=""),"",PRECIOS!F1188/PRECIOS!F1187-1),"")</f>
        <v>0.009069767442</v>
      </c>
      <c r="G1188" s="7">
        <f>IFERROR(IF(OR(PRECIOS!G1188="",PRECIOS!G1187=""),"",PRECIOS!G1188/PRECIOS!G1187-1),"")</f>
        <v>0.01996927803</v>
      </c>
      <c r="H1188" s="7">
        <f>IFERROR(IF(OR(PRECIOS!H1188="",PRECIOS!H1187=""),"",PRECIOS!H1188/PRECIOS!H1187-1),"")</f>
        <v>0.01655804122</v>
      </c>
      <c r="I1188" s="7">
        <f>IFERROR(IF(OR(PRECIOS!I1188="",PRECIOS!I1187=""),"",PRECIOS!I1188/PRECIOS!I1187-1),"")</f>
        <v>0.001298982464</v>
      </c>
    </row>
    <row r="1189" ht="15.75" customHeight="1">
      <c r="A1189" s="4">
        <f>IF(PRECIOS!A1189="","",PRECIOS!A1189)</f>
        <v>46141</v>
      </c>
      <c r="B1189" s="7">
        <f>IFERROR(IF(OR(PRECIOS!B1189="",PRECIOS!B1188=""),"",PRECIOS!B1189/PRECIOS!B1188-1),"")</f>
        <v>0.02729808714</v>
      </c>
      <c r="C1189" s="7">
        <f>IFERROR(IF(OR(PRECIOS!C1189="",PRECIOS!C1188=""),"",PRECIOS!C1189/PRECIOS!C1188-1),"")</f>
        <v>-0.009532888465</v>
      </c>
      <c r="D1189" s="7">
        <f>IFERROR(IF(OR(PRECIOS!D1189="",PRECIOS!D1188=""),"",PRECIOS!D1189/PRECIOS!D1188-1),"")</f>
        <v>-0.04549404171</v>
      </c>
      <c r="E1189" s="7">
        <f>IFERROR(IF(OR(PRECIOS!E1189="",PRECIOS!E1188=""),"",PRECIOS!E1189/PRECIOS!E1188-1),"")</f>
        <v>-0.005568063524</v>
      </c>
      <c r="F1189" s="7">
        <f>IFERROR(IF(OR(PRECIOS!F1189="",PRECIOS!F1188=""),"",PRECIOS!F1189/PRECIOS!F1188-1),"")</f>
        <v>0.03272643466</v>
      </c>
      <c r="G1189" s="7">
        <f>IFERROR(IF(OR(PRECIOS!G1189="",PRECIOS!G1188=""),"",PRECIOS!G1189/PRECIOS!G1188-1),"")</f>
        <v>0.003833515882</v>
      </c>
      <c r="H1189" s="7">
        <f>IFERROR(IF(OR(PRECIOS!H1189="",PRECIOS!H1188=""),"",PRECIOS!H1189/PRECIOS!H1188-1),"")</f>
        <v>0.02287298562</v>
      </c>
      <c r="I1189" s="7">
        <f>IFERROR(IF(OR(PRECIOS!I1189="",PRECIOS!I1188=""),"",PRECIOS!I1189/PRECIOS!I1188-1),"")</f>
        <v>-0.01232432432</v>
      </c>
    </row>
    <row r="1190" ht="15.75" customHeight="1">
      <c r="A1190" s="4">
        <f>IF(PRECIOS!A1190="","",PRECIOS!A1190)</f>
        <v>46142</v>
      </c>
      <c r="B1190" s="7">
        <f>IFERROR(IF(OR(PRECIOS!B1190="",PRECIOS!B1189=""),"",PRECIOS!B1190/PRECIOS!B1189-1),"")</f>
        <v>-0.002198228486</v>
      </c>
      <c r="C1190" s="7">
        <f>IFERROR(IF(OR(PRECIOS!C1190="",PRECIOS!C1189=""),"",PRECIOS!C1190/PRECIOS!C1189-1),"")</f>
        <v>0.0341139985</v>
      </c>
      <c r="D1190" s="7">
        <f>IFERROR(IF(OR(PRECIOS!D1190="",PRECIOS!D1189=""),"",PRECIOS!D1190/PRECIOS!D1189-1),"")</f>
        <v>0.02633461213</v>
      </c>
      <c r="E1190" s="7">
        <f>IFERROR(IF(OR(PRECIOS!E1190="",PRECIOS!E1189=""),"",PRECIOS!E1190/PRECIOS!E1189-1),"")</f>
        <v>0.05414222071</v>
      </c>
      <c r="F1190" s="7">
        <f>IFERROR(IF(OR(PRECIOS!F1190="",PRECIOS!F1189=""),"",PRECIOS!F1190/PRECIOS!F1189-1),"")</f>
        <v>0.007810756528</v>
      </c>
      <c r="G1190" s="7">
        <f>IFERROR(IF(OR(PRECIOS!G1190="",PRECIOS!G1189=""),"",PRECIOS!G1190/PRECIOS!G1189-1),"")</f>
        <v>0.04078014184</v>
      </c>
      <c r="H1190" s="7">
        <f>IFERROR(IF(OR(PRECIOS!H1190="",PRECIOS!H1189=""),"",PRECIOS!H1190/PRECIOS!H1189-1),"")</f>
        <v>0.010503134</v>
      </c>
      <c r="I1190" s="7">
        <f>IFERROR(IF(OR(PRECIOS!I1190="",PRECIOS!I1189=""),"",PRECIOS!I1190/PRECIOS!I1189-1),"")</f>
        <v>0.02561295972</v>
      </c>
    </row>
    <row r="1191" ht="15.75" customHeight="1">
      <c r="A1191" s="4">
        <f>IF(PRECIOS!A1191="","",PRECIOS!A1191)</f>
        <v>46143</v>
      </c>
      <c r="B1191" s="7">
        <f>IFERROR(IF(OR(PRECIOS!B1191="",PRECIOS!B1190=""),"",PRECIOS!B1191/PRECIOS!B1190-1),"")</f>
        <v>-0.01023780211</v>
      </c>
      <c r="C1191" s="7">
        <f>IFERROR(IF(OR(PRECIOS!C1191="",PRECIOS!C1190=""),"",PRECIOS!C1191/PRECIOS!C1190-1),"")</f>
        <v>0.0001034126163</v>
      </c>
      <c r="D1191" s="7">
        <f>IFERROR(IF(OR(PRECIOS!D1191="",PRECIOS!D1190=""),"",PRECIOS!D1191/PRECIOS!D1190-1),"")</f>
        <v>-0.0162189559</v>
      </c>
      <c r="E1191" s="7">
        <f>IFERROR(IF(OR(PRECIOS!E1191="",PRECIOS!E1190=""),"",PRECIOS!E1191/PRECIOS!E1190-1),"")</f>
        <v>-0.01722823953</v>
      </c>
      <c r="F1191" s="7">
        <f>IFERROR(IF(OR(PRECIOS!F1191="",PRECIOS!F1190=""),"",PRECIOS!F1191/PRECIOS!F1190-1),"")</f>
        <v>-0.03941541187</v>
      </c>
      <c r="G1191" s="7">
        <f>IFERROR(IF(OR(PRECIOS!G1191="",PRECIOS!G1190=""),"",PRECIOS!G1191/PRECIOS!G1190-1),"")</f>
        <v>-0.01009042065</v>
      </c>
      <c r="H1191" s="7">
        <f>IFERROR(IF(OR(PRECIOS!H1191="",PRECIOS!H1190=""),"",PRECIOS!H1191/PRECIOS!H1190-1),"")</f>
        <v>-0.01341156748</v>
      </c>
      <c r="I1191" s="7">
        <f>IFERROR(IF(OR(PRECIOS!I1191="",PRECIOS!I1190=""),"",PRECIOS!I1191/PRECIOS!I1190-1),"")</f>
        <v>-0.006403415155</v>
      </c>
    </row>
    <row r="1192" ht="15.75" customHeight="1">
      <c r="A1192" s="4">
        <f>IF(PRECIOS!A1192="","",PRECIOS!A1192)</f>
        <v>46146</v>
      </c>
      <c r="B1192" s="7">
        <f>IFERROR(IF(OR(PRECIOS!B1192="",PRECIOS!B1191=""),"",PRECIOS!B1192/PRECIOS!B1191-1),"")</f>
        <v>0.006153846154</v>
      </c>
      <c r="C1192" s="7">
        <f>IFERROR(IF(OR(PRECIOS!C1192="",PRECIOS!C1191=""),"",PRECIOS!C1192/PRECIOS!C1191-1),"")</f>
        <v>-0.007444938476</v>
      </c>
      <c r="D1192" s="7">
        <f>IFERROR(IF(OR(PRECIOS!D1192="",PRECIOS!D1191=""),"",PRECIOS!D1192/PRECIOS!D1191-1),"")</f>
        <v>0.03587068521</v>
      </c>
      <c r="E1192" s="7">
        <f>IFERROR(IF(OR(PRECIOS!E1192="",PRECIOS!E1191=""),"",PRECIOS!E1192/PRECIOS!E1191-1),"")</f>
        <v>-0.007308189402</v>
      </c>
      <c r="F1192" s="7">
        <f>IFERROR(IF(OR(PRECIOS!F1192="",PRECIOS!F1191=""),"",PRECIOS!F1192/PRECIOS!F1191-1),"")</f>
        <v>0.02420470263</v>
      </c>
      <c r="G1192" s="7">
        <f>IFERROR(IF(OR(PRECIOS!G1192="",PRECIOS!G1191=""),"",PRECIOS!G1192/PRECIOS!G1191-1),"")</f>
        <v>-0.001720942547</v>
      </c>
      <c r="H1192" s="7">
        <f>IFERROR(IF(OR(PRECIOS!H1192="",PRECIOS!H1191=""),"",PRECIOS!H1192/PRECIOS!H1191-1),"")</f>
        <v>0.009175870858</v>
      </c>
      <c r="I1192" s="7">
        <f>IFERROR(IF(OR(PRECIOS!I1192="",PRECIOS!I1191=""),"",PRECIOS!I1192/PRECIOS!I1191-1),"")</f>
        <v>-0.003866809882</v>
      </c>
    </row>
    <row r="1193" ht="15.75" customHeight="1">
      <c r="A1193" s="4">
        <f>IF(PRECIOS!A1193="","",PRECIOS!A1193)</f>
        <v>46147</v>
      </c>
      <c r="B1193" s="7">
        <f>IFERROR(IF(OR(PRECIOS!B1193="",PRECIOS!B1192=""),"",PRECIOS!B1193/PRECIOS!B1192-1),"")</f>
        <v>0.007742859002</v>
      </c>
      <c r="C1193" s="7">
        <f>IFERROR(IF(OR(PRECIOS!C1193="",PRECIOS!C1192=""),"",PRECIOS!C1193/PRECIOS!C1192-1),"")</f>
        <v>-0.0009375976664</v>
      </c>
      <c r="D1193" s="7">
        <f>IFERROR(IF(OR(PRECIOS!D1193="",PRECIOS!D1192=""),"",PRECIOS!D1193/PRECIOS!D1192-1),"")</f>
        <v>-0.002921976997</v>
      </c>
      <c r="E1193" s="7">
        <f>IFERROR(IF(OR(PRECIOS!E1193="",PRECIOS!E1192=""),"",PRECIOS!E1193/PRECIOS!E1192-1),"")</f>
        <v>-0.02741217688</v>
      </c>
      <c r="F1193" s="7">
        <f>IFERROR(IF(OR(PRECIOS!F1193="",PRECIOS!F1192=""),"",PRECIOS!F1193/PRECIOS!F1192-1),"")</f>
        <v>-0.01035336484</v>
      </c>
      <c r="G1193" s="7">
        <f>IFERROR(IF(OR(PRECIOS!G1193="",PRECIOS!G1192=""),"",PRECIOS!G1193/PRECIOS!G1192-1),"")</f>
        <v>0.009415196923</v>
      </c>
      <c r="H1193" s="7">
        <f>IFERROR(IF(OR(PRECIOS!H1193="",PRECIOS!H1192=""),"",PRECIOS!H1193/PRECIOS!H1192-1),"")</f>
        <v>0.001010271089</v>
      </c>
      <c r="I1193" s="7">
        <f>IFERROR(IF(OR(PRECIOS!I1193="",PRECIOS!I1192=""),"",PRECIOS!I1193/PRECIOS!I1192-1),"")</f>
        <v>0</v>
      </c>
    </row>
    <row r="1194" ht="15.75" customHeight="1">
      <c r="A1194" s="4">
        <f>IF(PRECIOS!A1194="","",PRECIOS!A1194)</f>
        <v>46148</v>
      </c>
      <c r="B1194" s="7">
        <f>IFERROR(IF(OR(PRECIOS!B1194="",PRECIOS!B1193=""),"",PRECIOS!B1194/PRECIOS!B1193-1),"")</f>
        <v>-0.03996642562</v>
      </c>
      <c r="C1194" s="7">
        <f>IFERROR(IF(OR(PRECIOS!C1194="",PRECIOS!C1193=""),"",PRECIOS!C1194/PRECIOS!C1193-1),"")</f>
        <v>-0.02492179353</v>
      </c>
      <c r="D1194" s="7">
        <f>IFERROR(IF(OR(PRECIOS!D1194="",PRECIOS!D1193=""),"",PRECIOS!D1194/PRECIOS!D1193-1),"")</f>
        <v>-0.01303155007</v>
      </c>
      <c r="E1194" s="7">
        <f>IFERROR(IF(OR(PRECIOS!E1194="",PRECIOS!E1193=""),"",PRECIOS!E1194/PRECIOS!E1193-1),"")</f>
        <v>0.02562916809</v>
      </c>
      <c r="F1194" s="7">
        <f>IFERROR(IF(OR(PRECIOS!F1194="",PRECIOS!F1193=""),"",PRECIOS!F1194/PRECIOS!F1193-1),"")</f>
        <v>-0.01614737321</v>
      </c>
      <c r="G1194" s="7">
        <f>IFERROR(IF(OR(PRECIOS!G1194="",PRECIOS!G1193=""),"",PRECIOS!G1194/PRECIOS!G1193-1),"")</f>
        <v>-0.0310036784</v>
      </c>
      <c r="H1194" s="7">
        <f>IFERROR(IF(OR(PRECIOS!H1194="",PRECIOS!H1193=""),"",PRECIOS!H1194/PRECIOS!H1193-1),"")</f>
        <v>-0.04121110177</v>
      </c>
      <c r="I1194" s="7">
        <f>IFERROR(IF(OR(PRECIOS!I1194="",PRECIOS!I1193=""),"",PRECIOS!I1194/PRECIOS!I1193-1),"")</f>
        <v>-0.01423334052</v>
      </c>
    </row>
    <row r="1195" ht="15.75" customHeight="1">
      <c r="A1195" s="4">
        <f>IF(PRECIOS!A1195="","",PRECIOS!A1195)</f>
        <v>46149</v>
      </c>
      <c r="B1195" s="7">
        <f>IFERROR(IF(OR(PRECIOS!B1195="",PRECIOS!B1194=""),"",PRECIOS!B1195/PRECIOS!B1194-1),"")</f>
        <v>-0.01419059789</v>
      </c>
      <c r="C1195" s="7">
        <f>IFERROR(IF(OR(PRECIOS!C1195="",PRECIOS!C1194=""),"",PRECIOS!C1195/PRECIOS!C1194-1),"")</f>
        <v>-0.01154956689</v>
      </c>
      <c r="D1195" s="7">
        <f>IFERROR(IF(OR(PRECIOS!D1195="",PRECIOS!D1194=""),"",PRECIOS!D1195/PRECIOS!D1194-1),"")</f>
        <v>-0.0274180302</v>
      </c>
      <c r="E1195" s="7">
        <f>IFERROR(IF(OR(PRECIOS!E1195="",PRECIOS!E1194=""),"",PRECIOS!E1195/PRECIOS!E1194-1),"")</f>
        <v>-0.05277771186</v>
      </c>
      <c r="F1195" s="7">
        <f>IFERROR(IF(OR(PRECIOS!F1195="",PRECIOS!F1194=""),"",PRECIOS!F1195/PRECIOS!F1194-1),"")</f>
        <v>-0.01063337957</v>
      </c>
      <c r="G1195" s="7">
        <f>IFERROR(IF(OR(PRECIOS!G1195="",PRECIOS!G1194=""),"",PRECIOS!G1195/PRECIOS!G1194-1),"")</f>
        <v>-0.01098156182</v>
      </c>
      <c r="H1195" s="7">
        <f>IFERROR(IF(OR(PRECIOS!H1195="",PRECIOS!H1194=""),"",PRECIOS!H1195/PRECIOS!H1194-1),"")</f>
        <v>-0.01842105263</v>
      </c>
      <c r="I1195" s="7">
        <f>IFERROR(IF(OR(PRECIOS!I1195="",PRECIOS!I1194=""),"",PRECIOS!I1195/PRECIOS!I1194-1),"")</f>
        <v>-0.01290746007</v>
      </c>
    </row>
    <row r="1196" ht="15.75" customHeight="1">
      <c r="A1196" s="4">
        <f>IF(PRECIOS!A1196="","",PRECIOS!A1196)</f>
        <v>46150</v>
      </c>
      <c r="B1196" s="7">
        <f>IFERROR(IF(OR(PRECIOS!B1196="",PRECIOS!B1195=""),"",PRECIOS!B1196/PRECIOS!B1195-1),"")</f>
        <v>-0.01371264838</v>
      </c>
      <c r="C1196" s="7">
        <f>IFERROR(IF(OR(PRECIOS!C1196="",PRECIOS!C1195=""),"",PRECIOS!C1196/PRECIOS!C1195-1),"")</f>
        <v>-0.006815968841</v>
      </c>
      <c r="D1196" s="7">
        <f>IFERROR(IF(OR(PRECIOS!D1196="",PRECIOS!D1195=""),"",PRECIOS!D1196/PRECIOS!D1195-1),"")</f>
        <v>-0.04046768431</v>
      </c>
      <c r="E1196" s="7">
        <f>IFERROR(IF(OR(PRECIOS!E1196="",PRECIOS!E1195=""),"",PRECIOS!E1196/PRECIOS!E1195-1),"")</f>
        <v>0.005912564199</v>
      </c>
      <c r="F1196" s="7">
        <f>IFERROR(IF(OR(PRECIOS!F1196="",PRECIOS!F1195=""),"",PRECIOS!F1196/PRECIOS!F1195-1),"")</f>
        <v>-0.01004672897</v>
      </c>
      <c r="G1196" s="7">
        <f>IFERROR(IF(OR(PRECIOS!G1196="",PRECIOS!G1195=""),"",PRECIOS!G1196/PRECIOS!G1195-1),"")</f>
        <v>-0.013570939</v>
      </c>
      <c r="H1196" s="7">
        <f>IFERROR(IF(OR(PRECIOS!H1196="",PRECIOS!H1195=""),"",PRECIOS!H1196/PRECIOS!H1195-1),"")</f>
        <v>-0.004468275246</v>
      </c>
      <c r="I1196" s="7">
        <f>IFERROR(IF(OR(PRECIOS!I1196="",PRECIOS!I1195=""),"",PRECIOS!I1196/PRECIOS!I1195-1),"")</f>
        <v>-0.008865248227</v>
      </c>
    </row>
    <row r="1197" ht="15.75" customHeight="1">
      <c r="A1197" s="4">
        <f>IF(PRECIOS!A1197="","",PRECIOS!A1197)</f>
        <v>46153</v>
      </c>
      <c r="B1197" s="7">
        <f>IFERROR(IF(OR(PRECIOS!B1197="",PRECIOS!B1196=""),"",PRECIOS!B1197/PRECIOS!B1196-1),"")</f>
        <v>0.03534619907</v>
      </c>
      <c r="C1197" s="7">
        <f>IFERROR(IF(OR(PRECIOS!C1197="",PRECIOS!C1196=""),"",PRECIOS!C1197/PRECIOS!C1196-1),"")</f>
        <v>0.01416122004</v>
      </c>
      <c r="D1197" s="7">
        <f>IFERROR(IF(OR(PRECIOS!D1197="",PRECIOS!D1196=""),"",PRECIOS!D1197/PRECIOS!D1196-1),"")</f>
        <v>0.02931221229</v>
      </c>
      <c r="E1197" s="7">
        <f>IFERROR(IF(OR(PRECIOS!E1197="",PRECIOS!E1196=""),"",PRECIOS!E1197/PRECIOS!E1196-1),"")</f>
        <v>0.04356055889</v>
      </c>
      <c r="F1197" s="7">
        <f>IFERROR(IF(OR(PRECIOS!F1197="",PRECIOS!F1196=""),"",PRECIOS!F1197/PRECIOS!F1196-1),"")</f>
        <v>0.06042010857</v>
      </c>
      <c r="G1197" s="7">
        <f>IFERROR(IF(OR(PRECIOS!G1197="",PRECIOS!G1196=""),"",PRECIOS!G1197/PRECIOS!G1196-1),"")</f>
        <v>0.03085047248</v>
      </c>
      <c r="H1197" s="7">
        <f>IFERROR(IF(OR(PRECIOS!H1197="",PRECIOS!H1196=""),"",PRECIOS!H1197/PRECIOS!H1196-1),"")</f>
        <v>0.02639138241</v>
      </c>
      <c r="I1197" s="7">
        <f>IFERROR(IF(OR(PRECIOS!I1197="",PRECIOS!I1196=""),"",PRECIOS!I1197/PRECIOS!I1196-1),"")</f>
        <v>0.00939177102</v>
      </c>
    </row>
    <row r="1198" ht="15.75" customHeight="1">
      <c r="A1198" s="4">
        <f>IF(PRECIOS!A1198="","",PRECIOS!A1198)</f>
        <v>46154</v>
      </c>
      <c r="B1198" s="7">
        <f>IFERROR(IF(OR(PRECIOS!B1198="",PRECIOS!B1197=""),"",PRECIOS!B1198/PRECIOS!B1197-1),"")</f>
        <v>0.00634687333</v>
      </c>
      <c r="C1198" s="7">
        <f>IFERROR(IF(OR(PRECIOS!C1198="",PRECIOS!C1197=""),"",PRECIOS!C1198/PRECIOS!C1197-1),"")</f>
        <v>0.003974221267</v>
      </c>
      <c r="D1198" s="7">
        <f>IFERROR(IF(OR(PRECIOS!D1198="",PRECIOS!D1197=""),"",PRECIOS!D1198/PRECIOS!D1197-1),"")</f>
        <v>-0.03406774087</v>
      </c>
      <c r="E1198" s="7">
        <f>IFERROR(IF(OR(PRECIOS!E1198="",PRECIOS!E1197=""),"",PRECIOS!E1198/PRECIOS!E1197-1),"")</f>
        <v>-0.04169451074</v>
      </c>
      <c r="F1198" s="7">
        <f>IFERROR(IF(OR(PRECIOS!F1198="",PRECIOS!F1197=""),"",PRECIOS!F1198/PRECIOS!F1197-1),"")</f>
        <v>0.0004451368796</v>
      </c>
      <c r="G1198" s="7">
        <f>IFERROR(IF(OR(PRECIOS!G1198="",PRECIOS!G1197=""),"",PRECIOS!G1198/PRECIOS!G1197-1),"")</f>
        <v>0.007414397412</v>
      </c>
      <c r="H1198" s="7">
        <f>IFERROR(IF(OR(PRECIOS!H1198="",PRECIOS!H1197=""),"",PRECIOS!H1198/PRECIOS!H1197-1),"")</f>
        <v>0.006996676579</v>
      </c>
      <c r="I1198" s="7">
        <f>IFERROR(IF(OR(PRECIOS!I1198="",PRECIOS!I1197=""),"",PRECIOS!I1198/PRECIOS!I1197-1),"")</f>
        <v>0.001107665042</v>
      </c>
    </row>
    <row r="1199" ht="15.75" customHeight="1">
      <c r="A1199" s="4">
        <f>IF(PRECIOS!A1199="","",PRECIOS!A1199)</f>
        <v>46155</v>
      </c>
      <c r="B1199" s="7">
        <f>IFERROR(IF(OR(PRECIOS!B1199="",PRECIOS!B1198=""),"",PRECIOS!B1199/PRECIOS!B1198-1),"")</f>
        <v>0.006240456748</v>
      </c>
      <c r="C1199" s="7">
        <f>IFERROR(IF(OR(PRECIOS!C1199="",PRECIOS!C1198=""),"",PRECIOS!C1199/PRECIOS!C1198-1),"")</f>
        <v>-0.00353054456</v>
      </c>
      <c r="D1199" s="7">
        <f>IFERROR(IF(OR(PRECIOS!D1199="",PRECIOS!D1198=""),"",PRECIOS!D1199/PRECIOS!D1198-1),"")</f>
        <v>-0.02900524273</v>
      </c>
      <c r="E1199" s="7">
        <f>IFERROR(IF(OR(PRECIOS!E1199="",PRECIOS!E1198=""),"",PRECIOS!E1199/PRECIOS!E1198-1),"")</f>
        <v>0.013473464</v>
      </c>
      <c r="F1199" s="7">
        <f>IFERROR(IF(OR(PRECIOS!F1199="",PRECIOS!F1198=""),"",PRECIOS!F1199/PRECIOS!F1198-1),"")</f>
        <v>-0.03159065628</v>
      </c>
      <c r="G1199" s="7">
        <f>IFERROR(IF(OR(PRECIOS!G1199="",PRECIOS!G1198=""),"",PRECIOS!G1199/PRECIOS!G1198-1),"")</f>
        <v>0.01311387662</v>
      </c>
      <c r="H1199" s="7">
        <f>IFERROR(IF(OR(PRECIOS!H1199="",PRECIOS!H1198=""),"",PRECIOS!H1199/PRECIOS!H1198-1),"")</f>
        <v>0.001042209484</v>
      </c>
      <c r="I1199" s="7">
        <f>IFERROR(IF(OR(PRECIOS!I1199="",PRECIOS!I1198=""),"",PRECIOS!I1199/PRECIOS!I1198-1),"")</f>
        <v>-0.01150697057</v>
      </c>
    </row>
    <row r="1200" ht="15.75" customHeight="1">
      <c r="A1200" s="4">
        <f>IF(PRECIOS!A1200="","",PRECIOS!A1200)</f>
        <v>46156</v>
      </c>
      <c r="B1200" s="7">
        <f>IFERROR(IF(OR(PRECIOS!B1200="",PRECIOS!B1199=""),"",PRECIOS!B1200/PRECIOS!B1199-1),"")</f>
        <v>0.007983110114</v>
      </c>
      <c r="C1200" s="7">
        <f>IFERROR(IF(OR(PRECIOS!C1200="",PRECIOS!C1199=""),"",PRECIOS!C1200/PRECIOS!C1199-1),"")</f>
        <v>0.005797723857</v>
      </c>
      <c r="D1200" s="7">
        <f>IFERROR(IF(OR(PRECIOS!D1200="",PRECIOS!D1199=""),"",PRECIOS!D1200/PRECIOS!D1199-1),"")</f>
        <v>-0.004978613</v>
      </c>
      <c r="E1200" s="7">
        <f>IFERROR(IF(OR(PRECIOS!E1200="",PRECIOS!E1199=""),"",PRECIOS!E1200/PRECIOS!E1199-1),"")</f>
        <v>0.002850543078</v>
      </c>
      <c r="F1200" s="7">
        <f>IFERROR(IF(OR(PRECIOS!F1200="",PRECIOS!F1199=""),"",PRECIOS!F1200/PRECIOS!F1199-1),"")</f>
        <v>0.01470250402</v>
      </c>
      <c r="G1200" s="7">
        <f>IFERROR(IF(OR(PRECIOS!G1200="",PRECIOS!G1199=""),"",PRECIOS!G1200/PRECIOS!G1199-1),"")</f>
        <v>0.02615242372</v>
      </c>
      <c r="H1200" s="7">
        <f>IFERROR(IF(OR(PRECIOS!H1200="",PRECIOS!H1199=""),"",PRECIOS!H1200/PRECIOS!H1199-1),"")</f>
        <v>0.007634912372</v>
      </c>
      <c r="I1200" s="7">
        <f>IFERROR(IF(OR(PRECIOS!I1200="",PRECIOS!I1199=""),"",PRECIOS!I1200/PRECIOS!I1199-1),"")</f>
        <v>0.005148869487</v>
      </c>
    </row>
    <row r="1201" ht="15.75" customHeight="1">
      <c r="A1201" s="4">
        <f>IF(PRECIOS!A1201="","",PRECIOS!A1201)</f>
        <v>46157</v>
      </c>
      <c r="B1201" s="7">
        <f>IFERROR(IF(OR(PRECIOS!B1201="",PRECIOS!B1200=""),"",PRECIOS!B1201/PRECIOS!B1200-1),"")</f>
        <v>0.03364314701</v>
      </c>
      <c r="C1201" s="7">
        <f>IFERROR(IF(OR(PRECIOS!C1201="",PRECIOS!C1200=""),"",PRECIOS!C1201/PRECIOS!C1200-1),"")</f>
        <v>-0.01206233988</v>
      </c>
      <c r="D1201" s="7">
        <f>IFERROR(IF(OR(PRECIOS!D1201="",PRECIOS!D1200=""),"",PRECIOS!D1201/PRECIOS!D1200-1),"")</f>
        <v>-0.0156448203</v>
      </c>
      <c r="E1201" s="7">
        <f>IFERROR(IF(OR(PRECIOS!E1201="",PRECIOS!E1200=""),"",PRECIOS!E1201/PRECIOS!E1200-1),"")</f>
        <v>-0.02122028914</v>
      </c>
      <c r="F1201" s="7">
        <f>IFERROR(IF(OR(PRECIOS!F1201="",PRECIOS!F1200=""),"",PRECIOS!F1201/PRECIOS!F1200-1),"")</f>
        <v>-0.01154629839</v>
      </c>
      <c r="G1201" s="7">
        <f>IFERROR(IF(OR(PRECIOS!G1201="",PRECIOS!G1200=""),"",PRECIOS!G1201/PRECIOS!G1200-1),"")</f>
        <v>0.0003861500837</v>
      </c>
      <c r="H1201" s="7">
        <f>IFERROR(IF(OR(PRECIOS!H1201="",PRECIOS!H1200=""),"",PRECIOS!H1201/PRECIOS!H1200-1),"")</f>
        <v>0.02359221629</v>
      </c>
      <c r="I1201" s="7">
        <f>IFERROR(IF(OR(PRECIOS!I1201="",PRECIOS!I1200=""),"",PRECIOS!I1201/PRECIOS!I1200-1),"")</f>
        <v>-0.02293986637</v>
      </c>
    </row>
    <row r="1202" ht="15.75" customHeight="1">
      <c r="A1202" s="4">
        <f>IF(PRECIOS!A1202="","",PRECIOS!A1202)</f>
        <v>46160</v>
      </c>
      <c r="B1202" s="7">
        <f>IFERROR(IF(OR(PRECIOS!B1202="",PRECIOS!B1201=""),"",PRECIOS!B1202/PRECIOS!B1201-1),"")</f>
        <v>0.01627406282</v>
      </c>
      <c r="C1202" s="7">
        <f>IFERROR(IF(OR(PRECIOS!C1202="",PRECIOS!C1201=""),"",PRECIOS!C1202/PRECIOS!C1201-1),"")</f>
        <v>0.01253376553</v>
      </c>
      <c r="D1202" s="7">
        <f>IFERROR(IF(OR(PRECIOS!D1202="",PRECIOS!D1201=""),"",PRECIOS!D1202/PRECIOS!D1201-1),"")</f>
        <v>-0.02097651775</v>
      </c>
      <c r="E1202" s="7">
        <f>IFERROR(IF(OR(PRECIOS!E1202="",PRECIOS!E1201=""),"",PRECIOS!E1202/PRECIOS!E1201-1),"")</f>
        <v>-0.04398658121</v>
      </c>
      <c r="F1202" s="7">
        <f>IFERROR(IF(OR(PRECIOS!F1202="",PRECIOS!F1201=""),"",PRECIOS!F1202/PRECIOS!F1201-1),"")</f>
        <v>0.08749427393</v>
      </c>
      <c r="G1202" s="7">
        <f>IFERROR(IF(OR(PRECIOS!G1202="",PRECIOS!G1201=""),"",PRECIOS!G1202/PRECIOS!G1201-1),"")</f>
        <v>-0.0003860010293</v>
      </c>
      <c r="H1202" s="7">
        <f>IFERROR(IF(OR(PRECIOS!H1202="",PRECIOS!H1201=""),"",PRECIOS!H1202/PRECIOS!H1201-1),"")</f>
        <v>0.01917900404</v>
      </c>
      <c r="I1202" s="7">
        <f>IFERROR(IF(OR(PRECIOS!I1202="",PRECIOS!I1201=""),"",PRECIOS!I1202/PRECIOS!I1201-1),"")</f>
        <v>0.001595623433</v>
      </c>
    </row>
    <row r="1203" ht="15.75" customHeight="1">
      <c r="A1203" s="4">
        <f>IF(PRECIOS!A1203="","",PRECIOS!A1203)</f>
        <v>46161</v>
      </c>
      <c r="B1203" s="7">
        <f>IFERROR(IF(OR(PRECIOS!B1203="",PRECIOS!B1202=""),"",PRECIOS!B1203/PRECIOS!B1202-1),"")</f>
        <v>0.0128356907</v>
      </c>
      <c r="C1203" s="7">
        <f>IFERROR(IF(OR(PRECIOS!C1203="",PRECIOS!C1202=""),"",PRECIOS!C1203/PRECIOS!C1202-1),"")</f>
        <v>0.00458862448</v>
      </c>
      <c r="D1203" s="7">
        <f>IFERROR(IF(OR(PRECIOS!D1203="",PRECIOS!D1202=""),"",PRECIOS!D1203/PRECIOS!D1202-1),"")</f>
        <v>-0.01491773309</v>
      </c>
      <c r="E1203" s="7">
        <f>IFERROR(IF(OR(PRECIOS!E1203="",PRECIOS!E1202=""),"",PRECIOS!E1203/PRECIOS!E1202-1),"")</f>
        <v>-0.02616073533</v>
      </c>
      <c r="F1203" s="7">
        <f>IFERROR(IF(OR(PRECIOS!F1203="",PRECIOS!F1202=""),"",PRECIOS!F1203/PRECIOS!F1202-1),"")</f>
        <v>0.0101095198</v>
      </c>
      <c r="G1203" s="7">
        <f>IFERROR(IF(OR(PRECIOS!G1203="",PRECIOS!G1202=""),"",PRECIOS!G1203/PRECIOS!G1202-1),"")</f>
        <v>0.02201055477</v>
      </c>
      <c r="H1203" s="7">
        <f>IFERROR(IF(OR(PRECIOS!H1203="",PRECIOS!H1202=""),"",PRECIOS!H1203/PRECIOS!H1202-1),"")</f>
        <v>0.01172003962</v>
      </c>
      <c r="I1203" s="7">
        <f>IFERROR(IF(OR(PRECIOS!I1203="",PRECIOS!I1202=""),"",PRECIOS!I1203/PRECIOS!I1202-1),"")</f>
        <v>0.009103322713</v>
      </c>
    </row>
    <row r="1204" ht="15.75" customHeight="1">
      <c r="A1204" s="4">
        <f>IF(PRECIOS!A1204="","",PRECIOS!A1204)</f>
        <v>46162</v>
      </c>
      <c r="B1204" s="7">
        <f>IFERROR(IF(OR(PRECIOS!B1204="",PRECIOS!B1203=""),"",PRECIOS!B1204/PRECIOS!B1203-1),"")</f>
        <v>-0.03857274685</v>
      </c>
      <c r="C1204" s="7">
        <f>IFERROR(IF(OR(PRECIOS!C1204="",PRECIOS!C1203=""),"",PRECIOS!C1204/PRECIOS!C1203-1),"")</f>
        <v>-0.005523688124</v>
      </c>
      <c r="D1204" s="7">
        <f>IFERROR(IF(OR(PRECIOS!D1204="",PRECIOS!D1203=""),"",PRECIOS!D1204/PRECIOS!D1203-1),"")</f>
        <v>0.06896295746</v>
      </c>
      <c r="E1204" s="7">
        <f>IFERROR(IF(OR(PRECIOS!E1204="",PRECIOS!E1203=""),"",PRECIOS!E1204/PRECIOS!E1203-1),"")</f>
        <v>0.0210013983</v>
      </c>
      <c r="F1204" s="7">
        <f>IFERROR(IF(OR(PRECIOS!F1204="",PRECIOS!F1203=""),"",PRECIOS!F1204/PRECIOS!F1203-1),"")</f>
        <v>-0.01855713094</v>
      </c>
      <c r="G1204" s="7">
        <f>IFERROR(IF(OR(PRECIOS!G1204="",PRECIOS!G1203=""),"",PRECIOS!G1204/PRECIOS!G1203-1),"")</f>
        <v>-0.01914357683</v>
      </c>
      <c r="H1204" s="7">
        <f>IFERROR(IF(OR(PRECIOS!H1204="",PRECIOS!H1203=""),"",PRECIOS!H1204/PRECIOS!H1203-1),"")</f>
        <v>-0.02431065427</v>
      </c>
      <c r="I1204" s="7">
        <f>IFERROR(IF(OR(PRECIOS!I1204="",PRECIOS!I1203=""),"",PRECIOS!I1204/PRECIOS!I1203-1),"")</f>
        <v>0.003834009923</v>
      </c>
    </row>
    <row r="1205" ht="15.75" customHeight="1">
      <c r="A1205" s="4">
        <f>IF(PRECIOS!A1205="","",PRECIOS!A1205)</f>
        <v>46163</v>
      </c>
      <c r="B1205" s="7">
        <f>IFERROR(IF(OR(PRECIOS!B1205="",PRECIOS!B1204=""),"",PRECIOS!B1205/PRECIOS!B1204-1),"")</f>
        <v>-0.006334783722</v>
      </c>
      <c r="C1205" s="7">
        <f>IFERROR(IF(OR(PRECIOS!C1205="",PRECIOS!C1204=""),"",PRECIOS!C1205/PRECIOS!C1204-1),"")</f>
        <v>0.006622516556</v>
      </c>
      <c r="D1205" s="7">
        <f>IFERROR(IF(OR(PRECIOS!D1205="",PRECIOS!D1204=""),"",PRECIOS!D1205/PRECIOS!D1204-1),"")</f>
        <v>0.03527777778</v>
      </c>
      <c r="E1205" s="7">
        <f>IFERROR(IF(OR(PRECIOS!E1205="",PRECIOS!E1204=""),"",PRECIOS!E1205/PRECIOS!E1204-1),"")</f>
        <v>0.004793384076</v>
      </c>
      <c r="F1205" s="7">
        <f>IFERROR(IF(OR(PRECIOS!F1205="",PRECIOS!F1204=""),"",PRECIOS!F1205/PRECIOS!F1204-1),"")</f>
        <v>0.01848311026</v>
      </c>
      <c r="G1205" s="7">
        <f>IFERROR(IF(OR(PRECIOS!G1205="",PRECIOS!G1204=""),"",PRECIOS!G1205/PRECIOS!G1204-1),"")</f>
        <v>-0.004622496148</v>
      </c>
      <c r="H1205" s="7">
        <f>IFERROR(IF(OR(PRECIOS!H1205="",PRECIOS!H1204=""),"",PRECIOS!H1205/PRECIOS!H1204-1),"")</f>
        <v>-0.01120401338</v>
      </c>
      <c r="I1205" s="7">
        <f>IFERROR(IF(OR(PRECIOS!I1205="",PRECIOS!I1204=""),"",PRECIOS!I1205/PRECIOS!I1204-1),"")</f>
        <v>0.01100876208</v>
      </c>
    </row>
    <row r="1206" ht="15.75" customHeight="1">
      <c r="A1206" s="4">
        <f>IF(PRECIOS!A1206="","",PRECIOS!A1206)</f>
        <v>46164</v>
      </c>
      <c r="B1206" s="7">
        <f>IFERROR(IF(OR(PRECIOS!B1206="",PRECIOS!B1205=""),"",PRECIOS!B1206/PRECIOS!B1205-1),"")</f>
        <v>-0.002382638934</v>
      </c>
      <c r="C1206" s="7">
        <f>IFERROR(IF(OR(PRECIOS!C1206="",PRECIOS!C1205=""),"",PRECIOS!C1206/PRECIOS!C1205-1),"")</f>
        <v>0.003289473684</v>
      </c>
      <c r="D1206" s="7">
        <f>IFERROR(IF(OR(PRECIOS!D1206="",PRECIOS!D1205=""),"",PRECIOS!D1206/PRECIOS!D1205-1),"")</f>
        <v>0.04822913872</v>
      </c>
      <c r="E1206" s="7">
        <f>IFERROR(IF(OR(PRECIOS!E1206="",PRECIOS!E1205=""),"",PRECIOS!E1206/PRECIOS!E1205-1),"")</f>
        <v>0.0257922466</v>
      </c>
      <c r="F1206" s="7">
        <f>IFERROR(IF(OR(PRECIOS!F1206="",PRECIOS!F1205=""),"",PRECIOS!F1206/PRECIOS!F1205-1),"")</f>
        <v>0.00104297038</v>
      </c>
      <c r="G1206" s="7">
        <f>IFERROR(IF(OR(PRECIOS!G1206="",PRECIOS!G1205=""),"",PRECIOS!G1206/PRECIOS!G1205-1),"")</f>
        <v>0.01225490196</v>
      </c>
      <c r="H1206" s="7">
        <f>IFERROR(IF(OR(PRECIOS!H1206="",PRECIOS!H1205=""),"",PRECIOS!H1206/PRECIOS!H1205-1),"")</f>
        <v>0.006088280061</v>
      </c>
      <c r="I1206" s="7">
        <f>IFERROR(IF(OR(PRECIOS!I1206="",PRECIOS!I1205=""),"",PRECIOS!I1206/PRECIOS!I1205-1),"")</f>
        <v>0.007777777778</v>
      </c>
    </row>
    <row r="1207" ht="15.75" customHeight="1">
      <c r="A1207" s="4">
        <f>IF(PRECIOS!A1207="","",PRECIOS!A1207)</f>
        <v>46168</v>
      </c>
      <c r="B1207" s="7">
        <f>IFERROR(IF(OR(PRECIOS!B1207="",PRECIOS!B1206=""),"",PRECIOS!B1207/PRECIOS!B1206-1),"")</f>
        <v>-0.03298476633</v>
      </c>
      <c r="C1207" s="7">
        <f>IFERROR(IF(OR(PRECIOS!C1207="",PRECIOS!C1206=""),"",PRECIOS!C1207/PRECIOS!C1206-1),"")</f>
        <v>-0.004865150714</v>
      </c>
      <c r="D1207" s="7">
        <f>IFERROR(IF(OR(PRECIOS!D1207="",PRECIOS!D1206=""),"",PRECIOS!D1207/PRECIOS!D1206-1),"")</f>
        <v>0.0530492097</v>
      </c>
      <c r="E1207" s="7">
        <f>IFERROR(IF(OR(PRECIOS!E1207="",PRECIOS!E1206=""),"",PRECIOS!E1207/PRECIOS!E1206-1),"")</f>
        <v>0.03010093267</v>
      </c>
      <c r="F1207" s="7">
        <f>IFERROR(IF(OR(PRECIOS!F1207="",PRECIOS!F1206=""),"",PRECIOS!F1207/PRECIOS!F1206-1),"")</f>
        <v>0.01271098145</v>
      </c>
      <c r="G1207" s="7">
        <f>IFERROR(IF(OR(PRECIOS!G1207="",PRECIOS!G1206=""),"",PRECIOS!G1207/PRECIOS!G1206-1),"")</f>
        <v>-0.02714413152</v>
      </c>
      <c r="H1207" s="7">
        <f>IFERROR(IF(OR(PRECIOS!H1207="",PRECIOS!H1206=""),"",PRECIOS!H1207/PRECIOS!H1206-1),"")</f>
        <v>-0.02756765843</v>
      </c>
      <c r="I1207" s="7">
        <f>IFERROR(IF(OR(PRECIOS!I1207="",PRECIOS!I1206=""),"",PRECIOS!I1207/PRECIOS!I1206-1),"")</f>
        <v>-0.000441014333</v>
      </c>
    </row>
    <row r="1208" ht="15.75" customHeight="1">
      <c r="A1208" s="4">
        <f>IF(PRECIOS!A1208="","",PRECIOS!A1208)</f>
        <v>46169</v>
      </c>
      <c r="B1208" s="7">
        <f>IFERROR(IF(OR(PRECIOS!B1208="",PRECIOS!B1207=""),"",PRECIOS!B1208/PRECIOS!B1207-1),"")</f>
        <v>-0.01274948268</v>
      </c>
      <c r="C1208" s="7">
        <f>IFERROR(IF(OR(PRECIOS!C1208="",PRECIOS!C1207=""),"",PRECIOS!C1208/PRECIOS!C1207-1),"")</f>
        <v>-0.003719842704</v>
      </c>
      <c r="D1208" s="7">
        <f>IFERROR(IF(OR(PRECIOS!D1208="",PRECIOS!D1207=""),"",PRECIOS!D1208/PRECIOS!D1207-1),"")</f>
        <v>-0.02679873602</v>
      </c>
      <c r="E1208" s="7">
        <f>IFERROR(IF(OR(PRECIOS!E1208="",PRECIOS!E1207=""),"",PRECIOS!E1208/PRECIOS!E1207-1),"")</f>
        <v>0.008037109617</v>
      </c>
      <c r="F1208" s="7">
        <f>IFERROR(IF(OR(PRECIOS!F1208="",PRECIOS!F1207=""),"",PRECIOS!F1208/PRECIOS!F1207-1),"")</f>
        <v>0.06152263374</v>
      </c>
      <c r="G1208" s="7">
        <f>IFERROR(IF(OR(PRECIOS!G1208="",PRECIOS!G1207=""),"",PRECIOS!G1208/PRECIOS!G1207-1),"")</f>
        <v>-0.0258056065</v>
      </c>
      <c r="H1208" s="7">
        <f>IFERROR(IF(OR(PRECIOS!H1208="",PRECIOS!H1207=""),"",PRECIOS!H1208/PRECIOS!H1207-1),"")</f>
        <v>-0.01486603284</v>
      </c>
      <c r="I1208" s="7">
        <f>IFERROR(IF(OR(PRECIOS!I1208="",PRECIOS!I1207=""),"",PRECIOS!I1208/PRECIOS!I1207-1),"")</f>
        <v>-0.004191484668</v>
      </c>
    </row>
    <row r="1209" ht="15.75" customHeight="1">
      <c r="A1209" s="4">
        <f>IF(PRECIOS!A1209="","",PRECIOS!A1209)</f>
        <v>46170</v>
      </c>
      <c r="B1209" s="7">
        <f>IFERROR(IF(OR(PRECIOS!B1209="",PRECIOS!B1208=""),"",PRECIOS!B1209/PRECIOS!B1208-1),"")</f>
        <v>-0.006355645707</v>
      </c>
      <c r="C1209" s="7">
        <f>IFERROR(IF(OR(PRECIOS!C1209="",PRECIOS!C1208=""),"",PRECIOS!C1209/PRECIOS!C1208-1),"")</f>
        <v>-0.01301472157</v>
      </c>
      <c r="D1209" s="7">
        <f>IFERROR(IF(OR(PRECIOS!D1209="",PRECIOS!D1208=""),"",PRECIOS!D1209/PRECIOS!D1208-1),"")</f>
        <v>0.0008117389947</v>
      </c>
      <c r="E1209" s="7">
        <f>IFERROR(IF(OR(PRECIOS!E1209="",PRECIOS!E1208=""),"",PRECIOS!E1209/PRECIOS!E1208-1),"")</f>
        <v>-0.01090139528</v>
      </c>
      <c r="F1209" s="7">
        <f>IFERROR(IF(OR(PRECIOS!F1209="",PRECIOS!F1208=""),"",PRECIOS!F1209/PRECIOS!F1208-1),"")</f>
        <v>0.007947276604</v>
      </c>
      <c r="G1209" s="7">
        <f>IFERROR(IF(OR(PRECIOS!G1209="",PRECIOS!G1208=""),"",PRECIOS!G1209/PRECIOS!G1208-1),"")</f>
        <v>-0.01667338981</v>
      </c>
      <c r="H1209" s="7">
        <f>IFERROR(IF(OR(PRECIOS!H1209="",PRECIOS!H1208=""),"",PRECIOS!H1209/PRECIOS!H1208-1),"")</f>
        <v>-0.0007018775224</v>
      </c>
      <c r="I1209" s="7">
        <f>IFERROR(IF(OR(PRECIOS!I1209="",PRECIOS!I1208=""),"",PRECIOS!I1209/PRECIOS!I1208-1),"")</f>
        <v>-0.01129818343</v>
      </c>
    </row>
    <row r="1210" ht="15.75" customHeight="1">
      <c r="A1210" s="4">
        <f>IF(PRECIOS!A1210="","",PRECIOS!A1210)</f>
        <v>46171</v>
      </c>
      <c r="B1210" s="7">
        <f>IFERROR(IF(OR(PRECIOS!B1210="",PRECIOS!B1209=""),"",PRECIOS!B1210/PRECIOS!B1209-1),"")</f>
        <v>-0.01156777354</v>
      </c>
      <c r="C1210" s="7">
        <f>IFERROR(IF(OR(PRECIOS!C1210="",PRECIOS!C1209=""),"",PRECIOS!C1210/PRECIOS!C1209-1),"")</f>
        <v>-0.005079982706</v>
      </c>
      <c r="D1210" s="7">
        <f>IFERROR(IF(OR(PRECIOS!D1210="",PRECIOS!D1209=""),"",PRECIOS!D1210/PRECIOS!D1209-1),"")</f>
        <v>-0.0003119540804</v>
      </c>
      <c r="E1210" s="7">
        <f>IFERROR(IF(OR(PRECIOS!E1210="",PRECIOS!E1209=""),"",PRECIOS!E1210/PRECIOS!E1209-1),"")</f>
        <v>-0.00333383092</v>
      </c>
      <c r="F1210" s="7">
        <f>IFERROR(IF(OR(PRECIOS!F1210="",PRECIOS!F1209=""),"",PRECIOS!F1210/PRECIOS!F1209-1),"")</f>
        <v>0.01942307692</v>
      </c>
      <c r="G1210" s="7">
        <f>IFERROR(IF(OR(PRECIOS!G1210="",PRECIOS!G1209=""),"",PRECIOS!G1210/PRECIOS!G1209-1),"")</f>
        <v>-0.02379324491</v>
      </c>
      <c r="H1210" s="7">
        <f>IFERROR(IF(OR(PRECIOS!H1210="",PRECIOS!H1209=""),"",PRECIOS!H1210/PRECIOS!H1209-1),"")</f>
        <v>-0.01158911326</v>
      </c>
      <c r="I1210" s="7">
        <f>IFERROR(IF(OR(PRECIOS!I1210="",PRECIOS!I1209=""),"",PRECIOS!I1210/PRECIOS!I1209-1),"")</f>
        <v>-0.004705355142</v>
      </c>
    </row>
    <row r="1211" ht="15.75" customHeight="1">
      <c r="A1211" s="4">
        <f>IF(PRECIOS!A1211="","",PRECIOS!A1211)</f>
        <v>46174</v>
      </c>
      <c r="B1211" s="7">
        <f>IFERROR(IF(OR(PRECIOS!B1211="",PRECIOS!B1210=""),"",PRECIOS!B1211/PRECIOS!B1210-1),"")</f>
        <v>0.02836293543</v>
      </c>
      <c r="C1211" s="7">
        <f>IFERROR(IF(OR(PRECIOS!C1211="",PRECIOS!C1210=""),"",PRECIOS!C1211/PRECIOS!C1210-1),"")</f>
        <v>-0.03280825638</v>
      </c>
      <c r="D1211" s="7">
        <f>IFERROR(IF(OR(PRECIOS!D1211="",PRECIOS!D1210=""),"",PRECIOS!D1211/PRECIOS!D1210-1),"")</f>
        <v>-0.03413842601</v>
      </c>
      <c r="E1211" s="7">
        <f>IFERROR(IF(OR(PRECIOS!E1211="",PRECIOS!E1210=""),"",PRECIOS!E1211/PRECIOS!E1210-1),"")</f>
        <v>-0.001298052921</v>
      </c>
      <c r="F1211" s="7">
        <f>IFERROR(IF(OR(PRECIOS!F1211="",PRECIOS!F1210=""),"",PRECIOS!F1211/PRECIOS!F1210-1),"")</f>
        <v>0.03263535182</v>
      </c>
      <c r="G1211" s="7">
        <f>IFERROR(IF(OR(PRECIOS!G1211="",PRECIOS!G1210=""),"",PRECIOS!G1211/PRECIOS!G1210-1),"")</f>
        <v>-0.01891021151</v>
      </c>
      <c r="H1211" s="7">
        <f>IFERROR(IF(OR(PRECIOS!H1211="",PRECIOS!H1210=""),"",PRECIOS!H1211/PRECIOS!H1210-1),"")</f>
        <v>0.01794279623</v>
      </c>
      <c r="I1211" s="7">
        <f>IFERROR(IF(OR(PRECIOS!I1211="",PRECIOS!I1210=""),"",PRECIOS!I1211/PRECIOS!I1210-1),"")</f>
        <v>-0.02971634399</v>
      </c>
    </row>
    <row r="1212" ht="15.75" customHeight="1">
      <c r="A1212" s="4">
        <f>IF(PRECIOS!A1212="","",PRECIOS!A1212)</f>
        <v>46175</v>
      </c>
      <c r="B1212" s="7">
        <f>IFERROR(IF(OR(PRECIOS!B1212="",PRECIOS!B1211=""),"",PRECIOS!B1212/PRECIOS!B1211-1),"")</f>
        <v>0.001204980586</v>
      </c>
      <c r="C1212" s="7">
        <f>IFERROR(IF(OR(PRECIOS!C1212="",PRECIOS!C1211=""),"",PRECIOS!C1212/PRECIOS!C1211-1),"")</f>
        <v>0.01662361002</v>
      </c>
      <c r="D1212" s="7">
        <f>IFERROR(IF(OR(PRECIOS!D1212="",PRECIOS!D1211=""),"",PRECIOS!D1212/PRECIOS!D1211-1),"")</f>
        <v>0.02074179375</v>
      </c>
      <c r="E1212" s="7">
        <f>IFERROR(IF(OR(PRECIOS!E1212="",PRECIOS!E1211=""),"",PRECIOS!E1212/PRECIOS!E1211-1),"")</f>
        <v>0.04384123175</v>
      </c>
      <c r="F1212" s="7">
        <f>IFERROR(IF(OR(PRECIOS!F1212="",PRECIOS!F1211=""),"",PRECIOS!F1212/PRECIOS!F1211-1),"")</f>
        <v>0.0104128608</v>
      </c>
      <c r="G1212" s="7">
        <f>IFERROR(IF(OR(PRECIOS!G1212="",PRECIOS!G1211=""),"",PRECIOS!G1212/PRECIOS!G1211-1),"")</f>
        <v>0.01813249572</v>
      </c>
      <c r="H1212" s="7">
        <f>IFERROR(IF(OR(PRECIOS!H1212="",PRECIOS!H1211=""),"",PRECIOS!H1212/PRECIOS!H1211-1),"")</f>
        <v>0.01151832461</v>
      </c>
      <c r="I1212" s="7">
        <f>IFERROR(IF(OR(PRECIOS!I1212="",PRECIOS!I1211=""),"",PRECIOS!I1212/PRECIOS!I1211-1),"")</f>
        <v>0.01856148492</v>
      </c>
    </row>
    <row r="1213" ht="15.75" customHeight="1">
      <c r="A1213" s="4">
        <f>IF(PRECIOS!A1213="","",PRECIOS!A1213)</f>
        <v>46176</v>
      </c>
      <c r="B1213" s="7">
        <f>IFERROR(IF(OR(PRECIOS!B1213="",PRECIOS!B1212=""),"",PRECIOS!B1213/PRECIOS!B1212-1),"")</f>
        <v>0.01985825087</v>
      </c>
      <c r="C1213" s="7">
        <f>IFERROR(IF(OR(PRECIOS!C1213="",PRECIOS!C1212=""),"",PRECIOS!C1213/PRECIOS!C1212-1),"")</f>
        <v>-0.0002209700586</v>
      </c>
      <c r="D1213" s="7">
        <f>IFERROR(IF(OR(PRECIOS!D1213="",PRECIOS!D1212=""),"",PRECIOS!D1213/PRECIOS!D1212-1),"")</f>
        <v>-0.02639741723</v>
      </c>
      <c r="E1213" s="7">
        <f>IFERROR(IF(OR(PRECIOS!E1213="",PRECIOS!E1212=""),"",PRECIOS!E1213/PRECIOS!E1212-1),"")</f>
        <v>0.008596331593</v>
      </c>
      <c r="F1213" s="7">
        <f>IFERROR(IF(OR(PRECIOS!F1213="",PRECIOS!F1212=""),"",PRECIOS!F1213/PRECIOS!F1212-1),"")</f>
        <v>-0.007412764419</v>
      </c>
      <c r="G1213" s="7">
        <f>IFERROR(IF(OR(PRECIOS!G1213="",PRECIOS!G1212=""),"",PRECIOS!G1213/PRECIOS!G1212-1),"")</f>
        <v>0.004908147525</v>
      </c>
      <c r="H1213" s="7">
        <f>IFERROR(IF(OR(PRECIOS!H1213="",PRECIOS!H1212=""),"",PRECIOS!H1213/PRECIOS!H1212-1),"")</f>
        <v>0.01293995859</v>
      </c>
      <c r="I1213" s="7">
        <f>IFERROR(IF(OR(PRECIOS!I1213="",PRECIOS!I1212=""),"",PRECIOS!I1213/PRECIOS!I1212-1),"")</f>
        <v>-0.004328018223</v>
      </c>
    </row>
    <row r="1214" ht="15.75" customHeight="1">
      <c r="A1214" s="4">
        <f>IF(PRECIOS!A1214="","",PRECIOS!A1214)</f>
        <v>46177</v>
      </c>
      <c r="B1214" s="7">
        <f>IFERROR(IF(OR(PRECIOS!B1214="",PRECIOS!B1213=""),"",PRECIOS!B1214/PRECIOS!B1213-1),"")</f>
        <v>-0.00321248279</v>
      </c>
      <c r="C1214" s="7">
        <f>IFERROR(IF(OR(PRECIOS!C1214="",PRECIOS!C1213=""),"",PRECIOS!C1214/PRECIOS!C1213-1),"")</f>
        <v>0.01248756769</v>
      </c>
      <c r="D1214" s="7">
        <f>IFERROR(IF(OR(PRECIOS!D1214="",PRECIOS!D1213=""),"",PRECIOS!D1214/PRECIOS!D1213-1),"")</f>
        <v>-0.0006501950585</v>
      </c>
      <c r="E1214" s="7">
        <f>IFERROR(IF(OR(PRECIOS!E1214="",PRECIOS!E1213=""),"",PRECIOS!E1214/PRECIOS!E1213-1),"")</f>
        <v>-0.006172692956</v>
      </c>
      <c r="F1214" s="7">
        <f>IFERROR(IF(OR(PRECIOS!F1214="",PRECIOS!F1213=""),"",PRECIOS!F1214/PRECIOS!F1213-1),"")</f>
        <v>0.004007285974</v>
      </c>
      <c r="G1214" s="7">
        <f>IFERROR(IF(OR(PRECIOS!G1214="",PRECIOS!G1213=""),"",PRECIOS!G1214/PRECIOS!G1213-1),"")</f>
        <v>0.0107451856</v>
      </c>
      <c r="H1214" s="7">
        <f>IFERROR(IF(OR(PRECIOS!H1214="",PRECIOS!H1213=""),"",PRECIOS!H1214/PRECIOS!H1213-1),"")</f>
        <v>0.0006813149378</v>
      </c>
      <c r="I1214" s="7">
        <f>IFERROR(IF(OR(PRECIOS!I1214="",PRECIOS!I1213=""),"",PRECIOS!I1214/PRECIOS!I1213-1),"")</f>
        <v>0.005261953786</v>
      </c>
    </row>
    <row r="1215" ht="15.75" customHeight="1">
      <c r="A1215" s="4">
        <f>IF(PRECIOS!A1215="","",PRECIOS!A1215)</f>
        <v>46178</v>
      </c>
      <c r="B1215" s="7">
        <f>IFERROR(IF(OR(PRECIOS!B1215="",PRECIOS!B1214=""),"",PRECIOS!B1215/PRECIOS!B1214-1),"")</f>
        <v>-0.01394369903</v>
      </c>
      <c r="C1215" s="7">
        <f>IFERROR(IF(OR(PRECIOS!C1215="",PRECIOS!C1214=""),"",PRECIOS!C1215/PRECIOS!C1214-1),"")</f>
        <v>0.01069635451</v>
      </c>
      <c r="D1215" s="7">
        <f>IFERROR(IF(OR(PRECIOS!D1215="",PRECIOS!D1214=""),"",PRECIOS!D1215/PRECIOS!D1214-1),"")</f>
        <v>-0.03214053351</v>
      </c>
      <c r="E1215" s="7">
        <f>IFERROR(IF(OR(PRECIOS!E1215="",PRECIOS!E1214=""),"",PRECIOS!E1215/PRECIOS!E1214-1),"")</f>
        <v>-0.05415541913</v>
      </c>
      <c r="F1215" s="7">
        <f>IFERROR(IF(OR(PRECIOS!F1215="",PRECIOS!F1214=""),"",PRECIOS!F1215/PRECIOS!F1214-1),"")</f>
        <v>-0.0293904209</v>
      </c>
      <c r="G1215" s="7">
        <f>IFERROR(IF(OR(PRECIOS!G1215="",PRECIOS!G1214=""),"",PRECIOS!G1215/PRECIOS!G1214-1),"")</f>
        <v>-0.006489023885</v>
      </c>
      <c r="H1215" s="7">
        <f>IFERROR(IF(OR(PRECIOS!H1215="",PRECIOS!H1214=""),"",PRECIOS!H1215/PRECIOS!H1214-1),"")</f>
        <v>-0.01838297872</v>
      </c>
      <c r="I1215" s="7">
        <f>IFERROR(IF(OR(PRECIOS!I1215="",PRECIOS!I1214=""),"",PRECIOS!I1215/PRECIOS!I1214-1),"")</f>
        <v>0.009330905781</v>
      </c>
    </row>
    <row r="1216" ht="15.75" customHeight="1">
      <c r="A1216" s="4">
        <f>IF(PRECIOS!A1216="","",PRECIOS!A1216)</f>
        <v>46181</v>
      </c>
      <c r="B1216" s="7">
        <f>IFERROR(IF(OR(PRECIOS!B1216="",PRECIOS!B1215=""),"",PRECIOS!B1216/PRECIOS!B1215-1),"")</f>
        <v>0.01220651014</v>
      </c>
      <c r="C1216" s="7">
        <f>IFERROR(IF(OR(PRECIOS!C1216="",PRECIOS!C1215=""),"",PRECIOS!C1216/PRECIOS!C1215-1),"")</f>
        <v>-0.01425485961</v>
      </c>
      <c r="D1216" s="7">
        <f>IFERROR(IF(OR(PRECIOS!D1216="",PRECIOS!D1215=""),"",PRECIOS!D1216/PRECIOS!D1215-1),"")</f>
        <v>-0.01250336112</v>
      </c>
      <c r="E1216" s="7">
        <f>IFERROR(IF(OR(PRECIOS!E1216="",PRECIOS!E1215=""),"",PRECIOS!E1216/PRECIOS!E1215-1),"")</f>
        <v>0.01818457342</v>
      </c>
      <c r="F1216" s="7">
        <f>IFERROR(IF(OR(PRECIOS!F1216="",PRECIOS!F1215=""),"",PRECIOS!F1216/PRECIOS!F1215-1),"")</f>
        <v>0.0007476635514</v>
      </c>
      <c r="G1216" s="7">
        <f>IFERROR(IF(OR(PRECIOS!G1216="",PRECIOS!G1215=""),"",PRECIOS!G1216/PRECIOS!G1215-1),"")</f>
        <v>-0.005141745414</v>
      </c>
      <c r="H1216" s="7">
        <f>IFERROR(IF(OR(PRECIOS!H1216="",PRECIOS!H1215=""),"",PRECIOS!H1216/PRECIOS!H1215-1),"")</f>
        <v>0.01144442518</v>
      </c>
      <c r="I1216" s="7">
        <f>IFERROR(IF(OR(PRECIOS!I1216="",PRECIOS!I1215=""),"",PRECIOS!I1216/PRECIOS!I1215-1),"")</f>
        <v>-0.01871476888</v>
      </c>
    </row>
    <row r="1217" ht="15.75" customHeight="1">
      <c r="A1217" s="4">
        <f>IF(PRECIOS!A1217="","",PRECIOS!A1217)</f>
        <v>46182</v>
      </c>
      <c r="B1217" s="7">
        <f>IFERROR(IF(OR(PRECIOS!B1217="",PRECIOS!B1216=""),"",PRECIOS!B1217/PRECIOS!B1216-1),"")</f>
        <v>-0.01871499176</v>
      </c>
      <c r="C1217" s="7">
        <f>IFERROR(IF(OR(PRECIOS!C1217="",PRECIOS!C1216=""),"",PRECIOS!C1217/PRECIOS!C1216-1),"")</f>
        <v>0.01829535495</v>
      </c>
      <c r="D1217" s="7">
        <f>IFERROR(IF(OR(PRECIOS!D1217="",PRECIOS!D1216=""),"",PRECIOS!D1217/PRECIOS!D1216-1),"")</f>
        <v>-0.004628999319</v>
      </c>
      <c r="E1217" s="7">
        <f>IFERROR(IF(OR(PRECIOS!E1217="",PRECIOS!E1216=""),"",PRECIOS!E1217/PRECIOS!E1216-1),"")</f>
        <v>-0.003522349556</v>
      </c>
      <c r="F1217" s="7">
        <f>IFERROR(IF(OR(PRECIOS!F1217="",PRECIOS!F1216=""),"",PRECIOS!F1217/PRECIOS!F1216-1),"")</f>
        <v>0.001307433694</v>
      </c>
      <c r="G1217" s="7">
        <f>IFERROR(IF(OR(PRECIOS!G1217="",PRECIOS!G1216=""),"",PRECIOS!G1217/PRECIOS!G1216-1),"")</f>
        <v>0</v>
      </c>
      <c r="H1217" s="7">
        <f>IFERROR(IF(OR(PRECIOS!H1217="",PRECIOS!H1216=""),"",PRECIOS!H1217/PRECIOS!H1216-1),"")</f>
        <v>-0.01611520658</v>
      </c>
      <c r="I1217" s="7">
        <f>IFERROR(IF(OR(PRECIOS!I1217="",PRECIOS!I1216=""),"",PRECIOS!I1217/PRECIOS!I1216-1),"")</f>
        <v>0.01056985294</v>
      </c>
    </row>
    <row r="1218" ht="15.75" customHeight="1">
      <c r="A1218" s="4">
        <f>IF(PRECIOS!A1218="","",PRECIOS!A1218)</f>
        <v>46183</v>
      </c>
      <c r="B1218" s="7">
        <f>IFERROR(IF(OR(PRECIOS!B1218="",PRECIOS!B1217=""),"",PRECIOS!B1218/PRECIOS!B1217-1),"")</f>
        <v>0.01148344638</v>
      </c>
      <c r="C1218" s="7">
        <f>IFERROR(IF(OR(PRECIOS!C1218="",PRECIOS!C1217=""),"",PRECIOS!C1218/PRECIOS!C1217-1),"")</f>
        <v>0.01151156536</v>
      </c>
      <c r="D1218" s="7">
        <f>IFERROR(IF(OR(PRECIOS!D1218="",PRECIOS!D1217=""),"",PRECIOS!D1218/PRECIOS!D1217-1),"")</f>
        <v>-0.05252359458</v>
      </c>
      <c r="E1218" s="7">
        <f>IFERROR(IF(OR(PRECIOS!E1218="",PRECIOS!E1217=""),"",PRECIOS!E1218/PRECIOS!E1217-1),"")</f>
        <v>-0.06536891367</v>
      </c>
      <c r="F1218" s="7">
        <f>IFERROR(IF(OR(PRECIOS!F1218="",PRECIOS!F1217=""),"",PRECIOS!F1218/PRECIOS!F1217-1),"")</f>
        <v>0.01231113598</v>
      </c>
      <c r="G1218" s="7">
        <f>IFERROR(IF(OR(PRECIOS!G1218="",PRECIOS!G1217=""),"",PRECIOS!G1218/PRECIOS!G1217-1),"")</f>
        <v>0.009358849001</v>
      </c>
      <c r="H1218" s="7">
        <f>IFERROR(IF(OR(PRECIOS!H1218="",PRECIOS!H1217=""),"",PRECIOS!H1218/PRECIOS!H1217-1),"")</f>
        <v>0.01498518906</v>
      </c>
      <c r="I1218" s="7">
        <f>IFERROR(IF(OR(PRECIOS!I1218="",PRECIOS!I1217=""),"",PRECIOS!I1218/PRECIOS!I1217-1),"")</f>
        <v>0.0004547521601</v>
      </c>
    </row>
    <row r="1219" ht="15.75" customHeight="1">
      <c r="A1219" s="4">
        <f>IF(PRECIOS!A1219="","",PRECIOS!A1219)</f>
        <v>46184</v>
      </c>
      <c r="B1219" s="7">
        <f>IFERROR(IF(OR(PRECIOS!B1219="",PRECIOS!B1218=""),"",PRECIOS!B1219/PRECIOS!B1218-1),"")</f>
        <v>-0.02668968265</v>
      </c>
      <c r="C1219" s="7">
        <f>IFERROR(IF(OR(PRECIOS!C1219="",PRECIOS!C1218=""),"",PRECIOS!C1219/PRECIOS!C1218-1),"")</f>
        <v>-0.007977026165</v>
      </c>
      <c r="D1219" s="7">
        <f>IFERROR(IF(OR(PRECIOS!D1219="",PRECIOS!D1218=""),"",PRECIOS!D1219/PRECIOS!D1218-1),"")</f>
        <v>0.05659015447</v>
      </c>
      <c r="E1219" s="7">
        <f>IFERROR(IF(OR(PRECIOS!E1219="",PRECIOS!E1218=""),"",PRECIOS!E1219/PRECIOS!E1218-1),"")</f>
        <v>0.04842060406</v>
      </c>
      <c r="F1219" s="7">
        <f>IFERROR(IF(OR(PRECIOS!F1219="",PRECIOS!F1218=""),"",PRECIOS!F1219/PRECIOS!F1218-1),"")</f>
        <v>0.0383268841</v>
      </c>
      <c r="G1219" s="7">
        <f>IFERROR(IF(OR(PRECIOS!G1219="",PRECIOS!G1218=""),"",PRECIOS!G1219/PRECIOS!G1218-1),"")</f>
        <v>-0.008856905619</v>
      </c>
      <c r="H1219" s="7">
        <f>IFERROR(IF(OR(PRECIOS!H1219="",PRECIOS!H1218=""),"",PRECIOS!H1219/PRECIOS!H1218-1),"")</f>
        <v>-0.01939914163</v>
      </c>
      <c r="I1219" s="7">
        <f>IFERROR(IF(OR(PRECIOS!I1219="",PRECIOS!I1218=""),"",PRECIOS!I1219/PRECIOS!I1218-1),"")</f>
        <v>0.001136363636</v>
      </c>
    </row>
    <row r="1220" ht="15.75" customHeight="1">
      <c r="A1220" s="4">
        <f>IF(PRECIOS!A1220="","",PRECIOS!A1220)</f>
        <v>46185</v>
      </c>
      <c r="B1220" s="7">
        <f>IFERROR(IF(OR(PRECIOS!B1220="",PRECIOS!B1219=""),"",PRECIOS!B1220/PRECIOS!B1219-1),"")</f>
        <v>0.002796725784</v>
      </c>
      <c r="C1220" s="7">
        <f>IFERROR(IF(OR(PRECIOS!C1220="",PRECIOS!C1219=""),"",PRECIOS!C1220/PRECIOS!C1219-1),"")</f>
        <v>0.007826739573</v>
      </c>
      <c r="D1220" s="7">
        <f>IFERROR(IF(OR(PRECIOS!D1220="",PRECIOS!D1219=""),"",PRECIOS!D1220/PRECIOS!D1219-1),"")</f>
        <v>0.01120371635</v>
      </c>
      <c r="E1220" s="7">
        <f>IFERROR(IF(OR(PRECIOS!E1220="",PRECIOS!E1219=""),"",PRECIOS!E1220/PRECIOS!E1219-1),"")</f>
        <v>-0.005715882532</v>
      </c>
      <c r="F1220" s="7">
        <f>IFERROR(IF(OR(PRECIOS!F1220="",PRECIOS!F1219=""),"",PRECIOS!F1220/PRECIOS!F1219-1),"")</f>
        <v>-0.008163265306</v>
      </c>
      <c r="G1220" s="7">
        <f>IFERROR(IF(OR(PRECIOS!G1220="",PRECIOS!G1219=""),"",PRECIOS!G1220/PRECIOS!G1219-1),"")</f>
        <v>0.006422786931</v>
      </c>
      <c r="H1220" s="7">
        <f>IFERROR(IF(OR(PRECIOS!H1220="",PRECIOS!H1219=""),"",PRECIOS!H1220/PRECIOS!H1219-1),"")</f>
        <v>0.007528011204</v>
      </c>
      <c r="I1220" s="7">
        <f>IFERROR(IF(OR(PRECIOS!I1220="",PRECIOS!I1219=""),"",PRECIOS!I1220/PRECIOS!I1219-1),"")</f>
        <v>0.01089670829</v>
      </c>
    </row>
    <row r="1221" ht="15.75" customHeight="1">
      <c r="A1221" s="4">
        <f>IF(PRECIOS!A1221="","",PRECIOS!A1221)</f>
        <v>46188</v>
      </c>
      <c r="B1221" s="7">
        <f>IFERROR(IF(OR(PRECIOS!B1221="",PRECIOS!B1220=""),"",PRECIOS!B1221/PRECIOS!B1220-1),"")</f>
        <v>-0.04142575335</v>
      </c>
      <c r="C1221" s="7">
        <f>IFERROR(IF(OR(PRECIOS!C1221="",PRECIOS!C1220=""),"",PRECIOS!C1221/PRECIOS!C1220-1),"")</f>
        <v>-0.001914893617</v>
      </c>
      <c r="D1221" s="7">
        <f>IFERROR(IF(OR(PRECIOS!D1221="",PRECIOS!D1220=""),"",PRECIOS!D1221/PRECIOS!D1220-1),"")</f>
        <v>0.03715714093</v>
      </c>
      <c r="E1221" s="7">
        <f>IFERROR(IF(OR(PRECIOS!E1221="",PRECIOS!E1220=""),"",PRECIOS!E1221/PRECIOS!E1220-1),"")</f>
        <v>0.04003679195</v>
      </c>
      <c r="F1221" s="7">
        <f>IFERROR(IF(OR(PRECIOS!F1221="",PRECIOS!F1220=""),"",PRECIOS!F1221/PRECIOS!F1220-1),"")</f>
        <v>-0.0590445518</v>
      </c>
      <c r="G1221" s="7">
        <f>IFERROR(IF(OR(PRECIOS!G1221="",PRECIOS!G1220=""),"",PRECIOS!G1221/PRECIOS!G1220-1),"")</f>
        <v>-0.008185349612</v>
      </c>
      <c r="H1221" s="7">
        <f>IFERROR(IF(OR(PRECIOS!H1221="",PRECIOS!H1220=""),"",PRECIOS!H1221/PRECIOS!H1220-1),"")</f>
        <v>-0.03475238923</v>
      </c>
      <c r="I1221" s="7">
        <f>IFERROR(IF(OR(PRECIOS!I1221="",PRECIOS!I1220=""),"",PRECIOS!I1221/PRECIOS!I1220-1),"")</f>
        <v>0.00471592185</v>
      </c>
    </row>
    <row r="1222" ht="15.75" customHeight="1">
      <c r="A1222" s="4">
        <f>IF(PRECIOS!A1222="","",PRECIOS!A1222)</f>
        <v>46189</v>
      </c>
      <c r="B1222" s="7">
        <f>IFERROR(IF(OR(PRECIOS!B1222="",PRECIOS!B1221=""),"",PRECIOS!B1222/PRECIOS!B1221-1),"")</f>
        <v>0.00667045132</v>
      </c>
      <c r="C1222" s="7">
        <f>IFERROR(IF(OR(PRECIOS!C1222="",PRECIOS!C1221=""),"",PRECIOS!C1222/PRECIOS!C1221-1),"")</f>
        <v>0.005222767001</v>
      </c>
      <c r="D1222" s="7">
        <f>IFERROR(IF(OR(PRECIOS!D1222="",PRECIOS!D1221=""),"",PRECIOS!D1222/PRECIOS!D1221-1),"")</f>
        <v>0.03315528921</v>
      </c>
      <c r="E1222" s="7">
        <f>IFERROR(IF(OR(PRECIOS!E1222="",PRECIOS!E1221=""),"",PRECIOS!E1222/PRECIOS!E1221-1),"")</f>
        <v>0.001596816194</v>
      </c>
      <c r="F1222" s="7">
        <f>IFERROR(IF(OR(PRECIOS!F1222="",PRECIOS!F1221=""),"",PRECIOS!F1222/PRECIOS!F1221-1),"")</f>
        <v>-0.02567027952</v>
      </c>
      <c r="G1222" s="7">
        <f>IFERROR(IF(OR(PRECIOS!G1222="",PRECIOS!G1221=""),"",PRECIOS!G1222/PRECIOS!G1221-1),"")</f>
        <v>-0.0001398797035</v>
      </c>
      <c r="H1222" s="7">
        <f>IFERROR(IF(OR(PRECIOS!H1222="",PRECIOS!H1221=""),"",PRECIOS!H1222/PRECIOS!H1221-1),"")</f>
        <v>-0.003420342034</v>
      </c>
      <c r="I1222" s="7">
        <f>IFERROR(IF(OR(PRECIOS!I1222="",PRECIOS!I1221=""),"",PRECIOS!I1222/PRECIOS!I1221-1),"")</f>
        <v>0.007152436299</v>
      </c>
    </row>
    <row r="1223" ht="15.75" customHeight="1">
      <c r="A1223" s="4">
        <f>IF(PRECIOS!A1223="","",PRECIOS!A1223)</f>
        <v>46190</v>
      </c>
      <c r="B1223" s="7">
        <f>IFERROR(IF(OR(PRECIOS!B1223="",PRECIOS!B1222=""),"",PRECIOS!B1223/PRECIOS!B1222-1),"")</f>
        <v>-0.007895107853</v>
      </c>
      <c r="C1223" s="7">
        <f>IFERROR(IF(OR(PRECIOS!C1223="",PRECIOS!C1222=""),"",PRECIOS!C1223/PRECIOS!C1222-1),"")</f>
        <v>-0.01887392641</v>
      </c>
      <c r="D1223" s="7">
        <f>IFERROR(IF(OR(PRECIOS!D1223="",PRECIOS!D1222=""),"",PRECIOS!D1223/PRECIOS!D1222-1),"")</f>
        <v>0.001387049997</v>
      </c>
      <c r="E1223" s="7">
        <f>IFERROR(IF(OR(PRECIOS!E1223="",PRECIOS!E1222=""),"",PRECIOS!E1223/PRECIOS!E1222-1),"")</f>
        <v>0.004733756837</v>
      </c>
      <c r="F1223" s="7">
        <f>IFERROR(IF(OR(PRECIOS!F1223="",PRECIOS!F1222=""),"",PRECIOS!F1223/PRECIOS!F1222-1),"")</f>
        <v>-0.007611241218</v>
      </c>
      <c r="G1223" s="7">
        <f>IFERROR(IF(OR(PRECIOS!G1223="",PRECIOS!G1222=""),"",PRECIOS!G1223/PRECIOS!G1222-1),"")</f>
        <v>-0.003217683268</v>
      </c>
      <c r="H1223" s="7">
        <f>IFERROR(IF(OR(PRECIOS!H1223="",PRECIOS!H1222=""),"",PRECIOS!H1223/PRECIOS!H1222-1),"")</f>
        <v>-0.01246387283</v>
      </c>
      <c r="I1223" s="7">
        <f>IFERROR(IF(OR(PRECIOS!I1223="",PRECIOS!I1222=""),"",PRECIOS!I1223/PRECIOS!I1222-1),"")</f>
        <v>-0.01331557923</v>
      </c>
    </row>
    <row r="1224" ht="15.75" customHeight="1">
      <c r="A1224" s="4">
        <f>IF(PRECIOS!A1224="","",PRECIOS!A1224)</f>
        <v>46191</v>
      </c>
      <c r="B1224" s="7">
        <f>IFERROR(IF(OR(PRECIOS!B1224="",PRECIOS!B1223=""),"",PRECIOS!B1224/PRECIOS!B1223-1),"")</f>
        <v>-0.02081853062</v>
      </c>
      <c r="C1224" s="7">
        <f>IFERROR(IF(OR(PRECIOS!C1224="",PRECIOS!C1223=""),"",PRECIOS!C1224/PRECIOS!C1223-1),"")</f>
        <v>0.006052091214</v>
      </c>
      <c r="D1224" s="7">
        <f>IFERROR(IF(OR(PRECIOS!D1224="",PRECIOS!D1223=""),"",PRECIOS!D1224/PRECIOS!D1223-1),"")</f>
        <v>0.03097651577</v>
      </c>
      <c r="E1224" s="7">
        <f>IFERROR(IF(OR(PRECIOS!E1224="",PRECIOS!E1223=""),"",PRECIOS!E1224/PRECIOS!E1223-1),"")</f>
        <v>0.02961136608</v>
      </c>
      <c r="F1224" s="7">
        <f>IFERROR(IF(OR(PRECIOS!F1224="",PRECIOS!F1223=""),"",PRECIOS!F1224/PRECIOS!F1223-1),"")</f>
        <v>-0.007866273353</v>
      </c>
      <c r="G1224" s="7">
        <f>IFERROR(IF(OR(PRECIOS!G1224="",PRECIOS!G1223=""),"",PRECIOS!G1224/PRECIOS!G1223-1),"")</f>
        <v>0.02624561404</v>
      </c>
      <c r="H1224" s="7">
        <f>IFERROR(IF(OR(PRECIOS!H1224="",PRECIOS!H1223=""),"",PRECIOS!H1224/PRECIOS!H1223-1),"")</f>
        <v>-0.01646241083</v>
      </c>
      <c r="I1224" s="7">
        <f>IFERROR(IF(OR(PRECIOS!I1224="",PRECIOS!I1223=""),"",PRECIOS!I1224/PRECIOS!I1223-1),"")</f>
        <v>0.006747638327</v>
      </c>
    </row>
    <row r="1225" ht="15.75" customHeight="1">
      <c r="A1225" s="4">
        <f>IF(PRECIOS!A1225="","",PRECIOS!A1225)</f>
        <v>46195</v>
      </c>
      <c r="B1225" s="7">
        <f>IFERROR(IF(OR(PRECIOS!B1225="",PRECIOS!B1224=""),"",PRECIOS!B1225/PRECIOS!B1224-1),"")</f>
        <v>0.004789202525</v>
      </c>
      <c r="C1225" s="7">
        <f>IFERROR(IF(OR(PRECIOS!C1225="",PRECIOS!C1224=""),"",PRECIOS!C1225/PRECIOS!C1224-1),"")</f>
        <v>0.003652379418</v>
      </c>
      <c r="D1225" s="7">
        <f>IFERROR(IF(OR(PRECIOS!D1225="",PRECIOS!D1224=""),"",PRECIOS!D1225/PRECIOS!D1224-1),"")</f>
        <v>0.0214351145</v>
      </c>
      <c r="E1225" s="7">
        <f>IFERROR(IF(OR(PRECIOS!E1225="",PRECIOS!E1224=""),"",PRECIOS!E1225/PRECIOS!E1224-1),"")</f>
        <v>0.03321715627</v>
      </c>
      <c r="F1225" s="7">
        <f>IFERROR(IF(OR(PRECIOS!F1225="",PRECIOS!F1224=""),"",PRECIOS!F1225/PRECIOS!F1224-1),"")</f>
        <v>-0.01942517344</v>
      </c>
      <c r="G1225" s="7">
        <f>IFERROR(IF(OR(PRECIOS!G1225="",PRECIOS!G1224=""),"",PRECIOS!G1225/PRECIOS!G1224-1),"")</f>
        <v>0.0250273523</v>
      </c>
      <c r="H1225" s="7">
        <f>IFERROR(IF(OR(PRECIOS!H1225="",PRECIOS!H1224=""),"",PRECIOS!H1225/PRECIOS!H1224-1),"")</f>
        <v>0.005393342012</v>
      </c>
      <c r="I1225" s="7">
        <f>IFERROR(IF(OR(PRECIOS!I1225="",PRECIOS!I1224=""),"",PRECIOS!I1225/PRECIOS!I1224-1),"")</f>
        <v>-0.0008936550492</v>
      </c>
    </row>
    <row r="1226" ht="15.75" customHeight="1">
      <c r="A1226" s="4">
        <f>IF(PRECIOS!A1226="","",PRECIOS!A1226)</f>
        <v>46196</v>
      </c>
      <c r="B1226" s="7">
        <f>IFERROR(IF(OR(PRECIOS!B1226="",PRECIOS!B1225=""),"",PRECIOS!B1226/PRECIOS!B1225-1),"")</f>
        <v>0.009099443923</v>
      </c>
      <c r="C1226" s="7">
        <f>IFERROR(IF(OR(PRECIOS!C1226="",PRECIOS!C1225=""),"",PRECIOS!C1226/PRECIOS!C1225-1),"")</f>
        <v>0.01605480039</v>
      </c>
      <c r="D1226" s="7">
        <f>IFERROR(IF(OR(PRECIOS!D1226="",PRECIOS!D1225=""),"",PRECIOS!D1226/PRECIOS!D1225-1),"")</f>
        <v>-0.02911634581</v>
      </c>
      <c r="E1226" s="7">
        <f>IFERROR(IF(OR(PRECIOS!E1226="",PRECIOS!E1225=""),"",PRECIOS!E1226/PRECIOS!E1225-1),"")</f>
        <v>-0.06998944421</v>
      </c>
      <c r="F1226" s="7">
        <f>IFERROR(IF(OR(PRECIOS!F1226="",PRECIOS!F1225=""),"",PRECIOS!F1226/PRECIOS!F1225-1),"")</f>
        <v>-0.02890640792</v>
      </c>
      <c r="G1226" s="7">
        <f>IFERROR(IF(OR(PRECIOS!G1226="",PRECIOS!G1225=""),"",PRECIOS!G1226/PRECIOS!G1225-1),"")</f>
        <v>0.01120747165</v>
      </c>
      <c r="H1226" s="7">
        <f>IFERROR(IF(OR(PRECIOS!H1226="",PRECIOS!H1225=""),"",PRECIOS!H1226/PRECIOS!H1225-1),"")</f>
        <v>0.00739918609</v>
      </c>
      <c r="I1226" s="7">
        <f>IFERROR(IF(OR(PRECIOS!I1226="",PRECIOS!I1225=""),"",PRECIOS!I1226/PRECIOS!I1225-1),"")</f>
        <v>0.00782647585</v>
      </c>
    </row>
    <row r="1227" ht="15.75" customHeight="1">
      <c r="A1227" s="4">
        <f>IF(PRECIOS!A1227="","",PRECIOS!A1227)</f>
        <v>46197</v>
      </c>
      <c r="B1227" s="7">
        <f>IFERROR(IF(OR(PRECIOS!B1227="",PRECIOS!B1226=""),"",PRECIOS!B1227/PRECIOS!B1226-1),"")</f>
        <v>-0.02025334574</v>
      </c>
      <c r="C1227" s="7">
        <f>IFERROR(IF(OR(PRECIOS!C1227="",PRECIOS!C1226=""),"",PRECIOS!C1227/PRECIOS!C1226-1),"")</f>
        <v>0.00895396608</v>
      </c>
      <c r="D1227" s="7">
        <f>IFERROR(IF(OR(PRECIOS!D1227="",PRECIOS!D1226=""),"",PRECIOS!D1227/PRECIOS!D1226-1),"")</f>
        <v>0.002955847035</v>
      </c>
      <c r="E1227" s="7">
        <f>IFERROR(IF(OR(PRECIOS!E1227="",PRECIOS!E1226=""),"",PRECIOS!E1227/PRECIOS!E1226-1),"")</f>
        <v>-0.001702526648</v>
      </c>
      <c r="F1227" s="7">
        <f>IFERROR(IF(OR(PRECIOS!F1227="",PRECIOS!F1226=""),"",PRECIOS!F1227/PRECIOS!F1226-1),"")</f>
        <v>-0.05037468776</v>
      </c>
      <c r="G1227" s="7">
        <f>IFERROR(IF(OR(PRECIOS!G1227="",PRECIOS!G1226=""),"",PRECIOS!G1227/PRECIOS!G1226-1),"")</f>
        <v>0.001055548225</v>
      </c>
      <c r="H1227" s="7">
        <f>IFERROR(IF(OR(PRECIOS!H1227="",PRECIOS!H1226=""),"",PRECIOS!H1227/PRECIOS!H1226-1),"")</f>
        <v>-0.01634226956</v>
      </c>
      <c r="I1227" s="7">
        <f>IFERROR(IF(OR(PRECIOS!I1227="",PRECIOS!I1226=""),"",PRECIOS!I1227/PRECIOS!I1226-1),"")</f>
        <v>0.01042822276</v>
      </c>
    </row>
    <row r="1228" ht="15.75" customHeight="1">
      <c r="A1228" s="4">
        <f>IF(PRECIOS!A1228="","",PRECIOS!A1228)</f>
        <v>46198</v>
      </c>
      <c r="B1228" s="7">
        <f>IFERROR(IF(OR(PRECIOS!B1228="",PRECIOS!B1227=""),"",PRECIOS!B1228/PRECIOS!B1227-1),"")</f>
        <v>0.004747991234</v>
      </c>
      <c r="C1228" s="7">
        <f>IFERROR(IF(OR(PRECIOS!C1228="",PRECIOS!C1227=""),"",PRECIOS!C1228/PRECIOS!C1227-1),"")</f>
        <v>0.001357277093</v>
      </c>
      <c r="D1228" s="7">
        <f>IFERROR(IF(OR(PRECIOS!D1228="",PRECIOS!D1227=""),"",PRECIOS!D1228/PRECIOS!D1227-1),"")</f>
        <v>0.03008534414</v>
      </c>
      <c r="E1228" s="7">
        <f>IFERROR(IF(OR(PRECIOS!E1228="",PRECIOS!E1227=""),"",PRECIOS!E1228/PRECIOS!E1227-1),"")</f>
        <v>0.03776662794</v>
      </c>
      <c r="F1228" s="7">
        <f>IFERROR(IF(OR(PRECIOS!F1228="",PRECIOS!F1227=""),"",PRECIOS!F1228/PRECIOS!F1227-1),"")</f>
        <v>0.003068829461</v>
      </c>
      <c r="G1228" s="7">
        <f>IFERROR(IF(OR(PRECIOS!G1228="",PRECIOS!G1227=""),"",PRECIOS!G1228/PRECIOS!G1227-1),"")</f>
        <v>0.02187953078</v>
      </c>
      <c r="H1228" s="7">
        <f>IFERROR(IF(OR(PRECIOS!H1228="",PRECIOS!H1227=""),"",PRECIOS!H1228/PRECIOS!H1227-1),"")</f>
        <v>0.009706925518</v>
      </c>
      <c r="I1228" s="7">
        <f>IFERROR(IF(OR(PRECIOS!I1228="",PRECIOS!I1227=""),"",PRECIOS!I1228/PRECIOS!I1227-1),"")</f>
        <v>0.006807202459</v>
      </c>
    </row>
    <row r="1229" ht="15.75" customHeight="1">
      <c r="A1229" s="4">
        <f>IF(PRECIOS!A1229="","",PRECIOS!A1229)</f>
        <v>46199</v>
      </c>
      <c r="B1229" s="7">
        <f>IFERROR(IF(OR(PRECIOS!B1229="",PRECIOS!B1228=""),"",PRECIOS!B1229/PRECIOS!B1228-1),"")</f>
        <v>-0.007342784442</v>
      </c>
      <c r="C1229" s="7">
        <f>IFERROR(IF(OR(PRECIOS!C1229="",PRECIOS!C1228=""),"",PRECIOS!C1229/PRECIOS!C1228-1),"")</f>
        <v>0.01303305182</v>
      </c>
      <c r="D1229" s="7">
        <f>IFERROR(IF(OR(PRECIOS!D1229="",PRECIOS!D1228=""),"",PRECIOS!D1229/PRECIOS!D1228-1),"")</f>
        <v>-0.02551111641</v>
      </c>
      <c r="E1229" s="7">
        <f>IFERROR(IF(OR(PRECIOS!E1229="",PRECIOS!E1228=""),"",PRECIOS!E1229/PRECIOS!E1228-1),"")</f>
        <v>-0.04094124372</v>
      </c>
      <c r="F1229" s="7">
        <f>IFERROR(IF(OR(PRECIOS!F1229="",PRECIOS!F1228=""),"",PRECIOS!F1229/PRECIOS!F1228-1),"")</f>
        <v>-0.009396853147</v>
      </c>
      <c r="G1229" s="7">
        <f>IFERROR(IF(OR(PRECIOS!G1229="",PRECIOS!G1228=""),"",PRECIOS!G1229/PRECIOS!G1228-1),"")</f>
        <v>0.005030310847</v>
      </c>
      <c r="H1229" s="7">
        <f>IFERROR(IF(OR(PRECIOS!H1229="",PRECIOS!H1228=""),"",PRECIOS!H1229/PRECIOS!H1228-1),"")</f>
        <v>-0.004621926419</v>
      </c>
      <c r="I1229" s="7">
        <f>IFERROR(IF(OR(PRECIOS!I1229="",PRECIOS!I1228=""),"",PRECIOS!I1229/PRECIOS!I1228-1),"")</f>
        <v>0.007633587786</v>
      </c>
    </row>
    <row r="1230" ht="15.75" customHeight="1">
      <c r="A1230" s="4">
        <f>IF(PRECIOS!A1230="","",PRECIOS!A1230)</f>
        <v>46202</v>
      </c>
      <c r="B1230" s="7">
        <f>IFERROR(IF(OR(PRECIOS!B1230="",PRECIOS!B1229=""),"",PRECIOS!B1230/PRECIOS!B1229-1),"")</f>
        <v>-0.003515453347</v>
      </c>
      <c r="C1230" s="7">
        <f>IFERROR(IF(OR(PRECIOS!C1230="",PRECIOS!C1229=""),"",PRECIOS!C1230/PRECIOS!C1229-1),"")</f>
        <v>-0.004219843557</v>
      </c>
      <c r="D1230" s="7">
        <f>IFERROR(IF(OR(PRECIOS!D1230="",PRECIOS!D1229=""),"",PRECIOS!D1230/PRECIOS!D1229-1),"")</f>
        <v>-0.00678940608</v>
      </c>
      <c r="E1230" s="7">
        <f>IFERROR(IF(OR(PRECIOS!E1230="",PRECIOS!E1229=""),"",PRECIOS!E1230/PRECIOS!E1229-1),"")</f>
        <v>0.01385715705</v>
      </c>
      <c r="F1230" s="7">
        <f>IFERROR(IF(OR(PRECIOS!F1230="",PRECIOS!F1229=""),"",PRECIOS!F1230/PRECIOS!F1229-1),"")</f>
        <v>-0.00176483565</v>
      </c>
      <c r="G1230" s="7">
        <f>IFERROR(IF(OR(PRECIOS!G1230="",PRECIOS!G1229=""),"",PRECIOS!G1230/PRECIOS!G1229-1),"")</f>
        <v>-0.03670431211</v>
      </c>
      <c r="H1230" s="7">
        <f>IFERROR(IF(OR(PRECIOS!H1230="",PRECIOS!H1229=""),"",PRECIOS!H1230/PRECIOS!H1229-1),"")</f>
        <v>-0.004829123328</v>
      </c>
      <c r="I1230" s="7">
        <f>IFERROR(IF(OR(PRECIOS!I1230="",PRECIOS!I1229=""),"",PRECIOS!I1230/PRECIOS!I1229-1),"")</f>
        <v>-0.003896103896</v>
      </c>
    </row>
    <row r="1231" ht="15.75" customHeight="1">
      <c r="A1231" s="4">
        <f>IF(PRECIOS!A1231="","",PRECIOS!A1231)</f>
        <v>46203</v>
      </c>
      <c r="B1231" s="7">
        <f>IFERROR(IF(OR(PRECIOS!B1231="",PRECIOS!B1230=""),"",PRECIOS!B1231/PRECIOS!B1230-1),"")</f>
        <v>0.004850801117</v>
      </c>
      <c r="C1231" s="7">
        <f>IFERROR(IF(OR(PRECIOS!C1231="",PRECIOS!C1230=""),"",PRECIOS!C1231/PRECIOS!C1230-1),"")</f>
        <v>-0.01074935401</v>
      </c>
      <c r="D1231" s="7">
        <f>IFERROR(IF(OR(PRECIOS!D1231="",PRECIOS!D1230=""),"",PRECIOS!D1231/PRECIOS!D1230-1),"")</f>
        <v>-0.02309397709</v>
      </c>
      <c r="E1231" s="7">
        <f>IFERROR(IF(OR(PRECIOS!E1231="",PRECIOS!E1230=""),"",PRECIOS!E1231/PRECIOS!E1230-1),"")</f>
        <v>0.04374663205</v>
      </c>
      <c r="F1231" s="7">
        <f>IFERROR(IF(OR(PRECIOS!F1231="",PRECIOS!F1230=""),"",PRECIOS!F1231/PRECIOS!F1230-1),"")</f>
        <v>0.004861878453</v>
      </c>
      <c r="G1231" s="7">
        <f>IFERROR(IF(OR(PRECIOS!G1231="",PRECIOS!G1230=""),"",PRECIOS!G1231/PRECIOS!G1230-1),"")</f>
        <v>-0.009592326139</v>
      </c>
      <c r="H1231" s="7">
        <f>IFERROR(IF(OR(PRECIOS!H1231="",PRECIOS!H1230=""),"",PRECIOS!H1231/PRECIOS!H1230-1),"")</f>
        <v>-0.008771929825</v>
      </c>
      <c r="I1231" s="7">
        <f>IFERROR(IF(OR(PRECIOS!I1231="",PRECIOS!I1230=""),"",PRECIOS!I1231/PRECIOS!I1230-1),"")</f>
        <v>-0.01477618427</v>
      </c>
    </row>
    <row r="1232" ht="15.75" customHeight="1">
      <c r="A1232" s="4">
        <f>IF(PRECIOS!A1232="","",PRECIOS!A1232)</f>
        <v>46204</v>
      </c>
      <c r="B1232" s="7">
        <f>IFERROR(IF(OR(PRECIOS!B1232="",PRECIOS!B1231=""),"",PRECIOS!B1232/PRECIOS!B1231-1),"")</f>
        <v>-0.00321825629</v>
      </c>
      <c r="C1232" s="7">
        <f>IFERROR(IF(OR(PRECIOS!C1232="",PRECIOS!C1231=""),"",PRECIOS!C1232/PRECIOS!C1231-1),"")</f>
        <v>-0.006164455125</v>
      </c>
      <c r="D1232" s="7">
        <f>IFERROR(IF(OR(PRECIOS!D1232="",PRECIOS!D1231=""),"",PRECIOS!D1232/PRECIOS!D1231-1),"")</f>
        <v>-0.03448275862</v>
      </c>
      <c r="E1232" s="7">
        <f>IFERROR(IF(OR(PRECIOS!E1232="",PRECIOS!E1231=""),"",PRECIOS!E1232/PRECIOS!E1231-1),"")</f>
        <v>-0.03240871116</v>
      </c>
      <c r="F1232" s="7">
        <f>IFERROR(IF(OR(PRECIOS!F1232="",PRECIOS!F1231=""),"",PRECIOS!F1232/PRECIOS!F1231-1),"")</f>
        <v>-0.0112161865</v>
      </c>
      <c r="G1232" s="7">
        <f>IFERROR(IF(OR(PRECIOS!G1232="",PRECIOS!G1231=""),"",PRECIOS!G1232/PRECIOS!G1231-1),"")</f>
        <v>-0.02111918214</v>
      </c>
      <c r="H1232" s="7">
        <f>IFERROR(IF(OR(PRECIOS!H1232="",PRECIOS!H1231=""),"",PRECIOS!H1232/PRECIOS!H1231-1),"")</f>
        <v>-0.005648653738</v>
      </c>
      <c r="I1232" s="7">
        <f>IFERROR(IF(OR(PRECIOS!I1232="",PRECIOS!I1231=""),"",PRECIOS!I1232/PRECIOS!I1231-1),"")</f>
        <v>-0.01257168064</v>
      </c>
    </row>
    <row r="1233" ht="15.75" customHeight="1">
      <c r="A1233" s="4">
        <f>IF(PRECIOS!A1233="","",PRECIOS!A1233)</f>
        <v>46205</v>
      </c>
      <c r="B1233" s="7">
        <f>IFERROR(IF(OR(PRECIOS!B1233="",PRECIOS!B1232=""),"",PRECIOS!B1233/PRECIOS!B1232-1),"")</f>
        <v>0.005943645436</v>
      </c>
      <c r="C1233" s="7">
        <f>IFERROR(IF(OR(PRECIOS!C1233="",PRECIOS!C1232=""),"",PRECIOS!C1233/PRECIOS!C1232-1),"")</f>
        <v>0.03006728343</v>
      </c>
      <c r="D1233" s="7">
        <f>IFERROR(IF(OR(PRECIOS!D1233="",PRECIOS!D1232=""),"",PRECIOS!D1233/PRECIOS!D1232-1),"")</f>
        <v>-0.01377644294</v>
      </c>
      <c r="E1233" s="7">
        <f>IFERROR(IF(OR(PRECIOS!E1233="",PRECIOS!E1232=""),"",PRECIOS!E1233/PRECIOS!E1232-1),"")</f>
        <v>-0.03344570833</v>
      </c>
      <c r="F1233" s="7">
        <f>IFERROR(IF(OR(PRECIOS!F1233="",PRECIOS!F1232=""),"",PRECIOS!F1233/PRECIOS!F1232-1),"")</f>
        <v>-0.01245551601</v>
      </c>
      <c r="G1233" s="7">
        <f>IFERROR(IF(OR(PRECIOS!G1233="",PRECIOS!G1232=""),"",PRECIOS!G1233/PRECIOS!G1232-1),"")</f>
        <v>0.005084512849</v>
      </c>
      <c r="H1233" s="7">
        <f>IFERROR(IF(OR(PRECIOS!H1233="",PRECIOS!H1232=""),"",PRECIOS!H1233/PRECIOS!H1232-1),"")</f>
        <v>0.007763681121</v>
      </c>
      <c r="I1233" s="7">
        <f>IFERROR(IF(OR(PRECIOS!I1233="",PRECIOS!I1232=""),"",PRECIOS!I1233/PRECIOS!I1232-1),"")</f>
        <v>0.02211302211</v>
      </c>
    </row>
    <row r="1234" ht="15.75" customHeight="1">
      <c r="A1234" s="4">
        <f>IF(PRECIOS!A1234="","",PRECIOS!A1234)</f>
        <v>46209</v>
      </c>
      <c r="B1234" s="7">
        <f>IFERROR(IF(OR(PRECIOS!B1234="",PRECIOS!B1233=""),"",PRECIOS!B1234/PRECIOS!B1233-1),"")</f>
        <v>-0.004741410752</v>
      </c>
      <c r="C1234" s="7">
        <f>IFERROR(IF(OR(PRECIOS!C1234="",PRECIOS!C1233=""),"",PRECIOS!C1234/PRECIOS!C1233-1),"")</f>
        <v>-0.0203102674</v>
      </c>
      <c r="D1234" s="7">
        <f>IFERROR(IF(OR(PRECIOS!D1234="",PRECIOS!D1233=""),"",PRECIOS!D1234/PRECIOS!D1233-1),"")</f>
        <v>0.04084740152</v>
      </c>
      <c r="E1234" s="7">
        <f>IFERROR(IF(OR(PRECIOS!E1234="",PRECIOS!E1233=""),"",PRECIOS!E1234/PRECIOS!E1233-1),"")</f>
        <v>0.03738833685</v>
      </c>
      <c r="F1234" s="7">
        <f>IFERROR(IF(OR(PRECIOS!F1234="",PRECIOS!F1233=""),"",PRECIOS!F1234/PRECIOS!F1233-1),"")</f>
        <v>0.03873873874</v>
      </c>
      <c r="G1234" s="7">
        <f>IFERROR(IF(OR(PRECIOS!G1234="",PRECIOS!G1233=""),"",PRECIOS!G1234/PRECIOS!G1233-1),"")</f>
        <v>-0.004375170905</v>
      </c>
      <c r="H1234" s="7">
        <f>IFERROR(IF(OR(PRECIOS!H1234="",PRECIOS!H1233=""),"",PRECIOS!H1234/PRECIOS!H1233-1),"")</f>
        <v>-0.001691093574</v>
      </c>
      <c r="I1234" s="7">
        <f>IFERROR(IF(OR(PRECIOS!I1234="",PRECIOS!I1233=""),"",PRECIOS!I1234/PRECIOS!I1233-1),"")</f>
        <v>-0.01005244755</v>
      </c>
    </row>
    <row r="1235" ht="15.75" customHeight="1">
      <c r="A1235" s="4">
        <f>IF(PRECIOS!A1235="","",PRECIOS!A1235)</f>
        <v>46210</v>
      </c>
      <c r="B1235" s="7">
        <f>IFERROR(IF(OR(PRECIOS!B1235="",PRECIOS!B1234=""),"",PRECIOS!B1235/PRECIOS!B1234-1),"")</f>
        <v>0.03847845207</v>
      </c>
      <c r="C1235" s="7">
        <f>IFERROR(IF(OR(PRECIOS!C1235="",PRECIOS!C1234=""),"",PRECIOS!C1235/PRECIOS!C1234-1),"")</f>
        <v>0.0135430774</v>
      </c>
      <c r="D1235" s="7">
        <f>IFERROR(IF(OR(PRECIOS!D1235="",PRECIOS!D1234=""),"",PRECIOS!D1235/PRECIOS!D1234-1),"")</f>
        <v>-0.009477165755</v>
      </c>
      <c r="E1235" s="7">
        <f>IFERROR(IF(OR(PRECIOS!E1235="",PRECIOS!E1234=""),"",PRECIOS!E1235/PRECIOS!E1234-1),"")</f>
        <v>-0.04291035751</v>
      </c>
      <c r="F1235" s="7">
        <f>IFERROR(IF(OR(PRECIOS!F1235="",PRECIOS!F1234=""),"",PRECIOS!F1235/PRECIOS!F1234-1),"")</f>
        <v>0.02189939289</v>
      </c>
      <c r="G1235" s="7">
        <f>IFERROR(IF(OR(PRECIOS!G1235="",PRECIOS!G1234=""),"",PRECIOS!G1235/PRECIOS!G1234-1),"")</f>
        <v>0.03103542983</v>
      </c>
      <c r="H1235" s="7">
        <f>IFERROR(IF(OR(PRECIOS!H1235="",PRECIOS!H1234=""),"",PRECIOS!H1235/PRECIOS!H1234-1),"")</f>
        <v>0.02842085451</v>
      </c>
      <c r="I1235" s="7">
        <f>IFERROR(IF(OR(PRECIOS!I1235="",PRECIOS!I1234=""),"",PRECIOS!I1235/PRECIOS!I1234-1),"")</f>
        <v>0.008830022075</v>
      </c>
    </row>
    <row r="1236" ht="15.75" customHeight="1">
      <c r="A1236" s="4">
        <f>IF(PRECIOS!A1236="","",PRECIOS!A1236)</f>
        <v>46211</v>
      </c>
      <c r="B1236" s="7">
        <f>IFERROR(IF(OR(PRECIOS!B1236="",PRECIOS!B1235=""),"",PRECIOS!B1236/PRECIOS!B1235-1),"")</f>
        <v>-0.003952290211</v>
      </c>
      <c r="C1236" s="7">
        <f>IFERROR(IF(OR(PRECIOS!C1236="",PRECIOS!C1235=""),"",PRECIOS!C1236/PRECIOS!C1235-1),"")</f>
        <v>-0.009353479289</v>
      </c>
      <c r="D1236" s="7">
        <f>IFERROR(IF(OR(PRECIOS!D1236="",PRECIOS!D1235=""),"",PRECIOS!D1236/PRECIOS!D1235-1),"")</f>
        <v>-0.005843446992</v>
      </c>
      <c r="E1236" s="7">
        <f>IFERROR(IF(OR(PRECIOS!E1236="",PRECIOS!E1235=""),"",PRECIOS!E1236/PRECIOS!E1235-1),"")</f>
        <v>0.009805903761</v>
      </c>
      <c r="F1236" s="7">
        <f>IFERROR(IF(OR(PRECIOS!F1236="",PRECIOS!F1235=""),"",PRECIOS!F1236/PRECIOS!F1235-1),"")</f>
        <v>0.01633778909</v>
      </c>
      <c r="G1236" s="7">
        <f>IFERROR(IF(OR(PRECIOS!G1236="",PRECIOS!G1235=""),"",PRECIOS!G1236/PRECIOS!G1235-1),"")</f>
        <v>0.00253063399</v>
      </c>
      <c r="H1236" s="7">
        <f>IFERROR(IF(OR(PRECIOS!H1236="",PRECIOS!H1235=""),"",PRECIOS!H1236/PRECIOS!H1235-1),"")</f>
        <v>0.01756954612</v>
      </c>
      <c r="I1236" s="7">
        <f>IFERROR(IF(OR(PRECIOS!I1236="",PRECIOS!I1235=""),"",PRECIOS!I1236/PRECIOS!I1235-1),"")</f>
        <v>-0.007439824945</v>
      </c>
    </row>
    <row r="1237" ht="15.75" customHeight="1">
      <c r="A1237" s="4">
        <f>IF(PRECIOS!A1237="","",PRECIOS!A1237)</f>
        <v>46212</v>
      </c>
      <c r="B1237" s="7">
        <f>IFERROR(IF(OR(PRECIOS!B1237="",PRECIOS!B1236=""),"",PRECIOS!B1237/PRECIOS!B1236-1),"")</f>
        <v>-0.02600439311</v>
      </c>
      <c r="C1237" s="7">
        <f>IFERROR(IF(OR(PRECIOS!C1237="",PRECIOS!C1236=""),"",PRECIOS!C1237/PRECIOS!C1236-1),"")</f>
        <v>-0.01255447188</v>
      </c>
      <c r="D1237" s="7">
        <f>IFERROR(IF(OR(PRECIOS!D1237="",PRECIOS!D1236=""),"",PRECIOS!D1237/PRECIOS!D1236-1),"")</f>
        <v>0.02041079964</v>
      </c>
      <c r="E1237" s="7">
        <f>IFERROR(IF(OR(PRECIOS!E1237="",PRECIOS!E1236=""),"",PRECIOS!E1237/PRECIOS!E1236-1),"")</f>
        <v>0.01569226149</v>
      </c>
      <c r="F1237" s="7">
        <f>IFERROR(IF(OR(PRECIOS!F1237="",PRECIOS!F1236=""),"",PRECIOS!F1237/PRECIOS!F1236-1),"")</f>
        <v>-0.01795407098</v>
      </c>
      <c r="G1237" s="7">
        <f>IFERROR(IF(OR(PRECIOS!G1237="",PRECIOS!G1236=""),"",PRECIOS!G1237/PRECIOS!G1236-1),"")</f>
        <v>0.002391390992</v>
      </c>
      <c r="H1237" s="7">
        <f>IFERROR(IF(OR(PRECIOS!H1237="",PRECIOS!H1236=""),"",PRECIOS!H1237/PRECIOS!H1236-1),"")</f>
        <v>-0.01402877698</v>
      </c>
      <c r="I1237" s="7">
        <f>IFERROR(IF(OR(PRECIOS!I1237="",PRECIOS!I1236=""),"",PRECIOS!I1237/PRECIOS!I1236-1),"")</f>
        <v>-0.005070546737</v>
      </c>
    </row>
    <row r="1238" ht="15.75" customHeight="1">
      <c r="A1238" s="4">
        <f>IF(PRECIOS!A1238="","",PRECIOS!A1238)</f>
        <v>46213</v>
      </c>
      <c r="B1238" s="7">
        <f>IFERROR(IF(OR(PRECIOS!B1238="",PRECIOS!B1237=""),"",PRECIOS!B1238/PRECIOS!B1237-1),"")</f>
        <v>0.0103302779</v>
      </c>
      <c r="C1238" s="7">
        <f>IFERROR(IF(OR(PRECIOS!C1238="",PRECIOS!C1237=""),"",PRECIOS!C1238/PRECIOS!C1237-1),"")</f>
        <v>0.004623305664</v>
      </c>
      <c r="D1238" s="7">
        <f>IFERROR(IF(OR(PRECIOS!D1238="",PRECIOS!D1237=""),"",PRECIOS!D1238/PRECIOS!D1237-1),"")</f>
        <v>0.005570325358</v>
      </c>
      <c r="E1238" s="7">
        <f>IFERROR(IF(OR(PRECIOS!E1238="",PRECIOS!E1237=""),"",PRECIOS!E1238/PRECIOS!E1237-1),"")</f>
        <v>0.003572924624</v>
      </c>
      <c r="F1238" s="7">
        <f>IFERROR(IF(OR(PRECIOS!F1238="",PRECIOS!F1237=""),"",PRECIOS!F1238/PRECIOS!F1237-1),"")</f>
        <v>0.01147959184</v>
      </c>
      <c r="G1238" s="7">
        <f>IFERROR(IF(OR(PRECIOS!G1238="",PRECIOS!G1237=""),"",PRECIOS!G1238/PRECIOS!G1237-1),"")</f>
        <v>-0.005699138502</v>
      </c>
      <c r="H1238" s="7">
        <f>IFERROR(IF(OR(PRECIOS!H1238="",PRECIOS!H1237=""),"",PRECIOS!H1238/PRECIOS!H1237-1),"")</f>
        <v>0.004742794601</v>
      </c>
      <c r="I1238" s="7">
        <f>IFERROR(IF(OR(PRECIOS!I1238="",PRECIOS!I1237=""),"",PRECIOS!I1238/PRECIOS!I1237-1),"")</f>
        <v>0.006204298693</v>
      </c>
    </row>
    <row r="1239" ht="15.75" customHeight="1">
      <c r="A1239" s="4">
        <f>IF(PRECIOS!A1239="","",PRECIOS!A1239)</f>
        <v>46216</v>
      </c>
      <c r="B1239" s="7">
        <f>IFERROR(IF(OR(PRECIOS!B1239="",PRECIOS!B1238=""),"",PRECIOS!B1239/PRECIOS!B1238-1),"")</f>
        <v>0.04053859447</v>
      </c>
      <c r="C1239" s="7">
        <f>IFERROR(IF(OR(PRECIOS!C1239="",PRECIOS!C1238=""),"",PRECIOS!C1239/PRECIOS!C1238-1),"")</f>
        <v>0.008994875013</v>
      </c>
      <c r="D1239" s="7">
        <f>IFERROR(IF(OR(PRECIOS!D1239="",PRECIOS!D1238=""),"",PRECIOS!D1239/PRECIOS!D1238-1),"")</f>
        <v>-0.004658189601</v>
      </c>
      <c r="E1239" s="7">
        <f>IFERROR(IF(OR(PRECIOS!E1239="",PRECIOS!E1238=""),"",PRECIOS!E1239/PRECIOS!E1238-1),"")</f>
        <v>-0.01087703791</v>
      </c>
      <c r="F1239" s="7">
        <f>IFERROR(IF(OR(PRECIOS!F1239="",PRECIOS!F1238=""),"",PRECIOS!F1239/PRECIOS!F1238-1),"")</f>
        <v>0.04035308953</v>
      </c>
      <c r="G1239" s="7">
        <f>IFERROR(IF(OR(PRECIOS!G1239="",PRECIOS!G1238=""),"",PRECIOS!G1239/PRECIOS!G1238-1),"")</f>
        <v>-0.007464676086</v>
      </c>
      <c r="H1239" s="7">
        <f>IFERROR(IF(OR(PRECIOS!H1239="",PRECIOS!H1238=""),"",PRECIOS!H1239/PRECIOS!H1238-1),"")</f>
        <v>0.03013798112</v>
      </c>
      <c r="I1239" s="7">
        <f>IFERROR(IF(OR(PRECIOS!I1239="",PRECIOS!I1238=""),"",PRECIOS!I1239/PRECIOS!I1238-1),"")</f>
        <v>0.006826690156</v>
      </c>
    </row>
    <row r="1240" ht="15.75" customHeight="1">
      <c r="A1240" s="4">
        <f>IF(PRECIOS!A1240="","",PRECIOS!A1240)</f>
        <v>46217</v>
      </c>
      <c r="B1240" s="7">
        <f>IFERROR(IF(OR(PRECIOS!B1240="",PRECIOS!B1239=""),"",PRECIOS!B1240/PRECIOS!B1239-1),"")</f>
        <v>0.004013563075</v>
      </c>
      <c r="C1240" s="7">
        <f>IFERROR(IF(OR(PRECIOS!C1240="",PRECIOS!C1239=""),"",PRECIOS!C1240/PRECIOS!C1239-1),"")</f>
        <v>-0.005286617601</v>
      </c>
      <c r="D1240" s="7">
        <f>IFERROR(IF(OR(PRECIOS!D1240="",PRECIOS!D1239=""),"",PRECIOS!D1240/PRECIOS!D1239-1),"")</f>
        <v>0.001960536302</v>
      </c>
      <c r="E1240" s="7">
        <f>IFERROR(IF(OR(PRECIOS!E1240="",PRECIOS!E1239=""),"",PRECIOS!E1240/PRECIOS!E1239-1),"")</f>
        <v>0.03145091225</v>
      </c>
      <c r="F1240" s="7">
        <f>IFERROR(IF(OR(PRECIOS!F1240="",PRECIOS!F1239=""),"",PRECIOS!F1240/PRECIOS!F1239-1),"")</f>
        <v>0.006060606061</v>
      </c>
      <c r="G1240" s="7">
        <f>IFERROR(IF(OR(PRECIOS!G1240="",PRECIOS!G1239=""),"",PRECIOS!G1240/PRECIOS!G1239-1),"")</f>
        <v>0.02041364491</v>
      </c>
      <c r="H1240" s="7">
        <f>IFERROR(IF(OR(PRECIOS!H1240="",PRECIOS!H1239=""),"",PRECIOS!H1240/PRECIOS!H1239-1),"")</f>
        <v>0.003701092704</v>
      </c>
      <c r="I1240" s="7">
        <f>IFERROR(IF(OR(PRECIOS!I1240="",PRECIOS!I1239=""),"",PRECIOS!I1240/PRECIOS!I1239-1),"")</f>
        <v>-0.000656167979</v>
      </c>
    </row>
    <row r="1241" ht="15.75" customHeight="1">
      <c r="A1241" s="4">
        <f>IF(PRECIOS!A1241="","",PRECIOS!A1241)</f>
        <v>46218</v>
      </c>
      <c r="B1241" s="7">
        <f>IFERROR(IF(OR(PRECIOS!B1241="",PRECIOS!B1240=""),"",PRECIOS!B1241/PRECIOS!B1240-1),"")</f>
        <v>-0.003997518781</v>
      </c>
      <c r="C1241" s="7">
        <f>IFERROR(IF(OR(PRECIOS!C1241="",PRECIOS!C1240=""),"",PRECIOS!C1241/PRECIOS!C1240-1),"")</f>
        <v>-0.0141725719</v>
      </c>
      <c r="D1241" s="7">
        <f>IFERROR(IF(OR(PRECIOS!D1241="",PRECIOS!D1240=""),"",PRECIOS!D1241/PRECIOS!D1240-1),"")</f>
        <v>0.01136148457</v>
      </c>
      <c r="E1241" s="7">
        <f>IFERROR(IF(OR(PRECIOS!E1241="",PRECIOS!E1240=""),"",PRECIOS!E1241/PRECIOS!E1240-1),"")</f>
        <v>-0.006401617251</v>
      </c>
      <c r="F1241" s="7">
        <f>IFERROR(IF(OR(PRECIOS!F1241="",PRECIOS!F1240=""),"",PRECIOS!F1241/PRECIOS!F1240-1),"")</f>
        <v>0.009236947791</v>
      </c>
      <c r="G1241" s="7">
        <f>IFERROR(IF(OR(PRECIOS!G1241="",PRECIOS!G1240=""),"",PRECIOS!G1241/PRECIOS!G1240-1),"")</f>
        <v>-0.0210581732</v>
      </c>
      <c r="H1241" s="7">
        <f>IFERROR(IF(OR(PRECIOS!H1241="",PRECIOS!H1240=""),"",PRECIOS!H1241/PRECIOS!H1240-1),"")</f>
        <v>-0.00790166813</v>
      </c>
      <c r="I1241" s="7">
        <f>IFERROR(IF(OR(PRECIOS!I1241="",PRECIOS!I1240=""),"",PRECIOS!I1241/PRECIOS!I1240-1),"")</f>
        <v>-0.01028671482</v>
      </c>
    </row>
    <row r="1242" ht="15.75" customHeight="1">
      <c r="A1242" s="4">
        <f>IF(PRECIOS!A1242="","",PRECIOS!A1242)</f>
        <v>46219</v>
      </c>
      <c r="B1242" s="7">
        <f>IFERROR(IF(OR(PRECIOS!B1242="",PRECIOS!B1241=""),"",PRECIOS!B1242/PRECIOS!B1241-1),"")</f>
        <v>0.009964708325</v>
      </c>
      <c r="C1242" s="7">
        <f>IFERROR(IF(OR(PRECIOS!C1242="",PRECIOS!C1241=""),"",PRECIOS!C1242/PRECIOS!C1241-1),"")</f>
        <v>0.01553911205</v>
      </c>
      <c r="D1242" s="7">
        <f>IFERROR(IF(OR(PRECIOS!D1242="",PRECIOS!D1241=""),"",PRECIOS!D1242/PRECIOS!D1241-1),"")</f>
        <v>-0.04786868876</v>
      </c>
      <c r="E1242" s="7">
        <f>IFERROR(IF(OR(PRECIOS!E1242="",PRECIOS!E1241=""),"",PRECIOS!E1242/PRECIOS!E1241-1),"")</f>
        <v>-0.04018311292</v>
      </c>
      <c r="F1242" s="7">
        <f>IFERROR(IF(OR(PRECIOS!F1242="",PRECIOS!F1241=""),"",PRECIOS!F1242/PRECIOS!F1241-1),"")</f>
        <v>-0.03601273378</v>
      </c>
      <c r="G1242" s="7">
        <f>IFERROR(IF(OR(PRECIOS!G1242="",PRECIOS!G1241=""),"",PRECIOS!G1242/PRECIOS!G1241-1),"")</f>
        <v>0.004705566012</v>
      </c>
      <c r="H1242" s="7">
        <f>IFERROR(IF(OR(PRECIOS!H1242="",PRECIOS!H1241=""),"",PRECIOS!H1242/PRECIOS!H1241-1),"")</f>
        <v>0.009203539823</v>
      </c>
      <c r="I1242" s="7">
        <f>IFERROR(IF(OR(PRECIOS!I1242="",PRECIOS!I1241=""),"",PRECIOS!I1242/PRECIOS!I1241-1),"")</f>
        <v>0.0055285272</v>
      </c>
    </row>
    <row r="1243" ht="15.75" customHeight="1">
      <c r="A1243" s="4">
        <f>IF(PRECIOS!A1243="","",PRECIOS!A1243)</f>
        <v>46220</v>
      </c>
      <c r="B1243" s="7">
        <f>IFERROR(IF(OR(PRECIOS!B1243="",PRECIOS!B1242=""),"",PRECIOS!B1243/PRECIOS!B1242-1),"")</f>
        <v>0.009660842754</v>
      </c>
      <c r="C1243" s="7">
        <f>IFERROR(IF(OR(PRECIOS!C1243="",PRECIOS!C1242=""),"",PRECIOS!C1243/PRECIOS!C1242-1),"")</f>
        <v>-0.00801498907</v>
      </c>
      <c r="D1243" s="7">
        <f>IFERROR(IF(OR(PRECIOS!D1243="",PRECIOS!D1242=""),"",PRECIOS!D1243/PRECIOS!D1242-1),"")</f>
        <v>0.01887781856</v>
      </c>
      <c r="E1243" s="7">
        <f>IFERROR(IF(OR(PRECIOS!E1243="",PRECIOS!E1242=""),"",PRECIOS!E1243/PRECIOS!E1242-1),"")</f>
        <v>0.009387538799</v>
      </c>
      <c r="F1243" s="7">
        <f>IFERROR(IF(OR(PRECIOS!F1243="",PRECIOS!F1242=""),"",PRECIOS!F1243/PRECIOS!F1242-1),"")</f>
        <v>0.0253869969</v>
      </c>
      <c r="G1243" s="7">
        <f>IFERROR(IF(OR(PRECIOS!G1243="",PRECIOS!G1242=""),"",PRECIOS!G1243/PRECIOS!G1242-1),"")</f>
        <v>-0.01806503412</v>
      </c>
      <c r="H1243" s="7">
        <f>IFERROR(IF(OR(PRECIOS!H1243="",PRECIOS!H1242=""),"",PRECIOS!H1243/PRECIOS!H1242-1),"")</f>
        <v>0.011574886</v>
      </c>
      <c r="I1243" s="7">
        <f>IFERROR(IF(OR(PRECIOS!I1243="",PRECIOS!I1242=""),"",PRECIOS!I1243/PRECIOS!I1242-1),"")</f>
        <v>-0.006597756763</v>
      </c>
    </row>
    <row r="1244" ht="15.75" customHeight="1">
      <c r="A1244" s="4">
        <f>IF(PRECIOS!A1244="","",PRECIOS!A1244)</f>
        <v>46223</v>
      </c>
      <c r="B1244" s="7">
        <f>IFERROR(IF(OR(PRECIOS!B1244="",PRECIOS!B1243=""),"",PRECIOS!B1244/PRECIOS!B1243-1),"")</f>
        <v>0.006786102063</v>
      </c>
      <c r="C1244" s="7">
        <f>IFERROR(IF(OR(PRECIOS!C1244="",PRECIOS!C1243=""),"",PRECIOS!C1244/PRECIOS!C1243-1),"")</f>
        <v>-0.008814270724</v>
      </c>
      <c r="D1244" s="7">
        <f>IFERROR(IF(OR(PRECIOS!D1244="",PRECIOS!D1243=""),"",PRECIOS!D1244/PRECIOS!D1243-1),"")</f>
        <v>0.01640504375</v>
      </c>
      <c r="E1244" s="7">
        <f>IFERROR(IF(OR(PRECIOS!E1244="",PRECIOS!E1243=""),"",PRECIOS!E1244/PRECIOS!E1243-1),"")</f>
        <v>0.003550088752</v>
      </c>
      <c r="F1244" s="7">
        <f>IFERROR(IF(OR(PRECIOS!F1244="",PRECIOS!F1243=""),"",PRECIOS!F1244/PRECIOS!F1243-1),"")</f>
        <v>0.0152979066</v>
      </c>
      <c r="G1244" s="7">
        <f>IFERROR(IF(OR(PRECIOS!G1244="",PRECIOS!G1243=""),"",PRECIOS!G1244/PRECIOS!G1243-1),"")</f>
        <v>0.01062959935</v>
      </c>
      <c r="H1244" s="7">
        <f>IFERROR(IF(OR(PRECIOS!H1244="",PRECIOS!H1243=""),"",PRECIOS!H1244/PRECIOS!H1243-1),"")</f>
        <v>0.004507628294</v>
      </c>
      <c r="I1244" s="7">
        <f>IFERROR(IF(OR(PRECIOS!I1244="",PRECIOS!I1243=""),"",PRECIOS!I1244/PRECIOS!I1243-1),"")</f>
        <v>-0.005091875138</v>
      </c>
    </row>
    <row r="1245" ht="15.75" customHeight="1">
      <c r="A1245" s="4">
        <f>IF(PRECIOS!A1245="","",PRECIOS!A1245)</f>
        <v>46224</v>
      </c>
      <c r="B1245" s="7">
        <f>IFERROR(IF(OR(PRECIOS!B1245="",PRECIOS!B1244=""),"",PRECIOS!B1245/PRECIOS!B1244-1),"")</f>
        <v>0.0225802103</v>
      </c>
      <c r="C1245" s="7">
        <f>IFERROR(IF(OR(PRECIOS!C1245="",PRECIOS!C1244=""),"",PRECIOS!C1245/PRECIOS!C1244-1),"")</f>
        <v>-0.006457759898</v>
      </c>
      <c r="D1245" s="7">
        <f>IFERROR(IF(OR(PRECIOS!D1245="",PRECIOS!D1244=""),"",PRECIOS!D1245/PRECIOS!D1244-1),"")</f>
        <v>0.02747009304</v>
      </c>
      <c r="E1245" s="7">
        <f>IFERROR(IF(OR(PRECIOS!E1245="",PRECIOS!E1244=""),"",PRECIOS!E1245/PRECIOS!E1244-1),"")</f>
        <v>0.003836476421</v>
      </c>
      <c r="F1245" s="7">
        <f>IFERROR(IF(OR(PRECIOS!F1245="",PRECIOS!F1244=""),"",PRECIOS!F1245/PRECIOS!F1244-1),"")</f>
        <v>0.01764472641</v>
      </c>
      <c r="G1245" s="7">
        <f>IFERROR(IF(OR(PRECIOS!G1245="",PRECIOS!G1244=""),"",PRECIOS!G1245/PRECIOS!G1244-1),"")</f>
        <v>-0.01078748652</v>
      </c>
      <c r="H1245" s="7">
        <f>IFERROR(IF(OR(PRECIOS!H1245="",PRECIOS!H1244=""),"",PRECIOS!H1245/PRECIOS!H1244-1),"")</f>
        <v>0.009665170866</v>
      </c>
      <c r="I1245" s="7">
        <f>IFERROR(IF(OR(PRECIOS!I1245="",PRECIOS!I1244=""),"",PRECIOS!I1245/PRECIOS!I1244-1),"")</f>
        <v>-0.0004450378282</v>
      </c>
    </row>
    <row r="1246" ht="15.75" customHeight="1">
      <c r="A1246" s="4">
        <f>IF(PRECIOS!A1246="","",PRECIOS!A1246)</f>
        <v>46225</v>
      </c>
      <c r="B1246" s="7">
        <f>IFERROR(IF(OR(PRECIOS!B1246="",PRECIOS!B1245=""),"",PRECIOS!B1246/PRECIOS!B1245-1),"")</f>
        <v>0.01806077384</v>
      </c>
      <c r="C1246" s="7">
        <f>IFERROR(IF(OR(PRECIOS!C1246="",PRECIOS!C1245=""),"",PRECIOS!C1246/PRECIOS!C1245-1),"")</f>
        <v>0.02077783697</v>
      </c>
      <c r="D1246" s="7">
        <f>IFERROR(IF(OR(PRECIOS!D1246="",PRECIOS!D1245=""),"",PRECIOS!D1246/PRECIOS!D1245-1),"")</f>
        <v>0.02716688228</v>
      </c>
      <c r="E1246" s="7">
        <f>IFERROR(IF(OR(PRECIOS!E1246="",PRECIOS!E1245=""),"",PRECIOS!E1246/PRECIOS!E1245-1),"")</f>
        <v>0.009827522025</v>
      </c>
      <c r="F1246" s="7">
        <f>IFERROR(IF(OR(PRECIOS!F1246="",PRECIOS!F1245=""),"",PRECIOS!F1246/PRECIOS!F1245-1),"")</f>
        <v>0.02298850575</v>
      </c>
      <c r="G1246" s="7">
        <f>IFERROR(IF(OR(PRECIOS!G1246="",PRECIOS!G1245=""),"",PRECIOS!G1246/PRECIOS!G1245-1),"")</f>
        <v>0.01540348964</v>
      </c>
      <c r="H1246" s="7">
        <f>IFERROR(IF(OR(PRECIOS!H1246="",PRECIOS!H1245=""),"",PRECIOS!H1246/PRECIOS!H1245-1),"")</f>
        <v>0.01196581197</v>
      </c>
      <c r="I1246" s="7">
        <f>IFERROR(IF(OR(PRECIOS!I1246="",PRECIOS!I1245=""),"",PRECIOS!I1246/PRECIOS!I1245-1),"")</f>
        <v>0.02248441674</v>
      </c>
    </row>
    <row r="1247" ht="15.75" customHeight="1">
      <c r="A1247" s="4">
        <f>IF(PRECIOS!A1247="","",PRECIOS!A1247)</f>
        <v>46226</v>
      </c>
      <c r="B1247" s="7">
        <f>IFERROR(IF(OR(PRECIOS!B1247="",PRECIOS!B1246=""),"",PRECIOS!B1247/PRECIOS!B1246-1),"")</f>
        <v>0.01579799288</v>
      </c>
      <c r="C1247" s="7">
        <f>IFERROR(IF(OR(PRECIOS!C1247="",PRECIOS!C1246=""),"",PRECIOS!C1247/PRECIOS!C1246-1),"")</f>
        <v>0.008350730689</v>
      </c>
      <c r="D1247" s="7">
        <f>IFERROR(IF(OR(PRECIOS!D1247="",PRECIOS!D1246=""),"",PRECIOS!D1247/PRECIOS!D1246-1),"")</f>
        <v>0.013434089</v>
      </c>
      <c r="E1247" s="7">
        <f>IFERROR(IF(OR(PRECIOS!E1247="",PRECIOS!E1246=""),"",PRECIOS!E1247/PRECIOS!E1246-1),"")</f>
        <v>0.02020102725</v>
      </c>
      <c r="F1247" s="7">
        <f>IFERROR(IF(OR(PRECIOS!F1247="",PRECIOS!F1246=""),"",PRECIOS!F1247/PRECIOS!F1246-1),"")</f>
        <v>-0.01123595506</v>
      </c>
      <c r="G1247" s="7">
        <f>IFERROR(IF(OR(PRECIOS!G1247="",PRECIOS!G1246=""),"",PRECIOS!G1247/PRECIOS!G1246-1),"")</f>
        <v>0.01020271177</v>
      </c>
      <c r="H1247" s="7">
        <f>IFERROR(IF(OR(PRECIOS!H1247="",PRECIOS!H1246=""),"",PRECIOS!H1247/PRECIOS!H1246-1),"")</f>
        <v>0.003040540541</v>
      </c>
      <c r="I1247" s="7">
        <f>IFERROR(IF(OR(PRECIOS!I1247="",PRECIOS!I1246=""),"",PRECIOS!I1247/PRECIOS!I1246-1),"")</f>
        <v>0.005660788156</v>
      </c>
    </row>
    <row r="1248" ht="15.75" customHeight="1">
      <c r="A1248" s="4">
        <f>IF(PRECIOS!A1248="","",PRECIOS!A1248)</f>
        <v>46227</v>
      </c>
      <c r="B1248" s="7">
        <f>IFERROR(IF(OR(PRECIOS!B1248="",PRECIOS!B1247=""),"",PRECIOS!B1248/PRECIOS!B1247-1),"")</f>
        <v>0.0003186946268</v>
      </c>
      <c r="C1248" s="7">
        <f>IFERROR(IF(OR(PRECIOS!C1248="",PRECIOS!C1247=""),"",PRECIOS!C1248/PRECIOS!C1247-1),"")</f>
        <v>0.006728778468</v>
      </c>
      <c r="D1248" s="7">
        <f>IFERROR(IF(OR(PRECIOS!D1248="",PRECIOS!D1247=""),"",PRECIOS!D1248/PRECIOS!D1247-1),"")</f>
        <v>-0.03314001657</v>
      </c>
      <c r="E1248" s="7">
        <f>IFERROR(IF(OR(PRECIOS!E1248="",PRECIOS!E1247=""),"",PRECIOS!E1248/PRECIOS!E1247-1),"")</f>
        <v>-0.02664225664</v>
      </c>
      <c r="F1248" s="7">
        <f>IFERROR(IF(OR(PRECIOS!F1248="",PRECIOS!F1247=""),"",PRECIOS!F1248/PRECIOS!F1247-1),"")</f>
        <v>-0.01001540832</v>
      </c>
      <c r="G1248" s="7">
        <f>IFERROR(IF(OR(PRECIOS!G1248="",PRECIOS!G1247=""),"",PRECIOS!G1248/PRECIOS!G1247-1),"")</f>
        <v>-0.01661129568</v>
      </c>
      <c r="H1248" s="7">
        <f>IFERROR(IF(OR(PRECIOS!H1248="",PRECIOS!H1247=""),"",PRECIOS!H1248/PRECIOS!H1247-1),"")</f>
        <v>0.004041764904</v>
      </c>
      <c r="I1248" s="7">
        <f>IFERROR(IF(OR(PRECIOS!I1248="",PRECIOS!I1247=""),"",PRECIOS!I1248/PRECIOS!I1247-1),"")</f>
        <v>0.002164970773</v>
      </c>
    </row>
    <row r="1249" ht="15.75" customHeight="1">
      <c r="A1249" s="4">
        <f>IF(PRECIOS!A1249="","",PRECIOS!A1249)</f>
        <v>46230</v>
      </c>
      <c r="B1249" s="7">
        <f>IFERROR(IF(OR(PRECIOS!B1249="",PRECIOS!B1248=""),"",PRECIOS!B1249/PRECIOS!B1248-1),"")</f>
        <v>-0.01382694023</v>
      </c>
      <c r="C1249" s="7">
        <f>IFERROR(IF(OR(PRECIOS!C1249="",PRECIOS!C1248=""),"",PRECIOS!C1249/PRECIOS!C1248-1),"")</f>
        <v>-0.007917737789</v>
      </c>
      <c r="D1249" s="7">
        <f>IFERROR(IF(OR(PRECIOS!D1249="",PRECIOS!D1248=""),"",PRECIOS!D1249/PRECIOS!D1248-1),"")</f>
        <v>-0.03856041131</v>
      </c>
      <c r="E1249" s="7">
        <f>IFERROR(IF(OR(PRECIOS!E1249="",PRECIOS!E1248=""),"",PRECIOS!E1249/PRECIOS!E1248-1),"")</f>
        <v>-0.01343826565</v>
      </c>
      <c r="F1249" s="7">
        <f>IFERROR(IF(OR(PRECIOS!F1249="",PRECIOS!F1248=""),"",PRECIOS!F1249/PRECIOS!F1248-1),"")</f>
        <v>-0.009727626459</v>
      </c>
      <c r="G1249" s="7">
        <f>IFERROR(IF(OR(PRECIOS!G1249="",PRECIOS!G1248=""),"",PRECIOS!G1249/PRECIOS!G1248-1),"")</f>
        <v>-0.04337837838</v>
      </c>
      <c r="H1249" s="7">
        <f>IFERROR(IF(OR(PRECIOS!H1249="",PRECIOS!H1248=""),"",PRECIOS!H1249/PRECIOS!H1248-1),"")</f>
        <v>-0.0211338477</v>
      </c>
      <c r="I1249" s="7">
        <f>IFERROR(IF(OR(PRECIOS!I1249="",PRECIOS!I1248=""),"",PRECIOS!I1249/PRECIOS!I1248-1),"")</f>
        <v>-0.01317779218</v>
      </c>
    </row>
    <row r="1250" ht="15.75" customHeight="1">
      <c r="A1250" s="4">
        <f>IF(PRECIOS!A1250="","",PRECIOS!A1250)</f>
        <v>46231</v>
      </c>
      <c r="B1250" s="7">
        <f>IFERROR(IF(OR(PRECIOS!B1250="",PRECIOS!B1249=""),"",PRECIOS!B1250/PRECIOS!B1249-1),"")</f>
        <v>-0.01117787685</v>
      </c>
      <c r="C1250" s="7">
        <f>IFERROR(IF(OR(PRECIOS!C1250="",PRECIOS!C1249=""),"",PRECIOS!C1250/PRECIOS!C1249-1),"")</f>
        <v>0.003109452736</v>
      </c>
      <c r="D1250" s="7">
        <f>IFERROR(IF(OR(PRECIOS!D1250="",PRECIOS!D1249=""),"",PRECIOS!D1250/PRECIOS!D1249-1),"")</f>
        <v>-0.05373058314</v>
      </c>
      <c r="E1250" s="7">
        <f>IFERROR(IF(OR(PRECIOS!E1250="",PRECIOS!E1249=""),"",PRECIOS!E1250/PRECIOS!E1249-1),"")</f>
        <v>-0.031055589</v>
      </c>
      <c r="F1250" s="7">
        <f>IFERROR(IF(OR(PRECIOS!F1250="",PRECIOS!F1249=""),"",PRECIOS!F1250/PRECIOS!F1249-1),"")</f>
        <v>-0.02082514735</v>
      </c>
      <c r="G1250" s="7">
        <f>IFERROR(IF(OR(PRECIOS!G1250="",PRECIOS!G1249=""),"",PRECIOS!G1250/PRECIOS!G1249-1),"")</f>
        <v>-0.008899562085</v>
      </c>
      <c r="H1250" s="7">
        <f>IFERROR(IF(OR(PRECIOS!H1250="",PRECIOS!H1249=""),"",PRECIOS!H1250/PRECIOS!H1249-1),"")</f>
        <v>-0.01353666895</v>
      </c>
      <c r="I1250" s="7">
        <f>IFERROR(IF(OR(PRECIOS!I1250="",PRECIOS!I1249=""),"",PRECIOS!I1250/PRECIOS!I1249-1),"")</f>
        <v>-0.00350262697</v>
      </c>
    </row>
    <row r="1251" ht="15.75" customHeight="1">
      <c r="A1251" s="4">
        <f>IF(PRECIOS!A1251="","",PRECIOS!A1251)</f>
        <v>46232</v>
      </c>
      <c r="B1251" s="7">
        <f>IFERROR(IF(OR(PRECIOS!B1251="",PRECIOS!B1250=""),"",PRECIOS!B1251/PRECIOS!B1250-1),"")</f>
        <v>0.02424202823</v>
      </c>
      <c r="C1251" s="7">
        <f>IFERROR(IF(OR(PRECIOS!C1251="",PRECIOS!C1250=""),"",PRECIOS!C1251/PRECIOS!C1250-1),"")</f>
        <v>-0.00754288076</v>
      </c>
      <c r="D1251" s="7">
        <f>IFERROR(IF(OR(PRECIOS!D1251="",PRECIOS!D1250=""),"",PRECIOS!D1251/PRECIOS!D1250-1),"")</f>
        <v>-0.03922228202</v>
      </c>
      <c r="E1251" s="7">
        <f>IFERROR(IF(OR(PRECIOS!E1251="",PRECIOS!E1250=""),"",PRECIOS!E1251/PRECIOS!E1250-1),"")</f>
        <v>-0.06311810697</v>
      </c>
      <c r="F1251" s="7">
        <f>IFERROR(IF(OR(PRECIOS!F1251="",PRECIOS!F1250=""),"",PRECIOS!F1251/PRECIOS!F1250-1),"")</f>
        <v>0.00963081862</v>
      </c>
      <c r="G1251" s="7">
        <f>IFERROR(IF(OR(PRECIOS!G1251="",PRECIOS!G1250=""),"",PRECIOS!G1251/PRECIOS!G1250-1),"")</f>
        <v>-0.0004275940707</v>
      </c>
      <c r="H1251" s="7">
        <f>IFERROR(IF(OR(PRECIOS!H1251="",PRECIOS!H1250=""),"",PRECIOS!H1251/PRECIOS!H1250-1),"")</f>
        <v>0.01875977071</v>
      </c>
      <c r="I1251" s="7">
        <f>IFERROR(IF(OR(PRECIOS!I1251="",PRECIOS!I1250=""),"",PRECIOS!I1251/PRECIOS!I1250-1),"")</f>
        <v>-0.01340070299</v>
      </c>
    </row>
    <row r="1252" ht="15.75" customHeight="1">
      <c r="A1252" s="4">
        <f>IF(PRECIOS!A1252="","",PRECIOS!A1252)</f>
        <v>46233</v>
      </c>
      <c r="B1252" s="7">
        <f>IFERROR(IF(OR(PRECIOS!B1252="",PRECIOS!B1251=""),"",PRECIOS!B1252/PRECIOS!B1251-1),"")</f>
        <v>0.001403508772</v>
      </c>
      <c r="C1252" s="7">
        <f>IFERROR(IF(OR(PRECIOS!C1252="",PRECIOS!C1251=""),"",PRECIOS!C1252/PRECIOS!C1251-1),"")</f>
        <v>-0.01780322749</v>
      </c>
      <c r="D1252" s="7">
        <f>IFERROR(IF(OR(PRECIOS!D1252="",PRECIOS!D1251=""),"",PRECIOS!D1252/PRECIOS!D1251-1),"")</f>
        <v>0.04068342553</v>
      </c>
      <c r="E1252" s="7">
        <f>IFERROR(IF(OR(PRECIOS!E1252="",PRECIOS!E1251=""),"",PRECIOS!E1252/PRECIOS!E1251-1),"")</f>
        <v>0.06911130762</v>
      </c>
      <c r="F1252" s="7">
        <f>IFERROR(IF(OR(PRECIOS!F1252="",PRECIOS!F1251=""),"",PRECIOS!F1252/PRECIOS!F1251-1),"")</f>
        <v>0.0363672496</v>
      </c>
      <c r="G1252" s="7">
        <f>IFERROR(IF(OR(PRECIOS!G1252="",PRECIOS!G1251=""),"",PRECIOS!G1252/PRECIOS!G1251-1),"")</f>
        <v>0.01112220163</v>
      </c>
      <c r="H1252" s="7">
        <f>IFERROR(IF(OR(PRECIOS!H1252="",PRECIOS!H1251=""),"",PRECIOS!H1252/PRECIOS!H1251-1),"")</f>
        <v>0.005285592498</v>
      </c>
      <c r="I1252" s="7">
        <f>IFERROR(IF(OR(PRECIOS!I1252="",PRECIOS!I1251=""),"",PRECIOS!I1252/PRECIOS!I1251-1),"")</f>
        <v>-0.005566688933</v>
      </c>
    </row>
    <row r="1253" ht="15.75" customHeight="1">
      <c r="A1253" s="4">
        <f>IF(PRECIOS!A1253="","",PRECIOS!A1253)</f>
        <v>46234</v>
      </c>
      <c r="B1253" s="7">
        <f>IFERROR(IF(OR(PRECIOS!B1253="",PRECIOS!B1252=""),"",PRECIOS!B1253/PRECIOS!B1252-1),"")</f>
        <v>-0.00974708543</v>
      </c>
      <c r="C1253" s="7">
        <f>IFERROR(IF(OR(PRECIOS!C1253="",PRECIOS!C1252=""),"",PRECIOS!C1253/PRECIOS!C1252-1),"")</f>
        <v>0.00211999152</v>
      </c>
      <c r="D1253" s="7">
        <f>IFERROR(IF(OR(PRECIOS!D1253="",PRECIOS!D1252=""),"",PRECIOS!D1253/PRECIOS!D1252-1),"")</f>
        <v>-0.002893284888</v>
      </c>
      <c r="E1253" s="7">
        <f>IFERROR(IF(OR(PRECIOS!E1253="",PRECIOS!E1252=""),"",PRECIOS!E1253/PRECIOS!E1252-1),"")</f>
        <v>0.07317325338</v>
      </c>
      <c r="F1253" s="7">
        <f>IFERROR(IF(OR(PRECIOS!F1253="",PRECIOS!F1252=""),"",PRECIOS!F1253/PRECIOS!F1252-1),"")</f>
        <v>0.007478427613</v>
      </c>
      <c r="G1253" s="7">
        <f>IFERROR(IF(OR(PRECIOS!G1253="",PRECIOS!G1252=""),"",PRECIOS!G1253/PRECIOS!G1252-1),"")</f>
        <v>0.008884501481</v>
      </c>
      <c r="H1253" s="7">
        <f>IFERROR(IF(OR(PRECIOS!H1253="",PRECIOS!H1252=""),"",PRECIOS!H1253/PRECIOS!H1252-1),"")</f>
        <v>0.01000678426</v>
      </c>
      <c r="I1253" s="7">
        <f>IFERROR(IF(OR(PRECIOS!I1253="",PRECIOS!I1252=""),"",PRECIOS!I1253/PRECIOS!I1252-1),"")</f>
        <v>-0.006941334528</v>
      </c>
    </row>
    <row r="1254" ht="15.75" customHeight="1">
      <c r="A1254" s="4">
        <f>IF(PRECIOS!A1254="","",PRECIOS!A1254)</f>
        <v>46237</v>
      </c>
      <c r="B1254" s="7">
        <f>IFERROR(IF(OR(PRECIOS!B1254="",PRECIOS!B1253=""),"",PRECIOS!B1254/PRECIOS!B1253-1),"")</f>
        <v>-0.002444673186</v>
      </c>
      <c r="C1254" s="7">
        <f>IFERROR(IF(OR(PRECIOS!C1254="",PRECIOS!C1253=""),"",PRECIOS!C1254/PRECIOS!C1253-1),"")</f>
        <v>-0.01692405331</v>
      </c>
      <c r="D1254" s="7">
        <f>IFERROR(IF(OR(PRECIOS!D1254="",PRECIOS!D1253=""),"",PRECIOS!D1254/PRECIOS!D1253-1),"")</f>
        <v>0.05229772589</v>
      </c>
      <c r="E1254" s="7">
        <f>IFERROR(IF(OR(PRECIOS!E1254="",PRECIOS!E1253=""),"",PRECIOS!E1254/PRECIOS!E1253-1),"")</f>
        <v>0.0554672447</v>
      </c>
      <c r="F1254" s="7">
        <f>IFERROR(IF(OR(PRECIOS!F1254="",PRECIOS!F1253=""),"",PRECIOS!F1254/PRECIOS!F1253-1),"")</f>
        <v>-0.02816901408</v>
      </c>
      <c r="G1254" s="7">
        <f>IFERROR(IF(OR(PRECIOS!G1254="",PRECIOS!G1253=""),"",PRECIOS!G1254/PRECIOS!G1253-1),"")</f>
        <v>-0.01551579536</v>
      </c>
      <c r="H1254" s="7">
        <f>IFERROR(IF(OR(PRECIOS!H1254="",PRECIOS!H1253=""),"",PRECIOS!H1254/PRECIOS!H1253-1),"")</f>
        <v>-0.01276238455</v>
      </c>
      <c r="I1254" s="7">
        <f>IFERROR(IF(OR(PRECIOS!I1254="",PRECIOS!I1253=""),"",PRECIOS!I1254/PRECIOS!I1253-1),"")</f>
        <v>0.0002254791432</v>
      </c>
    </row>
    <row r="1255" ht="15.75" customHeight="1">
      <c r="A1255" s="4">
        <f>IF(PRECIOS!A1255="","",PRECIOS!A1255)</f>
        <v>46238</v>
      </c>
      <c r="B1255" s="7">
        <f>IFERROR(IF(OR(PRECIOS!B1255="",PRECIOS!B1254=""),"",PRECIOS!B1255/PRECIOS!B1254-1),"")</f>
        <v>-0.007094028118</v>
      </c>
      <c r="C1255" s="7">
        <f>IFERROR(IF(OR(PRECIOS!C1255="",PRECIOS!C1254=""),"",PRECIOS!C1255/PRECIOS!C1254-1),"")</f>
        <v>0.003335485259</v>
      </c>
      <c r="D1255" s="7">
        <f>IFERROR(IF(OR(PRECIOS!D1255="",PRECIOS!D1254=""),"",PRECIOS!D1255/PRECIOS!D1254-1),"")</f>
        <v>-0.08150570732</v>
      </c>
      <c r="E1255" s="7">
        <f>IFERROR(IF(OR(PRECIOS!E1255="",PRECIOS!E1254=""),"",PRECIOS!E1255/PRECIOS!E1254-1),"")</f>
        <v>0.01492367022</v>
      </c>
      <c r="F1255" s="7">
        <f>IFERROR(IF(OR(PRECIOS!F1255="",PRECIOS!F1254=""),"",PRECIOS!F1255/PRECIOS!F1254-1),"")</f>
        <v>-0.02781041911</v>
      </c>
      <c r="G1255" s="7">
        <f>IFERROR(IF(OR(PRECIOS!G1255="",PRECIOS!G1254=""),"",PRECIOS!G1255/PRECIOS!G1254-1),"")</f>
        <v>0.01533437456</v>
      </c>
      <c r="H1255" s="7">
        <f>IFERROR(IF(OR(PRECIOS!H1255="",PRECIOS!H1254=""),"",PRECIOS!H1255/PRECIOS!H1254-1),"")</f>
        <v>-0.004592617792</v>
      </c>
      <c r="I1255" s="7">
        <f>IFERROR(IF(OR(PRECIOS!I1255="",PRECIOS!I1254=""),"",PRECIOS!I1255/PRECIOS!I1254-1),"")</f>
        <v>-0.005635707845</v>
      </c>
    </row>
    <row r="1256" ht="15.75" customHeight="1">
      <c r="A1256" s="4">
        <f>IF(PRECIOS!A1256="","",PRECIOS!A1256)</f>
        <v>46239</v>
      </c>
      <c r="B1256" s="7">
        <f>IFERROR(IF(OR(PRECIOS!B1256="",PRECIOS!B1255=""),"",PRECIOS!B1256/PRECIOS!B1255-1),"")</f>
        <v>-0.01513380099</v>
      </c>
      <c r="C1256" s="7">
        <f>IFERROR(IF(OR(PRECIOS!C1256="",PRECIOS!C1255=""),"",PRECIOS!C1256/PRECIOS!C1255-1),"")</f>
        <v>-0.001608579088</v>
      </c>
      <c r="D1256" s="7">
        <f>IFERROR(IF(OR(PRECIOS!D1256="",PRECIOS!D1255=""),"",PRECIOS!D1256/PRECIOS!D1255-1),"")</f>
        <v>-0.01850171054</v>
      </c>
      <c r="E1256" s="7">
        <f>IFERROR(IF(OR(PRECIOS!E1256="",PRECIOS!E1255=""),"",PRECIOS!E1256/PRECIOS!E1255-1),"")</f>
        <v>0.005643366234</v>
      </c>
      <c r="F1256" s="7">
        <f>IFERROR(IF(OR(PRECIOS!F1256="",PRECIOS!F1255=""),"",PRECIOS!F1256/PRECIOS!F1255-1),"")</f>
        <v>-0.01954069299</v>
      </c>
      <c r="G1256" s="7">
        <f>IFERROR(IF(OR(PRECIOS!G1256="",PRECIOS!G1255=""),"",PRECIOS!G1256/PRECIOS!G1255-1),"")</f>
        <v>0.004195217452</v>
      </c>
      <c r="H1256" s="7">
        <f>IFERROR(IF(OR(PRECIOS!H1256="",PRECIOS!H1255=""),"",PRECIOS!H1256/PRECIOS!H1255-1),"")</f>
        <v>-0.02067669173</v>
      </c>
      <c r="I1256" s="7">
        <f>IFERROR(IF(OR(PRECIOS!I1256="",PRECIOS!I1255=""),"",PRECIOS!I1256/PRECIOS!I1255-1),"")</f>
        <v>-0.01020176831</v>
      </c>
    </row>
    <row r="1257" ht="15.75" customHeight="1">
      <c r="A1257" s="4">
        <f>IF(PRECIOS!A1257="","",PRECIOS!A1257)</f>
        <v>46240</v>
      </c>
      <c r="B1257" s="7">
        <f>IFERROR(IF(OR(PRECIOS!B1257="",PRECIOS!B1256=""),"",PRECIOS!B1257/PRECIOS!B1256-1),"")</f>
        <v>0.02116995318</v>
      </c>
      <c r="C1257" s="7">
        <f>IFERROR(IF(OR(PRECIOS!C1257="",PRECIOS!C1256=""),"",PRECIOS!C1257/PRECIOS!C1256-1),"")</f>
        <v>-0.002148227712</v>
      </c>
      <c r="D1257" s="7">
        <f>IFERROR(IF(OR(PRECIOS!D1257="",PRECIOS!D1256=""),"",PRECIOS!D1257/PRECIOS!D1256-1),"")</f>
        <v>0.005690709916</v>
      </c>
      <c r="E1257" s="7">
        <f>IFERROR(IF(OR(PRECIOS!E1257="",PRECIOS!E1256=""),"",PRECIOS!E1257/PRECIOS!E1256-1),"")</f>
        <v>0.002034519764</v>
      </c>
      <c r="F1257" s="7">
        <f>IFERROR(IF(OR(PRECIOS!F1257="",PRECIOS!F1256=""),"",PRECIOS!F1257/PRECIOS!F1256-1),"")</f>
        <v>0.01931374563</v>
      </c>
      <c r="G1257" s="7">
        <f>IFERROR(IF(OR(PRECIOS!G1257="",PRECIOS!G1256=""),"",PRECIOS!G1257/PRECIOS!G1256-1),"")</f>
        <v>-0.0006962818549</v>
      </c>
      <c r="H1257" s="7">
        <f>IFERROR(IF(OR(PRECIOS!H1257="",PRECIOS!H1256=""),"",PRECIOS!H1257/PRECIOS!H1256-1),"")</f>
        <v>0.01483161752</v>
      </c>
      <c r="I1257" s="7">
        <f>IFERROR(IF(OR(PRECIOS!I1257="",PRECIOS!I1256=""),"",PRECIOS!I1257/PRECIOS!I1256-1),"")</f>
        <v>-0.006413192854</v>
      </c>
    </row>
    <row r="1258" ht="15.75" customHeight="1">
      <c r="A1258" s="4">
        <f>IF(PRECIOS!A1258="","",PRECIOS!A1258)</f>
        <v>46241</v>
      </c>
      <c r="B1258" s="7">
        <f>IFERROR(IF(OR(PRECIOS!B1258="",PRECIOS!B1257=""),"",PRECIOS!B1258/PRECIOS!B1257-1),"")</f>
        <v>-0.01162490313</v>
      </c>
      <c r="C1258" s="7">
        <f>IFERROR(IF(OR(PRECIOS!C1258="",PRECIOS!C1257=""),"",PRECIOS!C1258/PRECIOS!C1257-1),"")</f>
        <v>-0.002260495156</v>
      </c>
      <c r="D1258" s="7">
        <f>IFERROR(IF(OR(PRECIOS!D1258="",PRECIOS!D1257=""),"",PRECIOS!D1258/PRECIOS!D1257-1),"")</f>
        <v>-0.005587777621</v>
      </c>
      <c r="E1258" s="7">
        <f>IFERROR(IF(OR(PRECIOS!E1258="",PRECIOS!E1257=""),"",PRECIOS!E1258/PRECIOS!E1257-1),"")</f>
        <v>0.001093286329</v>
      </c>
      <c r="F1258" s="7">
        <f>IFERROR(IF(OR(PRECIOS!F1258="",PRECIOS!F1257=""),"",PRECIOS!F1258/PRECIOS!F1257-1),"")</f>
        <v>-0.009070751865</v>
      </c>
      <c r="G1258" s="7">
        <f>IFERROR(IF(OR(PRECIOS!G1258="",PRECIOS!G1257=""),"",PRECIOS!G1258/PRECIOS!G1257-1),"")</f>
        <v>-0.01895206243</v>
      </c>
      <c r="H1258" s="7">
        <f>IFERROR(IF(OR(PRECIOS!H1258="",PRECIOS!H1257=""),"",PRECIOS!H1258/PRECIOS!H1257-1),"")</f>
        <v>-0.0113480055</v>
      </c>
      <c r="I1258" s="7">
        <f>IFERROR(IF(OR(PRECIOS!I1258="",PRECIOS!I1257=""),"",PRECIOS!I1258/PRECIOS!I1257-1),"")</f>
        <v>0.00530198248</v>
      </c>
    </row>
    <row r="1259" ht="15.75" customHeight="1">
      <c r="A1259" s="4" t="str">
        <f>IF(PRECIOS!A1259="","",PRECIOS!A1259)</f>
        <v/>
      </c>
      <c r="B1259" s="7" t="str">
        <f>IFERROR(IF(OR(PRECIOS!B1259="",PRECIOS!B1258=""),"",PRECIOS!B1259/PRECIOS!B1258-1),"")</f>
        <v/>
      </c>
      <c r="C1259" s="7" t="str">
        <f>IFERROR(IF(OR(PRECIOS!C1259="",PRECIOS!C1258=""),"",PRECIOS!C1259/PRECIOS!C1258-1),"")</f>
        <v/>
      </c>
      <c r="D1259" s="7" t="str">
        <f>IFERROR(IF(OR(PRECIOS!D1259="",PRECIOS!D1258=""),"",PRECIOS!D1259/PRECIOS!D1258-1),"")</f>
        <v/>
      </c>
      <c r="E1259" s="7" t="str">
        <f>IFERROR(IF(OR(PRECIOS!E1259="",PRECIOS!E1258=""),"",PRECIOS!E1259/PRECIOS!E1258-1),"")</f>
        <v/>
      </c>
      <c r="F1259" s="7" t="str">
        <f>IFERROR(IF(OR(PRECIOS!F1259="",PRECIOS!F1258=""),"",PRECIOS!F1259/PRECIOS!F1258-1),"")</f>
        <v/>
      </c>
      <c r="G1259" s="7" t="str">
        <f>IFERROR(IF(OR(PRECIOS!G1259="",PRECIOS!G1258=""),"",PRECIOS!G1259/PRECIOS!G1258-1),"")</f>
        <v/>
      </c>
      <c r="H1259" s="7" t="str">
        <f>IFERROR(IF(OR(PRECIOS!H1259="",PRECIOS!H1258=""),"",PRECIOS!H1259/PRECIOS!H1258-1),"")</f>
        <v/>
      </c>
      <c r="I1259" s="7" t="str">
        <f>IFERROR(IF(OR(PRECIOS!I1259="",PRECIOS!I1258=""),"",PRECIOS!I1259/PRECIOS!I1258-1),"")</f>
        <v/>
      </c>
    </row>
    <row r="1260" ht="15.75" customHeight="1">
      <c r="A1260" s="4" t="str">
        <f>IF(PRECIOS!A1260="","",PRECIOS!A1260)</f>
        <v/>
      </c>
      <c r="B1260" s="7" t="str">
        <f>IFERROR(IF(OR(PRECIOS!B1260="",PRECIOS!B1259=""),"",PRECIOS!B1260/PRECIOS!B1259-1),"")</f>
        <v/>
      </c>
      <c r="C1260" s="7" t="str">
        <f>IFERROR(IF(OR(PRECIOS!C1260="",PRECIOS!C1259=""),"",PRECIOS!C1260/PRECIOS!C1259-1),"")</f>
        <v/>
      </c>
      <c r="D1260" s="7" t="str">
        <f>IFERROR(IF(OR(PRECIOS!D1260="",PRECIOS!D1259=""),"",PRECIOS!D1260/PRECIOS!D1259-1),"")</f>
        <v/>
      </c>
      <c r="E1260" s="7" t="str">
        <f>IFERROR(IF(OR(PRECIOS!E1260="",PRECIOS!E1259=""),"",PRECIOS!E1260/PRECIOS!E1259-1),"")</f>
        <v/>
      </c>
      <c r="F1260" s="7" t="str">
        <f>IFERROR(IF(OR(PRECIOS!F1260="",PRECIOS!F1259=""),"",PRECIOS!F1260/PRECIOS!F1259-1),"")</f>
        <v/>
      </c>
      <c r="G1260" s="7" t="str">
        <f>IFERROR(IF(OR(PRECIOS!G1260="",PRECIOS!G1259=""),"",PRECIOS!G1260/PRECIOS!G1259-1),"")</f>
        <v/>
      </c>
      <c r="H1260" s="7" t="str">
        <f>IFERROR(IF(OR(PRECIOS!H1260="",PRECIOS!H1259=""),"",PRECIOS!H1260/PRECIOS!H1259-1),"")</f>
        <v/>
      </c>
      <c r="I1260" s="7" t="str">
        <f>IFERROR(IF(OR(PRECIOS!I1260="",PRECIOS!I1259=""),"",PRECIOS!I1260/PRECIOS!I1259-1),"")</f>
        <v/>
      </c>
    </row>
    <row r="1261" ht="15.75" customHeight="1">
      <c r="A1261" s="4" t="str">
        <f>IF(PRECIOS!A1261="","",PRECIOS!A1261)</f>
        <v/>
      </c>
      <c r="B1261" s="7" t="str">
        <f>IFERROR(IF(OR(PRECIOS!B1261="",PRECIOS!B1260=""),"",PRECIOS!B1261/PRECIOS!B1260-1),"")</f>
        <v/>
      </c>
      <c r="C1261" s="7" t="str">
        <f>IFERROR(IF(OR(PRECIOS!C1261="",PRECIOS!C1260=""),"",PRECIOS!C1261/PRECIOS!C1260-1),"")</f>
        <v/>
      </c>
      <c r="D1261" s="7" t="str">
        <f>IFERROR(IF(OR(PRECIOS!D1261="",PRECIOS!D1260=""),"",PRECIOS!D1261/PRECIOS!D1260-1),"")</f>
        <v/>
      </c>
      <c r="E1261" s="7" t="str">
        <f>IFERROR(IF(OR(PRECIOS!E1261="",PRECIOS!E1260=""),"",PRECIOS!E1261/PRECIOS!E1260-1),"")</f>
        <v/>
      </c>
      <c r="F1261" s="7" t="str">
        <f>IFERROR(IF(OR(PRECIOS!F1261="",PRECIOS!F1260=""),"",PRECIOS!F1261/PRECIOS!F1260-1),"")</f>
        <v/>
      </c>
      <c r="G1261" s="7" t="str">
        <f>IFERROR(IF(OR(PRECIOS!G1261="",PRECIOS!G1260=""),"",PRECIOS!G1261/PRECIOS!G1260-1),"")</f>
        <v/>
      </c>
      <c r="H1261" s="7" t="str">
        <f>IFERROR(IF(OR(PRECIOS!H1261="",PRECIOS!H1260=""),"",PRECIOS!H1261/PRECIOS!H1260-1),"")</f>
        <v/>
      </c>
      <c r="I1261" s="7" t="str">
        <f>IFERROR(IF(OR(PRECIOS!I1261="",PRECIOS!I1260=""),"",PRECIOS!I1261/PRECIOS!I1260-1),"")</f>
        <v/>
      </c>
    </row>
    <row r="1262" ht="15.75" customHeight="1">
      <c r="A1262" s="4" t="str">
        <f>IF(PRECIOS!A1262="","",PRECIOS!A1262)</f>
        <v/>
      </c>
      <c r="B1262" s="7" t="str">
        <f>IFERROR(IF(OR(PRECIOS!B1262="",PRECIOS!B1261=""),"",PRECIOS!B1262/PRECIOS!B1261-1),"")</f>
        <v/>
      </c>
      <c r="C1262" s="7" t="str">
        <f>IFERROR(IF(OR(PRECIOS!C1262="",PRECIOS!C1261=""),"",PRECIOS!C1262/PRECIOS!C1261-1),"")</f>
        <v/>
      </c>
      <c r="D1262" s="7" t="str">
        <f>IFERROR(IF(OR(PRECIOS!D1262="",PRECIOS!D1261=""),"",PRECIOS!D1262/PRECIOS!D1261-1),"")</f>
        <v/>
      </c>
      <c r="E1262" s="7" t="str">
        <f>IFERROR(IF(OR(PRECIOS!E1262="",PRECIOS!E1261=""),"",PRECIOS!E1262/PRECIOS!E1261-1),"")</f>
        <v/>
      </c>
      <c r="F1262" s="7" t="str">
        <f>IFERROR(IF(OR(PRECIOS!F1262="",PRECIOS!F1261=""),"",PRECIOS!F1262/PRECIOS!F1261-1),"")</f>
        <v/>
      </c>
      <c r="G1262" s="7" t="str">
        <f>IFERROR(IF(OR(PRECIOS!G1262="",PRECIOS!G1261=""),"",PRECIOS!G1262/PRECIOS!G1261-1),"")</f>
        <v/>
      </c>
      <c r="H1262" s="7" t="str">
        <f>IFERROR(IF(OR(PRECIOS!H1262="",PRECIOS!H1261=""),"",PRECIOS!H1262/PRECIOS!H1261-1),"")</f>
        <v/>
      </c>
      <c r="I1262" s="7" t="str">
        <f>IFERROR(IF(OR(PRECIOS!I1262="",PRECIOS!I1261=""),"",PRECIOS!I1262/PRECIOS!I1261-1),"")</f>
        <v/>
      </c>
    </row>
    <row r="1263" ht="15.75" customHeight="1">
      <c r="A1263" s="4" t="str">
        <f>IF(PRECIOS!A1263="","",PRECIOS!A1263)</f>
        <v/>
      </c>
      <c r="B1263" s="7" t="str">
        <f>IFERROR(IF(OR(PRECIOS!B1263="",PRECIOS!B1262=""),"",PRECIOS!B1263/PRECIOS!B1262-1),"")</f>
        <v/>
      </c>
      <c r="C1263" s="7" t="str">
        <f>IFERROR(IF(OR(PRECIOS!C1263="",PRECIOS!C1262=""),"",PRECIOS!C1263/PRECIOS!C1262-1),"")</f>
        <v/>
      </c>
      <c r="D1263" s="7" t="str">
        <f>IFERROR(IF(OR(PRECIOS!D1263="",PRECIOS!D1262=""),"",PRECIOS!D1263/PRECIOS!D1262-1),"")</f>
        <v/>
      </c>
      <c r="E1263" s="7" t="str">
        <f>IFERROR(IF(OR(PRECIOS!E1263="",PRECIOS!E1262=""),"",PRECIOS!E1263/PRECIOS!E1262-1),"")</f>
        <v/>
      </c>
      <c r="F1263" s="7" t="str">
        <f>IFERROR(IF(OR(PRECIOS!F1263="",PRECIOS!F1262=""),"",PRECIOS!F1263/PRECIOS!F1262-1),"")</f>
        <v/>
      </c>
      <c r="G1263" s="7" t="str">
        <f>IFERROR(IF(OR(PRECIOS!G1263="",PRECIOS!G1262=""),"",PRECIOS!G1263/PRECIOS!G1262-1),"")</f>
        <v/>
      </c>
      <c r="H1263" s="7" t="str">
        <f>IFERROR(IF(OR(PRECIOS!H1263="",PRECIOS!H1262=""),"",PRECIOS!H1263/PRECIOS!H1262-1),"")</f>
        <v/>
      </c>
      <c r="I1263" s="7" t="str">
        <f>IFERROR(IF(OR(PRECIOS!I1263="",PRECIOS!I1262=""),"",PRECIOS!I1263/PRECIOS!I1262-1),"")</f>
        <v/>
      </c>
    </row>
    <row r="1264" ht="15.75" customHeight="1">
      <c r="A1264" s="4" t="str">
        <f>IF(PRECIOS!A1264="","",PRECIOS!A1264)</f>
        <v/>
      </c>
      <c r="B1264" s="7" t="str">
        <f>IFERROR(IF(OR(PRECIOS!B1264="",PRECIOS!B1263=""),"",PRECIOS!B1264/PRECIOS!B1263-1),"")</f>
        <v/>
      </c>
      <c r="C1264" s="7" t="str">
        <f>IFERROR(IF(OR(PRECIOS!C1264="",PRECIOS!C1263=""),"",PRECIOS!C1264/PRECIOS!C1263-1),"")</f>
        <v/>
      </c>
      <c r="D1264" s="7" t="str">
        <f>IFERROR(IF(OR(PRECIOS!D1264="",PRECIOS!D1263=""),"",PRECIOS!D1264/PRECIOS!D1263-1),"")</f>
        <v/>
      </c>
      <c r="E1264" s="7" t="str">
        <f>IFERROR(IF(OR(PRECIOS!E1264="",PRECIOS!E1263=""),"",PRECIOS!E1264/PRECIOS!E1263-1),"")</f>
        <v/>
      </c>
      <c r="F1264" s="7" t="str">
        <f>IFERROR(IF(OR(PRECIOS!F1264="",PRECIOS!F1263=""),"",PRECIOS!F1264/PRECIOS!F1263-1),"")</f>
        <v/>
      </c>
      <c r="G1264" s="7" t="str">
        <f>IFERROR(IF(OR(PRECIOS!G1264="",PRECIOS!G1263=""),"",PRECIOS!G1264/PRECIOS!G1263-1),"")</f>
        <v/>
      </c>
      <c r="H1264" s="7" t="str">
        <f>IFERROR(IF(OR(PRECIOS!H1264="",PRECIOS!H1263=""),"",PRECIOS!H1264/PRECIOS!H1263-1),"")</f>
        <v/>
      </c>
      <c r="I1264" s="7" t="str">
        <f>IFERROR(IF(OR(PRECIOS!I1264="",PRECIOS!I1263=""),"",PRECIOS!I1264/PRECIOS!I1263-1),"")</f>
        <v/>
      </c>
    </row>
    <row r="1265" ht="15.75" customHeight="1">
      <c r="A1265" s="4" t="str">
        <f>IF(PRECIOS!A1265="","",PRECIOS!A1265)</f>
        <v/>
      </c>
      <c r="B1265" s="7" t="str">
        <f>IFERROR(IF(OR(PRECIOS!B1265="",PRECIOS!B1264=""),"",PRECIOS!B1265/PRECIOS!B1264-1),"")</f>
        <v/>
      </c>
      <c r="C1265" s="7" t="str">
        <f>IFERROR(IF(OR(PRECIOS!C1265="",PRECIOS!C1264=""),"",PRECIOS!C1265/PRECIOS!C1264-1),"")</f>
        <v/>
      </c>
      <c r="D1265" s="7" t="str">
        <f>IFERROR(IF(OR(PRECIOS!D1265="",PRECIOS!D1264=""),"",PRECIOS!D1265/PRECIOS!D1264-1),"")</f>
        <v/>
      </c>
      <c r="E1265" s="7" t="str">
        <f>IFERROR(IF(OR(PRECIOS!E1265="",PRECIOS!E1264=""),"",PRECIOS!E1265/PRECIOS!E1264-1),"")</f>
        <v/>
      </c>
      <c r="F1265" s="7" t="str">
        <f>IFERROR(IF(OR(PRECIOS!F1265="",PRECIOS!F1264=""),"",PRECIOS!F1265/PRECIOS!F1264-1),"")</f>
        <v/>
      </c>
      <c r="G1265" s="7" t="str">
        <f>IFERROR(IF(OR(PRECIOS!G1265="",PRECIOS!G1264=""),"",PRECIOS!G1265/PRECIOS!G1264-1),"")</f>
        <v/>
      </c>
      <c r="H1265" s="7" t="str">
        <f>IFERROR(IF(OR(PRECIOS!H1265="",PRECIOS!H1264=""),"",PRECIOS!H1265/PRECIOS!H1264-1),"")</f>
        <v/>
      </c>
      <c r="I1265" s="7" t="str">
        <f>IFERROR(IF(OR(PRECIOS!I1265="",PRECIOS!I1264=""),"",PRECIOS!I1265/PRECIOS!I1264-1),"")</f>
        <v/>
      </c>
    </row>
    <row r="1266" ht="15.75" customHeight="1">
      <c r="A1266" s="4" t="str">
        <f>IF(PRECIOS!A1266="","",PRECIOS!A1266)</f>
        <v/>
      </c>
      <c r="B1266" s="7" t="str">
        <f>IFERROR(IF(OR(PRECIOS!B1266="",PRECIOS!B1265=""),"",PRECIOS!B1266/PRECIOS!B1265-1),"")</f>
        <v/>
      </c>
      <c r="C1266" s="7" t="str">
        <f>IFERROR(IF(OR(PRECIOS!C1266="",PRECIOS!C1265=""),"",PRECIOS!C1266/PRECIOS!C1265-1),"")</f>
        <v/>
      </c>
      <c r="D1266" s="7" t="str">
        <f>IFERROR(IF(OR(PRECIOS!D1266="",PRECIOS!D1265=""),"",PRECIOS!D1266/PRECIOS!D1265-1),"")</f>
        <v/>
      </c>
      <c r="E1266" s="7" t="str">
        <f>IFERROR(IF(OR(PRECIOS!E1266="",PRECIOS!E1265=""),"",PRECIOS!E1266/PRECIOS!E1265-1),"")</f>
        <v/>
      </c>
      <c r="F1266" s="7" t="str">
        <f>IFERROR(IF(OR(PRECIOS!F1266="",PRECIOS!F1265=""),"",PRECIOS!F1266/PRECIOS!F1265-1),"")</f>
        <v/>
      </c>
      <c r="G1266" s="7" t="str">
        <f>IFERROR(IF(OR(PRECIOS!G1266="",PRECIOS!G1265=""),"",PRECIOS!G1266/PRECIOS!G1265-1),"")</f>
        <v/>
      </c>
      <c r="H1266" s="7" t="str">
        <f>IFERROR(IF(OR(PRECIOS!H1266="",PRECIOS!H1265=""),"",PRECIOS!H1266/PRECIOS!H1265-1),"")</f>
        <v/>
      </c>
      <c r="I1266" s="7" t="str">
        <f>IFERROR(IF(OR(PRECIOS!I1266="",PRECIOS!I1265=""),"",PRECIOS!I1266/PRECIOS!I1265-1),"")</f>
        <v/>
      </c>
    </row>
    <row r="1267" ht="15.75" customHeight="1">
      <c r="A1267" s="4" t="str">
        <f>IF(PRECIOS!A1267="","",PRECIOS!A1267)</f>
        <v/>
      </c>
      <c r="B1267" s="7" t="str">
        <f>IFERROR(IF(OR(PRECIOS!B1267="",PRECIOS!B1266=""),"",PRECIOS!B1267/PRECIOS!B1266-1),"")</f>
        <v/>
      </c>
      <c r="C1267" s="7" t="str">
        <f>IFERROR(IF(OR(PRECIOS!C1267="",PRECIOS!C1266=""),"",PRECIOS!C1267/PRECIOS!C1266-1),"")</f>
        <v/>
      </c>
      <c r="D1267" s="7" t="str">
        <f>IFERROR(IF(OR(PRECIOS!D1267="",PRECIOS!D1266=""),"",PRECIOS!D1267/PRECIOS!D1266-1),"")</f>
        <v/>
      </c>
      <c r="E1267" s="7" t="str">
        <f>IFERROR(IF(OR(PRECIOS!E1267="",PRECIOS!E1266=""),"",PRECIOS!E1267/PRECIOS!E1266-1),"")</f>
        <v/>
      </c>
      <c r="F1267" s="7" t="str">
        <f>IFERROR(IF(OR(PRECIOS!F1267="",PRECIOS!F1266=""),"",PRECIOS!F1267/PRECIOS!F1266-1),"")</f>
        <v/>
      </c>
      <c r="G1267" s="7" t="str">
        <f>IFERROR(IF(OR(PRECIOS!G1267="",PRECIOS!G1266=""),"",PRECIOS!G1267/PRECIOS!G1266-1),"")</f>
        <v/>
      </c>
      <c r="H1267" s="7" t="str">
        <f>IFERROR(IF(OR(PRECIOS!H1267="",PRECIOS!H1266=""),"",PRECIOS!H1267/PRECIOS!H1266-1),"")</f>
        <v/>
      </c>
      <c r="I1267" s="7" t="str">
        <f>IFERROR(IF(OR(PRECIOS!I1267="",PRECIOS!I1266=""),"",PRECIOS!I1267/PRECIOS!I1266-1),"")</f>
        <v/>
      </c>
    </row>
    <row r="1268" ht="15.75" customHeight="1">
      <c r="A1268" s="4" t="str">
        <f>IF(PRECIOS!A1268="","",PRECIOS!A1268)</f>
        <v/>
      </c>
      <c r="B1268" s="7" t="str">
        <f>IFERROR(IF(OR(PRECIOS!B1268="",PRECIOS!B1267=""),"",PRECIOS!B1268/PRECIOS!B1267-1),"")</f>
        <v/>
      </c>
      <c r="C1268" s="7" t="str">
        <f>IFERROR(IF(OR(PRECIOS!C1268="",PRECIOS!C1267=""),"",PRECIOS!C1268/PRECIOS!C1267-1),"")</f>
        <v/>
      </c>
      <c r="D1268" s="7" t="str">
        <f>IFERROR(IF(OR(PRECIOS!D1268="",PRECIOS!D1267=""),"",PRECIOS!D1268/PRECIOS!D1267-1),"")</f>
        <v/>
      </c>
      <c r="E1268" s="7" t="str">
        <f>IFERROR(IF(OR(PRECIOS!E1268="",PRECIOS!E1267=""),"",PRECIOS!E1268/PRECIOS!E1267-1),"")</f>
        <v/>
      </c>
      <c r="F1268" s="7" t="str">
        <f>IFERROR(IF(OR(PRECIOS!F1268="",PRECIOS!F1267=""),"",PRECIOS!F1268/PRECIOS!F1267-1),"")</f>
        <v/>
      </c>
      <c r="G1268" s="7" t="str">
        <f>IFERROR(IF(OR(PRECIOS!G1268="",PRECIOS!G1267=""),"",PRECIOS!G1268/PRECIOS!G1267-1),"")</f>
        <v/>
      </c>
      <c r="H1268" s="7" t="str">
        <f>IFERROR(IF(OR(PRECIOS!H1268="",PRECIOS!H1267=""),"",PRECIOS!H1268/PRECIOS!H1267-1),"")</f>
        <v/>
      </c>
      <c r="I1268" s="7" t="str">
        <f>IFERROR(IF(OR(PRECIOS!I1268="",PRECIOS!I1267=""),"",PRECIOS!I1268/PRECIOS!I1267-1),"")</f>
        <v/>
      </c>
    </row>
    <row r="1269" ht="15.75" customHeight="1">
      <c r="A1269" s="4" t="str">
        <f>IF(PRECIOS!A1269="","",PRECIOS!A1269)</f>
        <v/>
      </c>
      <c r="B1269" s="7" t="str">
        <f>IFERROR(IF(OR(PRECIOS!B1269="",PRECIOS!B1268=""),"",PRECIOS!B1269/PRECIOS!B1268-1),"")</f>
        <v/>
      </c>
      <c r="C1269" s="7" t="str">
        <f>IFERROR(IF(OR(PRECIOS!C1269="",PRECIOS!C1268=""),"",PRECIOS!C1269/PRECIOS!C1268-1),"")</f>
        <v/>
      </c>
      <c r="D1269" s="7" t="str">
        <f>IFERROR(IF(OR(PRECIOS!D1269="",PRECIOS!D1268=""),"",PRECIOS!D1269/PRECIOS!D1268-1),"")</f>
        <v/>
      </c>
      <c r="E1269" s="7" t="str">
        <f>IFERROR(IF(OR(PRECIOS!E1269="",PRECIOS!E1268=""),"",PRECIOS!E1269/PRECIOS!E1268-1),"")</f>
        <v/>
      </c>
      <c r="F1269" s="7" t="str">
        <f>IFERROR(IF(OR(PRECIOS!F1269="",PRECIOS!F1268=""),"",PRECIOS!F1269/PRECIOS!F1268-1),"")</f>
        <v/>
      </c>
      <c r="G1269" s="7" t="str">
        <f>IFERROR(IF(OR(PRECIOS!G1269="",PRECIOS!G1268=""),"",PRECIOS!G1269/PRECIOS!G1268-1),"")</f>
        <v/>
      </c>
      <c r="H1269" s="7" t="str">
        <f>IFERROR(IF(OR(PRECIOS!H1269="",PRECIOS!H1268=""),"",PRECIOS!H1269/PRECIOS!H1268-1),"")</f>
        <v/>
      </c>
      <c r="I1269" s="7" t="str">
        <f>IFERROR(IF(OR(PRECIOS!I1269="",PRECIOS!I1268=""),"",PRECIOS!I1269/PRECIOS!I1268-1),"")</f>
        <v/>
      </c>
    </row>
    <row r="1270" ht="15.75" customHeight="1">
      <c r="A1270" s="4" t="str">
        <f>IF(PRECIOS!A1270="","",PRECIOS!A1270)</f>
        <v/>
      </c>
      <c r="B1270" s="7" t="str">
        <f>IFERROR(IF(OR(PRECIOS!B1270="",PRECIOS!B1269=""),"",PRECIOS!B1270/PRECIOS!B1269-1),"")</f>
        <v/>
      </c>
      <c r="C1270" s="7" t="str">
        <f>IFERROR(IF(OR(PRECIOS!C1270="",PRECIOS!C1269=""),"",PRECIOS!C1270/PRECIOS!C1269-1),"")</f>
        <v/>
      </c>
      <c r="D1270" s="7" t="str">
        <f>IFERROR(IF(OR(PRECIOS!D1270="",PRECIOS!D1269=""),"",PRECIOS!D1270/PRECIOS!D1269-1),"")</f>
        <v/>
      </c>
      <c r="E1270" s="7" t="str">
        <f>IFERROR(IF(OR(PRECIOS!E1270="",PRECIOS!E1269=""),"",PRECIOS!E1270/PRECIOS!E1269-1),"")</f>
        <v/>
      </c>
      <c r="F1270" s="7" t="str">
        <f>IFERROR(IF(OR(PRECIOS!F1270="",PRECIOS!F1269=""),"",PRECIOS!F1270/PRECIOS!F1269-1),"")</f>
        <v/>
      </c>
      <c r="G1270" s="7" t="str">
        <f>IFERROR(IF(OR(PRECIOS!G1270="",PRECIOS!G1269=""),"",PRECIOS!G1270/PRECIOS!G1269-1),"")</f>
        <v/>
      </c>
      <c r="H1270" s="7" t="str">
        <f>IFERROR(IF(OR(PRECIOS!H1270="",PRECIOS!H1269=""),"",PRECIOS!H1270/PRECIOS!H1269-1),"")</f>
        <v/>
      </c>
      <c r="I1270" s="7" t="str">
        <f>IFERROR(IF(OR(PRECIOS!I1270="",PRECIOS!I1269=""),"",PRECIOS!I1270/PRECIOS!I1269-1),"")</f>
        <v/>
      </c>
    </row>
    <row r="1271" ht="15.75" customHeight="1">
      <c r="A1271" s="4" t="str">
        <f>IF(PRECIOS!A1271="","",PRECIOS!A1271)</f>
        <v/>
      </c>
      <c r="B1271" s="7" t="str">
        <f>IFERROR(IF(OR(PRECIOS!B1271="",PRECIOS!B1270=""),"",PRECIOS!B1271/PRECIOS!B1270-1),"")</f>
        <v/>
      </c>
      <c r="C1271" s="7" t="str">
        <f>IFERROR(IF(OR(PRECIOS!C1271="",PRECIOS!C1270=""),"",PRECIOS!C1271/PRECIOS!C1270-1),"")</f>
        <v/>
      </c>
      <c r="D1271" s="7" t="str">
        <f>IFERROR(IF(OR(PRECIOS!D1271="",PRECIOS!D1270=""),"",PRECIOS!D1271/PRECIOS!D1270-1),"")</f>
        <v/>
      </c>
      <c r="E1271" s="7" t="str">
        <f>IFERROR(IF(OR(PRECIOS!E1271="",PRECIOS!E1270=""),"",PRECIOS!E1271/PRECIOS!E1270-1),"")</f>
        <v/>
      </c>
      <c r="F1271" s="7" t="str">
        <f>IFERROR(IF(OR(PRECIOS!F1271="",PRECIOS!F1270=""),"",PRECIOS!F1271/PRECIOS!F1270-1),"")</f>
        <v/>
      </c>
      <c r="G1271" s="7" t="str">
        <f>IFERROR(IF(OR(PRECIOS!G1271="",PRECIOS!G1270=""),"",PRECIOS!G1271/PRECIOS!G1270-1),"")</f>
        <v/>
      </c>
      <c r="H1271" s="7" t="str">
        <f>IFERROR(IF(OR(PRECIOS!H1271="",PRECIOS!H1270=""),"",PRECIOS!H1271/PRECIOS!H1270-1),"")</f>
        <v/>
      </c>
      <c r="I1271" s="7" t="str">
        <f>IFERROR(IF(OR(PRECIOS!I1271="",PRECIOS!I1270=""),"",PRECIOS!I1271/PRECIOS!I1270-1),"")</f>
        <v/>
      </c>
    </row>
    <row r="1272" ht="15.75" customHeight="1">
      <c r="A1272" s="4" t="str">
        <f>IF(PRECIOS!A1272="","",PRECIOS!A1272)</f>
        <v/>
      </c>
      <c r="B1272" s="7" t="str">
        <f>IFERROR(IF(OR(PRECIOS!B1272="",PRECIOS!B1271=""),"",PRECIOS!B1272/PRECIOS!B1271-1),"")</f>
        <v/>
      </c>
      <c r="C1272" s="7" t="str">
        <f>IFERROR(IF(OR(PRECIOS!C1272="",PRECIOS!C1271=""),"",PRECIOS!C1272/PRECIOS!C1271-1),"")</f>
        <v/>
      </c>
      <c r="D1272" s="7" t="str">
        <f>IFERROR(IF(OR(PRECIOS!D1272="",PRECIOS!D1271=""),"",PRECIOS!D1272/PRECIOS!D1271-1),"")</f>
        <v/>
      </c>
      <c r="E1272" s="7" t="str">
        <f>IFERROR(IF(OR(PRECIOS!E1272="",PRECIOS!E1271=""),"",PRECIOS!E1272/PRECIOS!E1271-1),"")</f>
        <v/>
      </c>
      <c r="F1272" s="7" t="str">
        <f>IFERROR(IF(OR(PRECIOS!F1272="",PRECIOS!F1271=""),"",PRECIOS!F1272/PRECIOS!F1271-1),"")</f>
        <v/>
      </c>
      <c r="G1272" s="7" t="str">
        <f>IFERROR(IF(OR(PRECIOS!G1272="",PRECIOS!G1271=""),"",PRECIOS!G1272/PRECIOS!G1271-1),"")</f>
        <v/>
      </c>
      <c r="H1272" s="7" t="str">
        <f>IFERROR(IF(OR(PRECIOS!H1272="",PRECIOS!H1271=""),"",PRECIOS!H1272/PRECIOS!H1271-1),"")</f>
        <v/>
      </c>
      <c r="I1272" s="7" t="str">
        <f>IFERROR(IF(OR(PRECIOS!I1272="",PRECIOS!I1271=""),"",PRECIOS!I1272/PRECIOS!I1271-1),"")</f>
        <v/>
      </c>
    </row>
    <row r="1273" ht="15.75" customHeight="1">
      <c r="A1273" s="4" t="str">
        <f>IF(PRECIOS!A1273="","",PRECIOS!A1273)</f>
        <v/>
      </c>
      <c r="B1273" s="7" t="str">
        <f>IFERROR(IF(OR(PRECIOS!B1273="",PRECIOS!B1272=""),"",PRECIOS!B1273/PRECIOS!B1272-1),"")</f>
        <v/>
      </c>
      <c r="C1273" s="7" t="str">
        <f>IFERROR(IF(OR(PRECIOS!C1273="",PRECIOS!C1272=""),"",PRECIOS!C1273/PRECIOS!C1272-1),"")</f>
        <v/>
      </c>
      <c r="D1273" s="7" t="str">
        <f>IFERROR(IF(OR(PRECIOS!D1273="",PRECIOS!D1272=""),"",PRECIOS!D1273/PRECIOS!D1272-1),"")</f>
        <v/>
      </c>
      <c r="E1273" s="7" t="str">
        <f>IFERROR(IF(OR(PRECIOS!E1273="",PRECIOS!E1272=""),"",PRECIOS!E1273/PRECIOS!E1272-1),"")</f>
        <v/>
      </c>
      <c r="F1273" s="7" t="str">
        <f>IFERROR(IF(OR(PRECIOS!F1273="",PRECIOS!F1272=""),"",PRECIOS!F1273/PRECIOS!F1272-1),"")</f>
        <v/>
      </c>
      <c r="G1273" s="7" t="str">
        <f>IFERROR(IF(OR(PRECIOS!G1273="",PRECIOS!G1272=""),"",PRECIOS!G1273/PRECIOS!G1272-1),"")</f>
        <v/>
      </c>
      <c r="H1273" s="7" t="str">
        <f>IFERROR(IF(OR(PRECIOS!H1273="",PRECIOS!H1272=""),"",PRECIOS!H1273/PRECIOS!H1272-1),"")</f>
        <v/>
      </c>
      <c r="I1273" s="7" t="str">
        <f>IFERROR(IF(OR(PRECIOS!I1273="",PRECIOS!I1272=""),"",PRECIOS!I1273/PRECIOS!I1272-1),"")</f>
        <v/>
      </c>
    </row>
    <row r="1274" ht="15.75" customHeight="1">
      <c r="A1274" s="4" t="str">
        <f>IF(PRECIOS!A1274="","",PRECIOS!A1274)</f>
        <v/>
      </c>
      <c r="B1274" s="7" t="str">
        <f>IFERROR(IF(OR(PRECIOS!B1274="",PRECIOS!B1273=""),"",PRECIOS!B1274/PRECIOS!B1273-1),"")</f>
        <v/>
      </c>
      <c r="C1274" s="7" t="str">
        <f>IFERROR(IF(OR(PRECIOS!C1274="",PRECIOS!C1273=""),"",PRECIOS!C1274/PRECIOS!C1273-1),"")</f>
        <v/>
      </c>
      <c r="D1274" s="7" t="str">
        <f>IFERROR(IF(OR(PRECIOS!D1274="",PRECIOS!D1273=""),"",PRECIOS!D1274/PRECIOS!D1273-1),"")</f>
        <v/>
      </c>
      <c r="E1274" s="7" t="str">
        <f>IFERROR(IF(OR(PRECIOS!E1274="",PRECIOS!E1273=""),"",PRECIOS!E1274/PRECIOS!E1273-1),"")</f>
        <v/>
      </c>
      <c r="F1274" s="7" t="str">
        <f>IFERROR(IF(OR(PRECIOS!F1274="",PRECIOS!F1273=""),"",PRECIOS!F1274/PRECIOS!F1273-1),"")</f>
        <v/>
      </c>
      <c r="G1274" s="7" t="str">
        <f>IFERROR(IF(OR(PRECIOS!G1274="",PRECIOS!G1273=""),"",PRECIOS!G1274/PRECIOS!G1273-1),"")</f>
        <v/>
      </c>
      <c r="H1274" s="7" t="str">
        <f>IFERROR(IF(OR(PRECIOS!H1274="",PRECIOS!H1273=""),"",PRECIOS!H1274/PRECIOS!H1273-1),"")</f>
        <v/>
      </c>
      <c r="I1274" s="7" t="str">
        <f>IFERROR(IF(OR(PRECIOS!I1274="",PRECIOS!I1273=""),"",PRECIOS!I1274/PRECIOS!I1273-1),"")</f>
        <v/>
      </c>
    </row>
    <row r="1275" ht="15.75" customHeight="1">
      <c r="A1275" s="4" t="str">
        <f>IF(PRECIOS!A1275="","",PRECIOS!A1275)</f>
        <v/>
      </c>
      <c r="B1275" s="7" t="str">
        <f>IFERROR(IF(OR(PRECIOS!B1275="",PRECIOS!B1274=""),"",PRECIOS!B1275/PRECIOS!B1274-1),"")</f>
        <v/>
      </c>
      <c r="C1275" s="7" t="str">
        <f>IFERROR(IF(OR(PRECIOS!C1275="",PRECIOS!C1274=""),"",PRECIOS!C1275/PRECIOS!C1274-1),"")</f>
        <v/>
      </c>
      <c r="D1275" s="7" t="str">
        <f>IFERROR(IF(OR(PRECIOS!D1275="",PRECIOS!D1274=""),"",PRECIOS!D1275/PRECIOS!D1274-1),"")</f>
        <v/>
      </c>
      <c r="E1275" s="7" t="str">
        <f>IFERROR(IF(OR(PRECIOS!E1275="",PRECIOS!E1274=""),"",PRECIOS!E1275/PRECIOS!E1274-1),"")</f>
        <v/>
      </c>
      <c r="F1275" s="7" t="str">
        <f>IFERROR(IF(OR(PRECIOS!F1275="",PRECIOS!F1274=""),"",PRECIOS!F1275/PRECIOS!F1274-1),"")</f>
        <v/>
      </c>
      <c r="G1275" s="7" t="str">
        <f>IFERROR(IF(OR(PRECIOS!G1275="",PRECIOS!G1274=""),"",PRECIOS!G1275/PRECIOS!G1274-1),"")</f>
        <v/>
      </c>
      <c r="H1275" s="7" t="str">
        <f>IFERROR(IF(OR(PRECIOS!H1275="",PRECIOS!H1274=""),"",PRECIOS!H1275/PRECIOS!H1274-1),"")</f>
        <v/>
      </c>
      <c r="I1275" s="7" t="str">
        <f>IFERROR(IF(OR(PRECIOS!I1275="",PRECIOS!I1274=""),"",PRECIOS!I1275/PRECIOS!I1274-1),"")</f>
        <v/>
      </c>
    </row>
    <row r="1276" ht="15.75" customHeight="1">
      <c r="A1276" s="4" t="str">
        <f>IF(PRECIOS!A1276="","",PRECIOS!A1276)</f>
        <v/>
      </c>
      <c r="B1276" s="7" t="str">
        <f>IFERROR(IF(OR(PRECIOS!B1276="",PRECIOS!B1275=""),"",PRECIOS!B1276/PRECIOS!B1275-1),"")</f>
        <v/>
      </c>
      <c r="C1276" s="7" t="str">
        <f>IFERROR(IF(OR(PRECIOS!C1276="",PRECIOS!C1275=""),"",PRECIOS!C1276/PRECIOS!C1275-1),"")</f>
        <v/>
      </c>
      <c r="D1276" s="7" t="str">
        <f>IFERROR(IF(OR(PRECIOS!D1276="",PRECIOS!D1275=""),"",PRECIOS!D1276/PRECIOS!D1275-1),"")</f>
        <v/>
      </c>
      <c r="E1276" s="7" t="str">
        <f>IFERROR(IF(OR(PRECIOS!E1276="",PRECIOS!E1275=""),"",PRECIOS!E1276/PRECIOS!E1275-1),"")</f>
        <v/>
      </c>
      <c r="F1276" s="7" t="str">
        <f>IFERROR(IF(OR(PRECIOS!F1276="",PRECIOS!F1275=""),"",PRECIOS!F1276/PRECIOS!F1275-1),"")</f>
        <v/>
      </c>
      <c r="G1276" s="7" t="str">
        <f>IFERROR(IF(OR(PRECIOS!G1276="",PRECIOS!G1275=""),"",PRECIOS!G1276/PRECIOS!G1275-1),"")</f>
        <v/>
      </c>
      <c r="H1276" s="7" t="str">
        <f>IFERROR(IF(OR(PRECIOS!H1276="",PRECIOS!H1275=""),"",PRECIOS!H1276/PRECIOS!H1275-1),"")</f>
        <v/>
      </c>
      <c r="I1276" s="7" t="str">
        <f>IFERROR(IF(OR(PRECIOS!I1276="",PRECIOS!I1275=""),"",PRECIOS!I1276/PRECIOS!I1275-1),"")</f>
        <v/>
      </c>
    </row>
    <row r="1277" ht="15.75" customHeight="1">
      <c r="A1277" s="4" t="str">
        <f>IF(PRECIOS!A1277="","",PRECIOS!A1277)</f>
        <v/>
      </c>
      <c r="B1277" s="7" t="str">
        <f>IFERROR(IF(OR(PRECIOS!B1277="",PRECIOS!B1276=""),"",PRECIOS!B1277/PRECIOS!B1276-1),"")</f>
        <v/>
      </c>
      <c r="C1277" s="7" t="str">
        <f>IFERROR(IF(OR(PRECIOS!C1277="",PRECIOS!C1276=""),"",PRECIOS!C1277/PRECIOS!C1276-1),"")</f>
        <v/>
      </c>
      <c r="D1277" s="7" t="str">
        <f>IFERROR(IF(OR(PRECIOS!D1277="",PRECIOS!D1276=""),"",PRECIOS!D1277/PRECIOS!D1276-1),"")</f>
        <v/>
      </c>
      <c r="E1277" s="7" t="str">
        <f>IFERROR(IF(OR(PRECIOS!E1277="",PRECIOS!E1276=""),"",PRECIOS!E1277/PRECIOS!E1276-1),"")</f>
        <v/>
      </c>
      <c r="F1277" s="7" t="str">
        <f>IFERROR(IF(OR(PRECIOS!F1277="",PRECIOS!F1276=""),"",PRECIOS!F1277/PRECIOS!F1276-1),"")</f>
        <v/>
      </c>
      <c r="G1277" s="7" t="str">
        <f>IFERROR(IF(OR(PRECIOS!G1277="",PRECIOS!G1276=""),"",PRECIOS!G1277/PRECIOS!G1276-1),"")</f>
        <v/>
      </c>
      <c r="H1277" s="7" t="str">
        <f>IFERROR(IF(OR(PRECIOS!H1277="",PRECIOS!H1276=""),"",PRECIOS!H1277/PRECIOS!H1276-1),"")</f>
        <v/>
      </c>
      <c r="I1277" s="7" t="str">
        <f>IFERROR(IF(OR(PRECIOS!I1277="",PRECIOS!I1276=""),"",PRECIOS!I1277/PRECIOS!I1276-1),"")</f>
        <v/>
      </c>
    </row>
    <row r="1278" ht="15.75" customHeight="1">
      <c r="A1278" s="4" t="str">
        <f>IF(PRECIOS!A1278="","",PRECIOS!A1278)</f>
        <v/>
      </c>
      <c r="B1278" s="7" t="str">
        <f>IFERROR(IF(OR(PRECIOS!B1278="",PRECIOS!B1277=""),"",PRECIOS!B1278/PRECIOS!B1277-1),"")</f>
        <v/>
      </c>
      <c r="C1278" s="7" t="str">
        <f>IFERROR(IF(OR(PRECIOS!C1278="",PRECIOS!C1277=""),"",PRECIOS!C1278/PRECIOS!C1277-1),"")</f>
        <v/>
      </c>
      <c r="D1278" s="7" t="str">
        <f>IFERROR(IF(OR(PRECIOS!D1278="",PRECIOS!D1277=""),"",PRECIOS!D1278/PRECIOS!D1277-1),"")</f>
        <v/>
      </c>
      <c r="E1278" s="7" t="str">
        <f>IFERROR(IF(OR(PRECIOS!E1278="",PRECIOS!E1277=""),"",PRECIOS!E1278/PRECIOS!E1277-1),"")</f>
        <v/>
      </c>
      <c r="F1278" s="7" t="str">
        <f>IFERROR(IF(OR(PRECIOS!F1278="",PRECIOS!F1277=""),"",PRECIOS!F1278/PRECIOS!F1277-1),"")</f>
        <v/>
      </c>
      <c r="G1278" s="7" t="str">
        <f>IFERROR(IF(OR(PRECIOS!G1278="",PRECIOS!G1277=""),"",PRECIOS!G1278/PRECIOS!G1277-1),"")</f>
        <v/>
      </c>
      <c r="H1278" s="7" t="str">
        <f>IFERROR(IF(OR(PRECIOS!H1278="",PRECIOS!H1277=""),"",PRECIOS!H1278/PRECIOS!H1277-1),"")</f>
        <v/>
      </c>
      <c r="I1278" s="7" t="str">
        <f>IFERROR(IF(OR(PRECIOS!I1278="",PRECIOS!I1277=""),"",PRECIOS!I1278/PRECIOS!I1277-1),"")</f>
        <v/>
      </c>
    </row>
    <row r="1279" ht="15.75" customHeight="1">
      <c r="A1279" s="4" t="str">
        <f>IF(PRECIOS!A1279="","",PRECIOS!A1279)</f>
        <v/>
      </c>
      <c r="B1279" s="7" t="str">
        <f>IFERROR(IF(OR(PRECIOS!B1279="",PRECIOS!B1278=""),"",PRECIOS!B1279/PRECIOS!B1278-1),"")</f>
        <v/>
      </c>
      <c r="C1279" s="7" t="str">
        <f>IFERROR(IF(OR(PRECIOS!C1279="",PRECIOS!C1278=""),"",PRECIOS!C1279/PRECIOS!C1278-1),"")</f>
        <v/>
      </c>
      <c r="D1279" s="7" t="str">
        <f>IFERROR(IF(OR(PRECIOS!D1279="",PRECIOS!D1278=""),"",PRECIOS!D1279/PRECIOS!D1278-1),"")</f>
        <v/>
      </c>
      <c r="E1279" s="7" t="str">
        <f>IFERROR(IF(OR(PRECIOS!E1279="",PRECIOS!E1278=""),"",PRECIOS!E1279/PRECIOS!E1278-1),"")</f>
        <v/>
      </c>
      <c r="F1279" s="7" t="str">
        <f>IFERROR(IF(OR(PRECIOS!F1279="",PRECIOS!F1278=""),"",PRECIOS!F1279/PRECIOS!F1278-1),"")</f>
        <v/>
      </c>
      <c r="G1279" s="7" t="str">
        <f>IFERROR(IF(OR(PRECIOS!G1279="",PRECIOS!G1278=""),"",PRECIOS!G1279/PRECIOS!G1278-1),"")</f>
        <v/>
      </c>
      <c r="H1279" s="7" t="str">
        <f>IFERROR(IF(OR(PRECIOS!H1279="",PRECIOS!H1278=""),"",PRECIOS!H1279/PRECIOS!H1278-1),"")</f>
        <v/>
      </c>
      <c r="I1279" s="7" t="str">
        <f>IFERROR(IF(OR(PRECIOS!I1279="",PRECIOS!I1278=""),"",PRECIOS!I1279/PRECIOS!I1278-1),"")</f>
        <v/>
      </c>
    </row>
    <row r="1280" ht="15.75" customHeight="1">
      <c r="A1280" s="4" t="str">
        <f>IF(PRECIOS!A1280="","",PRECIOS!A1280)</f>
        <v/>
      </c>
      <c r="B1280" s="7" t="str">
        <f>IFERROR(IF(OR(PRECIOS!B1280="",PRECIOS!B1279=""),"",PRECIOS!B1280/PRECIOS!B1279-1),"")</f>
        <v/>
      </c>
      <c r="C1280" s="7" t="str">
        <f>IFERROR(IF(OR(PRECIOS!C1280="",PRECIOS!C1279=""),"",PRECIOS!C1280/PRECIOS!C1279-1),"")</f>
        <v/>
      </c>
      <c r="D1280" s="7" t="str">
        <f>IFERROR(IF(OR(PRECIOS!D1280="",PRECIOS!D1279=""),"",PRECIOS!D1280/PRECIOS!D1279-1),"")</f>
        <v/>
      </c>
      <c r="E1280" s="7" t="str">
        <f>IFERROR(IF(OR(PRECIOS!E1280="",PRECIOS!E1279=""),"",PRECIOS!E1280/PRECIOS!E1279-1),"")</f>
        <v/>
      </c>
      <c r="F1280" s="7" t="str">
        <f>IFERROR(IF(OR(PRECIOS!F1280="",PRECIOS!F1279=""),"",PRECIOS!F1280/PRECIOS!F1279-1),"")</f>
        <v/>
      </c>
      <c r="G1280" s="7" t="str">
        <f>IFERROR(IF(OR(PRECIOS!G1280="",PRECIOS!G1279=""),"",PRECIOS!G1280/PRECIOS!G1279-1),"")</f>
        <v/>
      </c>
      <c r="H1280" s="7" t="str">
        <f>IFERROR(IF(OR(PRECIOS!H1280="",PRECIOS!H1279=""),"",PRECIOS!H1280/PRECIOS!H1279-1),"")</f>
        <v/>
      </c>
      <c r="I1280" s="7" t="str">
        <f>IFERROR(IF(OR(PRECIOS!I1280="",PRECIOS!I1279=""),"",PRECIOS!I1280/PRECIOS!I1279-1),"")</f>
        <v/>
      </c>
    </row>
    <row r="1281" ht="15.75" customHeight="1">
      <c r="A1281" s="4" t="str">
        <f>IF(PRECIOS!A1281="","",PRECIOS!A1281)</f>
        <v/>
      </c>
      <c r="B1281" s="7" t="str">
        <f>IFERROR(IF(OR(PRECIOS!B1281="",PRECIOS!B1280=""),"",PRECIOS!B1281/PRECIOS!B1280-1),"")</f>
        <v/>
      </c>
      <c r="C1281" s="7" t="str">
        <f>IFERROR(IF(OR(PRECIOS!C1281="",PRECIOS!C1280=""),"",PRECIOS!C1281/PRECIOS!C1280-1),"")</f>
        <v/>
      </c>
      <c r="D1281" s="7" t="str">
        <f>IFERROR(IF(OR(PRECIOS!D1281="",PRECIOS!D1280=""),"",PRECIOS!D1281/PRECIOS!D1280-1),"")</f>
        <v/>
      </c>
      <c r="E1281" s="7" t="str">
        <f>IFERROR(IF(OR(PRECIOS!E1281="",PRECIOS!E1280=""),"",PRECIOS!E1281/PRECIOS!E1280-1),"")</f>
        <v/>
      </c>
      <c r="F1281" s="7" t="str">
        <f>IFERROR(IF(OR(PRECIOS!F1281="",PRECIOS!F1280=""),"",PRECIOS!F1281/PRECIOS!F1280-1),"")</f>
        <v/>
      </c>
      <c r="G1281" s="7" t="str">
        <f>IFERROR(IF(OR(PRECIOS!G1281="",PRECIOS!G1280=""),"",PRECIOS!G1281/PRECIOS!G1280-1),"")</f>
        <v/>
      </c>
      <c r="H1281" s="7" t="str">
        <f>IFERROR(IF(OR(PRECIOS!H1281="",PRECIOS!H1280=""),"",PRECIOS!H1281/PRECIOS!H1280-1),"")</f>
        <v/>
      </c>
      <c r="I1281" s="7" t="str">
        <f>IFERROR(IF(OR(PRECIOS!I1281="",PRECIOS!I1280=""),"",PRECIOS!I1281/PRECIOS!I1280-1),"")</f>
        <v/>
      </c>
    </row>
    <row r="1282" ht="15.75" customHeight="1">
      <c r="A1282" s="4" t="str">
        <f>IF(PRECIOS!A1282="","",PRECIOS!A1282)</f>
        <v/>
      </c>
      <c r="B1282" s="7" t="str">
        <f>IFERROR(IF(OR(PRECIOS!B1282="",PRECIOS!B1281=""),"",PRECIOS!B1282/PRECIOS!B1281-1),"")</f>
        <v/>
      </c>
      <c r="C1282" s="7" t="str">
        <f>IFERROR(IF(OR(PRECIOS!C1282="",PRECIOS!C1281=""),"",PRECIOS!C1282/PRECIOS!C1281-1),"")</f>
        <v/>
      </c>
      <c r="D1282" s="7" t="str">
        <f>IFERROR(IF(OR(PRECIOS!D1282="",PRECIOS!D1281=""),"",PRECIOS!D1282/PRECIOS!D1281-1),"")</f>
        <v/>
      </c>
      <c r="E1282" s="7" t="str">
        <f>IFERROR(IF(OR(PRECIOS!E1282="",PRECIOS!E1281=""),"",PRECIOS!E1282/PRECIOS!E1281-1),"")</f>
        <v/>
      </c>
      <c r="F1282" s="7" t="str">
        <f>IFERROR(IF(OR(PRECIOS!F1282="",PRECIOS!F1281=""),"",PRECIOS!F1282/PRECIOS!F1281-1),"")</f>
        <v/>
      </c>
      <c r="G1282" s="7" t="str">
        <f>IFERROR(IF(OR(PRECIOS!G1282="",PRECIOS!G1281=""),"",PRECIOS!G1282/PRECIOS!G1281-1),"")</f>
        <v/>
      </c>
      <c r="H1282" s="7" t="str">
        <f>IFERROR(IF(OR(PRECIOS!H1282="",PRECIOS!H1281=""),"",PRECIOS!H1282/PRECIOS!H1281-1),"")</f>
        <v/>
      </c>
      <c r="I1282" s="7" t="str">
        <f>IFERROR(IF(OR(PRECIOS!I1282="",PRECIOS!I1281=""),"",PRECIOS!I1282/PRECIOS!I1281-1),"")</f>
        <v/>
      </c>
    </row>
    <row r="1283" ht="15.75" customHeight="1">
      <c r="A1283" s="4" t="str">
        <f>IF(PRECIOS!A1283="","",PRECIOS!A1283)</f>
        <v/>
      </c>
      <c r="B1283" s="7" t="str">
        <f>IFERROR(IF(OR(PRECIOS!B1283="",PRECIOS!B1282=""),"",PRECIOS!B1283/PRECIOS!B1282-1),"")</f>
        <v/>
      </c>
      <c r="C1283" s="7" t="str">
        <f>IFERROR(IF(OR(PRECIOS!C1283="",PRECIOS!C1282=""),"",PRECIOS!C1283/PRECIOS!C1282-1),"")</f>
        <v/>
      </c>
      <c r="D1283" s="7" t="str">
        <f>IFERROR(IF(OR(PRECIOS!D1283="",PRECIOS!D1282=""),"",PRECIOS!D1283/PRECIOS!D1282-1),"")</f>
        <v/>
      </c>
      <c r="E1283" s="7" t="str">
        <f>IFERROR(IF(OR(PRECIOS!E1283="",PRECIOS!E1282=""),"",PRECIOS!E1283/PRECIOS!E1282-1),"")</f>
        <v/>
      </c>
      <c r="F1283" s="7" t="str">
        <f>IFERROR(IF(OR(PRECIOS!F1283="",PRECIOS!F1282=""),"",PRECIOS!F1283/PRECIOS!F1282-1),"")</f>
        <v/>
      </c>
      <c r="G1283" s="7" t="str">
        <f>IFERROR(IF(OR(PRECIOS!G1283="",PRECIOS!G1282=""),"",PRECIOS!G1283/PRECIOS!G1282-1),"")</f>
        <v/>
      </c>
      <c r="H1283" s="7" t="str">
        <f>IFERROR(IF(OR(PRECIOS!H1283="",PRECIOS!H1282=""),"",PRECIOS!H1283/PRECIOS!H1282-1),"")</f>
        <v/>
      </c>
      <c r="I1283" s="7" t="str">
        <f>IFERROR(IF(OR(PRECIOS!I1283="",PRECIOS!I1282=""),"",PRECIOS!I1283/PRECIOS!I1282-1),"")</f>
        <v/>
      </c>
    </row>
    <row r="1284" ht="15.75" customHeight="1">
      <c r="A1284" s="4" t="str">
        <f>IF(PRECIOS!A1284="","",PRECIOS!A1284)</f>
        <v/>
      </c>
      <c r="B1284" s="7" t="str">
        <f>IFERROR(IF(OR(PRECIOS!B1284="",PRECIOS!B1283=""),"",PRECIOS!B1284/PRECIOS!B1283-1),"")</f>
        <v/>
      </c>
      <c r="C1284" s="7" t="str">
        <f>IFERROR(IF(OR(PRECIOS!C1284="",PRECIOS!C1283=""),"",PRECIOS!C1284/PRECIOS!C1283-1),"")</f>
        <v/>
      </c>
      <c r="D1284" s="7" t="str">
        <f>IFERROR(IF(OR(PRECIOS!D1284="",PRECIOS!D1283=""),"",PRECIOS!D1284/PRECIOS!D1283-1),"")</f>
        <v/>
      </c>
      <c r="E1284" s="7" t="str">
        <f>IFERROR(IF(OR(PRECIOS!E1284="",PRECIOS!E1283=""),"",PRECIOS!E1284/PRECIOS!E1283-1),"")</f>
        <v/>
      </c>
      <c r="F1284" s="7" t="str">
        <f>IFERROR(IF(OR(PRECIOS!F1284="",PRECIOS!F1283=""),"",PRECIOS!F1284/PRECIOS!F1283-1),"")</f>
        <v/>
      </c>
      <c r="G1284" s="7" t="str">
        <f>IFERROR(IF(OR(PRECIOS!G1284="",PRECIOS!G1283=""),"",PRECIOS!G1284/PRECIOS!G1283-1),"")</f>
        <v/>
      </c>
      <c r="H1284" s="7" t="str">
        <f>IFERROR(IF(OR(PRECIOS!H1284="",PRECIOS!H1283=""),"",PRECIOS!H1284/PRECIOS!H1283-1),"")</f>
        <v/>
      </c>
      <c r="I1284" s="7" t="str">
        <f>IFERROR(IF(OR(PRECIOS!I1284="",PRECIOS!I1283=""),"",PRECIOS!I1284/PRECIOS!I1283-1),"")</f>
        <v/>
      </c>
    </row>
    <row r="1285" ht="15.75" customHeight="1">
      <c r="A1285" s="4" t="str">
        <f>IF(PRECIOS!A1285="","",PRECIOS!A1285)</f>
        <v/>
      </c>
      <c r="B1285" s="7" t="str">
        <f>IFERROR(IF(OR(PRECIOS!B1285="",PRECIOS!B1284=""),"",PRECIOS!B1285/PRECIOS!B1284-1),"")</f>
        <v/>
      </c>
      <c r="C1285" s="7" t="str">
        <f>IFERROR(IF(OR(PRECIOS!C1285="",PRECIOS!C1284=""),"",PRECIOS!C1285/PRECIOS!C1284-1),"")</f>
        <v/>
      </c>
      <c r="D1285" s="7" t="str">
        <f>IFERROR(IF(OR(PRECIOS!D1285="",PRECIOS!D1284=""),"",PRECIOS!D1285/PRECIOS!D1284-1),"")</f>
        <v/>
      </c>
      <c r="E1285" s="7" t="str">
        <f>IFERROR(IF(OR(PRECIOS!E1285="",PRECIOS!E1284=""),"",PRECIOS!E1285/PRECIOS!E1284-1),"")</f>
        <v/>
      </c>
      <c r="F1285" s="7" t="str">
        <f>IFERROR(IF(OR(PRECIOS!F1285="",PRECIOS!F1284=""),"",PRECIOS!F1285/PRECIOS!F1284-1),"")</f>
        <v/>
      </c>
      <c r="G1285" s="7" t="str">
        <f>IFERROR(IF(OR(PRECIOS!G1285="",PRECIOS!G1284=""),"",PRECIOS!G1285/PRECIOS!G1284-1),"")</f>
        <v/>
      </c>
      <c r="H1285" s="7" t="str">
        <f>IFERROR(IF(OR(PRECIOS!H1285="",PRECIOS!H1284=""),"",PRECIOS!H1285/PRECIOS!H1284-1),"")</f>
        <v/>
      </c>
      <c r="I1285" s="7" t="str">
        <f>IFERROR(IF(OR(PRECIOS!I1285="",PRECIOS!I1284=""),"",PRECIOS!I1285/PRECIOS!I1284-1),"")</f>
        <v/>
      </c>
    </row>
    <row r="1286" ht="15.75" customHeight="1">
      <c r="A1286" s="4" t="str">
        <f>IF(PRECIOS!A1286="","",PRECIOS!A1286)</f>
        <v/>
      </c>
      <c r="B1286" s="7" t="str">
        <f>IFERROR(IF(OR(PRECIOS!B1286="",PRECIOS!B1285=""),"",PRECIOS!B1286/PRECIOS!B1285-1),"")</f>
        <v/>
      </c>
      <c r="C1286" s="7" t="str">
        <f>IFERROR(IF(OR(PRECIOS!C1286="",PRECIOS!C1285=""),"",PRECIOS!C1286/PRECIOS!C1285-1),"")</f>
        <v/>
      </c>
      <c r="D1286" s="7" t="str">
        <f>IFERROR(IF(OR(PRECIOS!D1286="",PRECIOS!D1285=""),"",PRECIOS!D1286/PRECIOS!D1285-1),"")</f>
        <v/>
      </c>
      <c r="E1286" s="7" t="str">
        <f>IFERROR(IF(OR(PRECIOS!E1286="",PRECIOS!E1285=""),"",PRECIOS!E1286/PRECIOS!E1285-1),"")</f>
        <v/>
      </c>
      <c r="F1286" s="7" t="str">
        <f>IFERROR(IF(OR(PRECIOS!F1286="",PRECIOS!F1285=""),"",PRECIOS!F1286/PRECIOS!F1285-1),"")</f>
        <v/>
      </c>
      <c r="G1286" s="7" t="str">
        <f>IFERROR(IF(OR(PRECIOS!G1286="",PRECIOS!G1285=""),"",PRECIOS!G1286/PRECIOS!G1285-1),"")</f>
        <v/>
      </c>
      <c r="H1286" s="7" t="str">
        <f>IFERROR(IF(OR(PRECIOS!H1286="",PRECIOS!H1285=""),"",PRECIOS!H1286/PRECIOS!H1285-1),"")</f>
        <v/>
      </c>
      <c r="I1286" s="7" t="str">
        <f>IFERROR(IF(OR(PRECIOS!I1286="",PRECIOS!I1285=""),"",PRECIOS!I1286/PRECIOS!I1285-1),"")</f>
        <v/>
      </c>
    </row>
    <row r="1287" ht="15.75" customHeight="1">
      <c r="A1287" s="4" t="str">
        <f>IF(PRECIOS!A1287="","",PRECIOS!A1287)</f>
        <v/>
      </c>
      <c r="B1287" s="7" t="str">
        <f>IFERROR(IF(OR(PRECIOS!B1287="",PRECIOS!B1286=""),"",PRECIOS!B1287/PRECIOS!B1286-1),"")</f>
        <v/>
      </c>
      <c r="C1287" s="7" t="str">
        <f>IFERROR(IF(OR(PRECIOS!C1287="",PRECIOS!C1286=""),"",PRECIOS!C1287/PRECIOS!C1286-1),"")</f>
        <v/>
      </c>
      <c r="D1287" s="7" t="str">
        <f>IFERROR(IF(OR(PRECIOS!D1287="",PRECIOS!D1286=""),"",PRECIOS!D1287/PRECIOS!D1286-1),"")</f>
        <v/>
      </c>
      <c r="E1287" s="7" t="str">
        <f>IFERROR(IF(OR(PRECIOS!E1287="",PRECIOS!E1286=""),"",PRECIOS!E1287/PRECIOS!E1286-1),"")</f>
        <v/>
      </c>
      <c r="F1287" s="7" t="str">
        <f>IFERROR(IF(OR(PRECIOS!F1287="",PRECIOS!F1286=""),"",PRECIOS!F1287/PRECIOS!F1286-1),"")</f>
        <v/>
      </c>
      <c r="G1287" s="7" t="str">
        <f>IFERROR(IF(OR(PRECIOS!G1287="",PRECIOS!G1286=""),"",PRECIOS!G1287/PRECIOS!G1286-1),"")</f>
        <v/>
      </c>
      <c r="H1287" s="7" t="str">
        <f>IFERROR(IF(OR(PRECIOS!H1287="",PRECIOS!H1286=""),"",PRECIOS!H1287/PRECIOS!H1286-1),"")</f>
        <v/>
      </c>
      <c r="I1287" s="7" t="str">
        <f>IFERROR(IF(OR(PRECIOS!I1287="",PRECIOS!I1286=""),"",PRECIOS!I1287/PRECIOS!I1286-1),"")</f>
        <v/>
      </c>
    </row>
    <row r="1288" ht="15.75" customHeight="1">
      <c r="A1288" s="4" t="str">
        <f>IF(PRECIOS!A1288="","",PRECIOS!A1288)</f>
        <v/>
      </c>
      <c r="B1288" s="7" t="str">
        <f>IFERROR(IF(OR(PRECIOS!B1288="",PRECIOS!B1287=""),"",PRECIOS!B1288/PRECIOS!B1287-1),"")</f>
        <v/>
      </c>
      <c r="C1288" s="7" t="str">
        <f>IFERROR(IF(OR(PRECIOS!C1288="",PRECIOS!C1287=""),"",PRECIOS!C1288/PRECIOS!C1287-1),"")</f>
        <v/>
      </c>
      <c r="D1288" s="7" t="str">
        <f>IFERROR(IF(OR(PRECIOS!D1288="",PRECIOS!D1287=""),"",PRECIOS!D1288/PRECIOS!D1287-1),"")</f>
        <v/>
      </c>
      <c r="E1288" s="7" t="str">
        <f>IFERROR(IF(OR(PRECIOS!E1288="",PRECIOS!E1287=""),"",PRECIOS!E1288/PRECIOS!E1287-1),"")</f>
        <v/>
      </c>
      <c r="F1288" s="7" t="str">
        <f>IFERROR(IF(OR(PRECIOS!F1288="",PRECIOS!F1287=""),"",PRECIOS!F1288/PRECIOS!F1287-1),"")</f>
        <v/>
      </c>
      <c r="G1288" s="7" t="str">
        <f>IFERROR(IF(OR(PRECIOS!G1288="",PRECIOS!G1287=""),"",PRECIOS!G1288/PRECIOS!G1287-1),"")</f>
        <v/>
      </c>
      <c r="H1288" s="7" t="str">
        <f>IFERROR(IF(OR(PRECIOS!H1288="",PRECIOS!H1287=""),"",PRECIOS!H1288/PRECIOS!H1287-1),"")</f>
        <v/>
      </c>
      <c r="I1288" s="7" t="str">
        <f>IFERROR(IF(OR(PRECIOS!I1288="",PRECIOS!I1287=""),"",PRECIOS!I1288/PRECIOS!I1287-1),"")</f>
        <v/>
      </c>
    </row>
    <row r="1289" ht="15.75" customHeight="1">
      <c r="A1289" s="4" t="str">
        <f>IF(PRECIOS!A1289="","",PRECIOS!A1289)</f>
        <v/>
      </c>
      <c r="B1289" s="7" t="str">
        <f>IFERROR(IF(OR(PRECIOS!B1289="",PRECIOS!B1288=""),"",PRECIOS!B1289/PRECIOS!B1288-1),"")</f>
        <v/>
      </c>
      <c r="C1289" s="7" t="str">
        <f>IFERROR(IF(OR(PRECIOS!C1289="",PRECIOS!C1288=""),"",PRECIOS!C1289/PRECIOS!C1288-1),"")</f>
        <v/>
      </c>
      <c r="D1289" s="7" t="str">
        <f>IFERROR(IF(OR(PRECIOS!D1289="",PRECIOS!D1288=""),"",PRECIOS!D1289/PRECIOS!D1288-1),"")</f>
        <v/>
      </c>
      <c r="E1289" s="7" t="str">
        <f>IFERROR(IF(OR(PRECIOS!E1289="",PRECIOS!E1288=""),"",PRECIOS!E1289/PRECIOS!E1288-1),"")</f>
        <v/>
      </c>
      <c r="F1289" s="7" t="str">
        <f>IFERROR(IF(OR(PRECIOS!F1289="",PRECIOS!F1288=""),"",PRECIOS!F1289/PRECIOS!F1288-1),"")</f>
        <v/>
      </c>
      <c r="G1289" s="7" t="str">
        <f>IFERROR(IF(OR(PRECIOS!G1289="",PRECIOS!G1288=""),"",PRECIOS!G1289/PRECIOS!G1288-1),"")</f>
        <v/>
      </c>
      <c r="H1289" s="7" t="str">
        <f>IFERROR(IF(OR(PRECIOS!H1289="",PRECIOS!H1288=""),"",PRECIOS!H1289/PRECIOS!H1288-1),"")</f>
        <v/>
      </c>
      <c r="I1289" s="7" t="str">
        <f>IFERROR(IF(OR(PRECIOS!I1289="",PRECIOS!I1288=""),"",PRECIOS!I1289/PRECIOS!I1288-1),"")</f>
        <v/>
      </c>
    </row>
    <row r="1290" ht="15.75" customHeight="1">
      <c r="A1290" s="4" t="str">
        <f>IF(PRECIOS!A1290="","",PRECIOS!A1290)</f>
        <v/>
      </c>
      <c r="B1290" s="7" t="str">
        <f>IFERROR(IF(OR(PRECIOS!B1290="",PRECIOS!B1289=""),"",PRECIOS!B1290/PRECIOS!B1289-1),"")</f>
        <v/>
      </c>
      <c r="C1290" s="7" t="str">
        <f>IFERROR(IF(OR(PRECIOS!C1290="",PRECIOS!C1289=""),"",PRECIOS!C1290/PRECIOS!C1289-1),"")</f>
        <v/>
      </c>
      <c r="D1290" s="7" t="str">
        <f>IFERROR(IF(OR(PRECIOS!D1290="",PRECIOS!D1289=""),"",PRECIOS!D1290/PRECIOS!D1289-1),"")</f>
        <v/>
      </c>
      <c r="E1290" s="7" t="str">
        <f>IFERROR(IF(OR(PRECIOS!E1290="",PRECIOS!E1289=""),"",PRECIOS!E1290/PRECIOS!E1289-1),"")</f>
        <v/>
      </c>
      <c r="F1290" s="7" t="str">
        <f>IFERROR(IF(OR(PRECIOS!F1290="",PRECIOS!F1289=""),"",PRECIOS!F1290/PRECIOS!F1289-1),"")</f>
        <v/>
      </c>
      <c r="G1290" s="7" t="str">
        <f>IFERROR(IF(OR(PRECIOS!G1290="",PRECIOS!G1289=""),"",PRECIOS!G1290/PRECIOS!G1289-1),"")</f>
        <v/>
      </c>
      <c r="H1290" s="7" t="str">
        <f>IFERROR(IF(OR(PRECIOS!H1290="",PRECIOS!H1289=""),"",PRECIOS!H1290/PRECIOS!H1289-1),"")</f>
        <v/>
      </c>
      <c r="I1290" s="7" t="str">
        <f>IFERROR(IF(OR(PRECIOS!I1290="",PRECIOS!I1289=""),"",PRECIOS!I1290/PRECIOS!I1289-1),"")</f>
        <v/>
      </c>
    </row>
    <row r="1291" ht="15.75" customHeight="1">
      <c r="A1291" s="4" t="str">
        <f>IF(PRECIOS!A1291="","",PRECIOS!A1291)</f>
        <v/>
      </c>
      <c r="B1291" s="7" t="str">
        <f>IFERROR(IF(OR(PRECIOS!B1291="",PRECIOS!B1290=""),"",PRECIOS!B1291/PRECIOS!B1290-1),"")</f>
        <v/>
      </c>
      <c r="C1291" s="7" t="str">
        <f>IFERROR(IF(OR(PRECIOS!C1291="",PRECIOS!C1290=""),"",PRECIOS!C1291/PRECIOS!C1290-1),"")</f>
        <v/>
      </c>
      <c r="D1291" s="7" t="str">
        <f>IFERROR(IF(OR(PRECIOS!D1291="",PRECIOS!D1290=""),"",PRECIOS!D1291/PRECIOS!D1290-1),"")</f>
        <v/>
      </c>
      <c r="E1291" s="7" t="str">
        <f>IFERROR(IF(OR(PRECIOS!E1291="",PRECIOS!E1290=""),"",PRECIOS!E1291/PRECIOS!E1290-1),"")</f>
        <v/>
      </c>
      <c r="F1291" s="7" t="str">
        <f>IFERROR(IF(OR(PRECIOS!F1291="",PRECIOS!F1290=""),"",PRECIOS!F1291/PRECIOS!F1290-1),"")</f>
        <v/>
      </c>
      <c r="G1291" s="7" t="str">
        <f>IFERROR(IF(OR(PRECIOS!G1291="",PRECIOS!G1290=""),"",PRECIOS!G1291/PRECIOS!G1290-1),"")</f>
        <v/>
      </c>
      <c r="H1291" s="7" t="str">
        <f>IFERROR(IF(OR(PRECIOS!H1291="",PRECIOS!H1290=""),"",PRECIOS!H1291/PRECIOS!H1290-1),"")</f>
        <v/>
      </c>
      <c r="I1291" s="7" t="str">
        <f>IFERROR(IF(OR(PRECIOS!I1291="",PRECIOS!I1290=""),"",PRECIOS!I1291/PRECIOS!I1290-1),"")</f>
        <v/>
      </c>
    </row>
    <row r="1292" ht="15.75" customHeight="1">
      <c r="A1292" s="4" t="str">
        <f>IF(PRECIOS!A1292="","",PRECIOS!A1292)</f>
        <v/>
      </c>
      <c r="B1292" s="7" t="str">
        <f>IFERROR(IF(OR(PRECIOS!B1292="",PRECIOS!B1291=""),"",PRECIOS!B1292/PRECIOS!B1291-1),"")</f>
        <v/>
      </c>
      <c r="C1292" s="7" t="str">
        <f>IFERROR(IF(OR(PRECIOS!C1292="",PRECIOS!C1291=""),"",PRECIOS!C1292/PRECIOS!C1291-1),"")</f>
        <v/>
      </c>
      <c r="D1292" s="7" t="str">
        <f>IFERROR(IF(OR(PRECIOS!D1292="",PRECIOS!D1291=""),"",PRECIOS!D1292/PRECIOS!D1291-1),"")</f>
        <v/>
      </c>
      <c r="E1292" s="7" t="str">
        <f>IFERROR(IF(OR(PRECIOS!E1292="",PRECIOS!E1291=""),"",PRECIOS!E1292/PRECIOS!E1291-1),"")</f>
        <v/>
      </c>
      <c r="F1292" s="7" t="str">
        <f>IFERROR(IF(OR(PRECIOS!F1292="",PRECIOS!F1291=""),"",PRECIOS!F1292/PRECIOS!F1291-1),"")</f>
        <v/>
      </c>
      <c r="G1292" s="7" t="str">
        <f>IFERROR(IF(OR(PRECIOS!G1292="",PRECIOS!G1291=""),"",PRECIOS!G1292/PRECIOS!G1291-1),"")</f>
        <v/>
      </c>
      <c r="H1292" s="7" t="str">
        <f>IFERROR(IF(OR(PRECIOS!H1292="",PRECIOS!H1291=""),"",PRECIOS!H1292/PRECIOS!H1291-1),"")</f>
        <v/>
      </c>
      <c r="I1292" s="7" t="str">
        <f>IFERROR(IF(OR(PRECIOS!I1292="",PRECIOS!I1291=""),"",PRECIOS!I1292/PRECIOS!I1291-1),"")</f>
        <v/>
      </c>
    </row>
    <row r="1293" ht="15.75" customHeight="1">
      <c r="A1293" s="4" t="str">
        <f>IF(PRECIOS!A1293="","",PRECIOS!A1293)</f>
        <v/>
      </c>
      <c r="B1293" s="7" t="str">
        <f>IFERROR(IF(OR(PRECIOS!B1293="",PRECIOS!B1292=""),"",PRECIOS!B1293/PRECIOS!B1292-1),"")</f>
        <v/>
      </c>
      <c r="C1293" s="7" t="str">
        <f>IFERROR(IF(OR(PRECIOS!C1293="",PRECIOS!C1292=""),"",PRECIOS!C1293/PRECIOS!C1292-1),"")</f>
        <v/>
      </c>
      <c r="D1293" s="7" t="str">
        <f>IFERROR(IF(OR(PRECIOS!D1293="",PRECIOS!D1292=""),"",PRECIOS!D1293/PRECIOS!D1292-1),"")</f>
        <v/>
      </c>
      <c r="E1293" s="7" t="str">
        <f>IFERROR(IF(OR(PRECIOS!E1293="",PRECIOS!E1292=""),"",PRECIOS!E1293/PRECIOS!E1292-1),"")</f>
        <v/>
      </c>
      <c r="F1293" s="7" t="str">
        <f>IFERROR(IF(OR(PRECIOS!F1293="",PRECIOS!F1292=""),"",PRECIOS!F1293/PRECIOS!F1292-1),"")</f>
        <v/>
      </c>
      <c r="G1293" s="7" t="str">
        <f>IFERROR(IF(OR(PRECIOS!G1293="",PRECIOS!G1292=""),"",PRECIOS!G1293/PRECIOS!G1292-1),"")</f>
        <v/>
      </c>
      <c r="H1293" s="7" t="str">
        <f>IFERROR(IF(OR(PRECIOS!H1293="",PRECIOS!H1292=""),"",PRECIOS!H1293/PRECIOS!H1292-1),"")</f>
        <v/>
      </c>
      <c r="I1293" s="7" t="str">
        <f>IFERROR(IF(OR(PRECIOS!I1293="",PRECIOS!I1292=""),"",PRECIOS!I1293/PRECIOS!I1292-1),"")</f>
        <v/>
      </c>
    </row>
    <row r="1294" ht="15.75" customHeight="1">
      <c r="A1294" s="4" t="str">
        <f>IF(PRECIOS!A1294="","",PRECIOS!A1294)</f>
        <v/>
      </c>
      <c r="B1294" s="7" t="str">
        <f>IFERROR(IF(OR(PRECIOS!B1294="",PRECIOS!B1293=""),"",PRECIOS!B1294/PRECIOS!B1293-1),"")</f>
        <v/>
      </c>
      <c r="C1294" s="7" t="str">
        <f>IFERROR(IF(OR(PRECIOS!C1294="",PRECIOS!C1293=""),"",PRECIOS!C1294/PRECIOS!C1293-1),"")</f>
        <v/>
      </c>
      <c r="D1294" s="7" t="str">
        <f>IFERROR(IF(OR(PRECIOS!D1294="",PRECIOS!D1293=""),"",PRECIOS!D1294/PRECIOS!D1293-1),"")</f>
        <v/>
      </c>
      <c r="E1294" s="7" t="str">
        <f>IFERROR(IF(OR(PRECIOS!E1294="",PRECIOS!E1293=""),"",PRECIOS!E1294/PRECIOS!E1293-1),"")</f>
        <v/>
      </c>
      <c r="F1294" s="7" t="str">
        <f>IFERROR(IF(OR(PRECIOS!F1294="",PRECIOS!F1293=""),"",PRECIOS!F1294/PRECIOS!F1293-1),"")</f>
        <v/>
      </c>
      <c r="G1294" s="7" t="str">
        <f>IFERROR(IF(OR(PRECIOS!G1294="",PRECIOS!G1293=""),"",PRECIOS!G1294/PRECIOS!G1293-1),"")</f>
        <v/>
      </c>
      <c r="H1294" s="7" t="str">
        <f>IFERROR(IF(OR(PRECIOS!H1294="",PRECIOS!H1293=""),"",PRECIOS!H1294/PRECIOS!H1293-1),"")</f>
        <v/>
      </c>
      <c r="I1294" s="7" t="str">
        <f>IFERROR(IF(OR(PRECIOS!I1294="",PRECIOS!I1293=""),"",PRECIOS!I1294/PRECIOS!I1293-1),"")</f>
        <v/>
      </c>
    </row>
    <row r="1295" ht="15.75" customHeight="1">
      <c r="A1295" s="4" t="str">
        <f>IF(PRECIOS!A1295="","",PRECIOS!A1295)</f>
        <v/>
      </c>
      <c r="B1295" s="7" t="str">
        <f>IFERROR(IF(OR(PRECIOS!B1295="",PRECIOS!B1294=""),"",PRECIOS!B1295/PRECIOS!B1294-1),"")</f>
        <v/>
      </c>
      <c r="C1295" s="7" t="str">
        <f>IFERROR(IF(OR(PRECIOS!C1295="",PRECIOS!C1294=""),"",PRECIOS!C1295/PRECIOS!C1294-1),"")</f>
        <v/>
      </c>
      <c r="D1295" s="7" t="str">
        <f>IFERROR(IF(OR(PRECIOS!D1295="",PRECIOS!D1294=""),"",PRECIOS!D1295/PRECIOS!D1294-1),"")</f>
        <v/>
      </c>
      <c r="E1295" s="7" t="str">
        <f>IFERROR(IF(OR(PRECIOS!E1295="",PRECIOS!E1294=""),"",PRECIOS!E1295/PRECIOS!E1294-1),"")</f>
        <v/>
      </c>
      <c r="F1295" s="7" t="str">
        <f>IFERROR(IF(OR(PRECIOS!F1295="",PRECIOS!F1294=""),"",PRECIOS!F1295/PRECIOS!F1294-1),"")</f>
        <v/>
      </c>
      <c r="G1295" s="7" t="str">
        <f>IFERROR(IF(OR(PRECIOS!G1295="",PRECIOS!G1294=""),"",PRECIOS!G1295/PRECIOS!G1294-1),"")</f>
        <v/>
      </c>
      <c r="H1295" s="7" t="str">
        <f>IFERROR(IF(OR(PRECIOS!H1295="",PRECIOS!H1294=""),"",PRECIOS!H1295/PRECIOS!H1294-1),"")</f>
        <v/>
      </c>
      <c r="I1295" s="7" t="str">
        <f>IFERROR(IF(OR(PRECIOS!I1295="",PRECIOS!I1294=""),"",PRECIOS!I1295/PRECIOS!I1294-1),"")</f>
        <v/>
      </c>
    </row>
    <row r="1296" ht="15.75" customHeight="1">
      <c r="A1296" s="4" t="str">
        <f>IF(PRECIOS!A1296="","",PRECIOS!A1296)</f>
        <v/>
      </c>
      <c r="B1296" s="7" t="str">
        <f>IFERROR(IF(OR(PRECIOS!B1296="",PRECIOS!B1295=""),"",PRECIOS!B1296/PRECIOS!B1295-1),"")</f>
        <v/>
      </c>
      <c r="C1296" s="7" t="str">
        <f>IFERROR(IF(OR(PRECIOS!C1296="",PRECIOS!C1295=""),"",PRECIOS!C1296/PRECIOS!C1295-1),"")</f>
        <v/>
      </c>
      <c r="D1296" s="7" t="str">
        <f>IFERROR(IF(OR(PRECIOS!D1296="",PRECIOS!D1295=""),"",PRECIOS!D1296/PRECIOS!D1295-1),"")</f>
        <v/>
      </c>
      <c r="E1296" s="7" t="str">
        <f>IFERROR(IF(OR(PRECIOS!E1296="",PRECIOS!E1295=""),"",PRECIOS!E1296/PRECIOS!E1295-1),"")</f>
        <v/>
      </c>
      <c r="F1296" s="7" t="str">
        <f>IFERROR(IF(OR(PRECIOS!F1296="",PRECIOS!F1295=""),"",PRECIOS!F1296/PRECIOS!F1295-1),"")</f>
        <v/>
      </c>
      <c r="G1296" s="7" t="str">
        <f>IFERROR(IF(OR(PRECIOS!G1296="",PRECIOS!G1295=""),"",PRECIOS!G1296/PRECIOS!G1295-1),"")</f>
        <v/>
      </c>
      <c r="H1296" s="7" t="str">
        <f>IFERROR(IF(OR(PRECIOS!H1296="",PRECIOS!H1295=""),"",PRECIOS!H1296/PRECIOS!H1295-1),"")</f>
        <v/>
      </c>
      <c r="I1296" s="7" t="str">
        <f>IFERROR(IF(OR(PRECIOS!I1296="",PRECIOS!I1295=""),"",PRECIOS!I1296/PRECIOS!I1295-1),"")</f>
        <v/>
      </c>
    </row>
    <row r="1297" ht="15.75" customHeight="1">
      <c r="A1297" s="4" t="str">
        <f>IF(PRECIOS!A1297="","",PRECIOS!A1297)</f>
        <v/>
      </c>
      <c r="B1297" s="7" t="str">
        <f>IFERROR(IF(OR(PRECIOS!B1297="",PRECIOS!B1296=""),"",PRECIOS!B1297/PRECIOS!B1296-1),"")</f>
        <v/>
      </c>
      <c r="C1297" s="7" t="str">
        <f>IFERROR(IF(OR(PRECIOS!C1297="",PRECIOS!C1296=""),"",PRECIOS!C1297/PRECIOS!C1296-1),"")</f>
        <v/>
      </c>
      <c r="D1297" s="7" t="str">
        <f>IFERROR(IF(OR(PRECIOS!D1297="",PRECIOS!D1296=""),"",PRECIOS!D1297/PRECIOS!D1296-1),"")</f>
        <v/>
      </c>
      <c r="E1297" s="7" t="str">
        <f>IFERROR(IF(OR(PRECIOS!E1297="",PRECIOS!E1296=""),"",PRECIOS!E1297/PRECIOS!E1296-1),"")</f>
        <v/>
      </c>
      <c r="F1297" s="7" t="str">
        <f>IFERROR(IF(OR(PRECIOS!F1297="",PRECIOS!F1296=""),"",PRECIOS!F1297/PRECIOS!F1296-1),"")</f>
        <v/>
      </c>
      <c r="G1297" s="7" t="str">
        <f>IFERROR(IF(OR(PRECIOS!G1297="",PRECIOS!G1296=""),"",PRECIOS!G1297/PRECIOS!G1296-1),"")</f>
        <v/>
      </c>
      <c r="H1297" s="7" t="str">
        <f>IFERROR(IF(OR(PRECIOS!H1297="",PRECIOS!H1296=""),"",PRECIOS!H1297/PRECIOS!H1296-1),"")</f>
        <v/>
      </c>
      <c r="I1297" s="7" t="str">
        <f>IFERROR(IF(OR(PRECIOS!I1297="",PRECIOS!I1296=""),"",PRECIOS!I1297/PRECIOS!I1296-1),"")</f>
        <v/>
      </c>
    </row>
    <row r="1298" ht="15.75" customHeight="1">
      <c r="A1298" s="4" t="str">
        <f>IF(PRECIOS!A1298="","",PRECIOS!A1298)</f>
        <v/>
      </c>
      <c r="B1298" s="7" t="str">
        <f>IFERROR(IF(OR(PRECIOS!B1298="",PRECIOS!B1297=""),"",PRECIOS!B1298/PRECIOS!B1297-1),"")</f>
        <v/>
      </c>
      <c r="C1298" s="7" t="str">
        <f>IFERROR(IF(OR(PRECIOS!C1298="",PRECIOS!C1297=""),"",PRECIOS!C1298/PRECIOS!C1297-1),"")</f>
        <v/>
      </c>
      <c r="D1298" s="7" t="str">
        <f>IFERROR(IF(OR(PRECIOS!D1298="",PRECIOS!D1297=""),"",PRECIOS!D1298/PRECIOS!D1297-1),"")</f>
        <v/>
      </c>
      <c r="E1298" s="7" t="str">
        <f>IFERROR(IF(OR(PRECIOS!E1298="",PRECIOS!E1297=""),"",PRECIOS!E1298/PRECIOS!E1297-1),"")</f>
        <v/>
      </c>
      <c r="F1298" s="7" t="str">
        <f>IFERROR(IF(OR(PRECIOS!F1298="",PRECIOS!F1297=""),"",PRECIOS!F1298/PRECIOS!F1297-1),"")</f>
        <v/>
      </c>
      <c r="G1298" s="7" t="str">
        <f>IFERROR(IF(OR(PRECIOS!G1298="",PRECIOS!G1297=""),"",PRECIOS!G1298/PRECIOS!G1297-1),"")</f>
        <v/>
      </c>
      <c r="H1298" s="7" t="str">
        <f>IFERROR(IF(OR(PRECIOS!H1298="",PRECIOS!H1297=""),"",PRECIOS!H1298/PRECIOS!H1297-1),"")</f>
        <v/>
      </c>
      <c r="I1298" s="7" t="str">
        <f>IFERROR(IF(OR(PRECIOS!I1298="",PRECIOS!I1297=""),"",PRECIOS!I1298/PRECIOS!I1297-1),"")</f>
        <v/>
      </c>
    </row>
    <row r="1299" ht="15.75" customHeight="1">
      <c r="A1299" s="4" t="str">
        <f>IF(PRECIOS!A1299="","",PRECIOS!A1299)</f>
        <v/>
      </c>
      <c r="B1299" s="7" t="str">
        <f>IFERROR(IF(OR(PRECIOS!B1299="",PRECIOS!B1298=""),"",PRECIOS!B1299/PRECIOS!B1298-1),"")</f>
        <v/>
      </c>
      <c r="C1299" s="7" t="str">
        <f>IFERROR(IF(OR(PRECIOS!C1299="",PRECIOS!C1298=""),"",PRECIOS!C1299/PRECIOS!C1298-1),"")</f>
        <v/>
      </c>
      <c r="D1299" s="7" t="str">
        <f>IFERROR(IF(OR(PRECIOS!D1299="",PRECIOS!D1298=""),"",PRECIOS!D1299/PRECIOS!D1298-1),"")</f>
        <v/>
      </c>
      <c r="E1299" s="7" t="str">
        <f>IFERROR(IF(OR(PRECIOS!E1299="",PRECIOS!E1298=""),"",PRECIOS!E1299/PRECIOS!E1298-1),"")</f>
        <v/>
      </c>
      <c r="F1299" s="7" t="str">
        <f>IFERROR(IF(OR(PRECIOS!F1299="",PRECIOS!F1298=""),"",PRECIOS!F1299/PRECIOS!F1298-1),"")</f>
        <v/>
      </c>
      <c r="G1299" s="7" t="str">
        <f>IFERROR(IF(OR(PRECIOS!G1299="",PRECIOS!G1298=""),"",PRECIOS!G1299/PRECIOS!G1298-1),"")</f>
        <v/>
      </c>
      <c r="H1299" s="7" t="str">
        <f>IFERROR(IF(OR(PRECIOS!H1299="",PRECIOS!H1298=""),"",PRECIOS!H1299/PRECIOS!H1298-1),"")</f>
        <v/>
      </c>
      <c r="I1299" s="7" t="str">
        <f>IFERROR(IF(OR(PRECIOS!I1299="",PRECIOS!I1298=""),"",PRECIOS!I1299/PRECIOS!I1298-1),"")</f>
        <v/>
      </c>
    </row>
    <row r="1300" ht="15.75" customHeight="1">
      <c r="A1300" s="4" t="str">
        <f>IF(PRECIOS!A1300="","",PRECIOS!A1300)</f>
        <v/>
      </c>
      <c r="B1300" s="7" t="str">
        <f>IFERROR(IF(OR(PRECIOS!B1300="",PRECIOS!B1299=""),"",PRECIOS!B1300/PRECIOS!B1299-1),"")</f>
        <v/>
      </c>
      <c r="C1300" s="7" t="str">
        <f>IFERROR(IF(OR(PRECIOS!C1300="",PRECIOS!C1299=""),"",PRECIOS!C1300/PRECIOS!C1299-1),"")</f>
        <v/>
      </c>
      <c r="D1300" s="7" t="str">
        <f>IFERROR(IF(OR(PRECIOS!D1300="",PRECIOS!D1299=""),"",PRECIOS!D1300/PRECIOS!D1299-1),"")</f>
        <v/>
      </c>
      <c r="E1300" s="7" t="str">
        <f>IFERROR(IF(OR(PRECIOS!E1300="",PRECIOS!E1299=""),"",PRECIOS!E1300/PRECIOS!E1299-1),"")</f>
        <v/>
      </c>
      <c r="F1300" s="7" t="str">
        <f>IFERROR(IF(OR(PRECIOS!F1300="",PRECIOS!F1299=""),"",PRECIOS!F1300/PRECIOS!F1299-1),"")</f>
        <v/>
      </c>
      <c r="G1300" s="7" t="str">
        <f>IFERROR(IF(OR(PRECIOS!G1300="",PRECIOS!G1299=""),"",PRECIOS!G1300/PRECIOS!G1299-1),"")</f>
        <v/>
      </c>
      <c r="H1300" s="7" t="str">
        <f>IFERROR(IF(OR(PRECIOS!H1300="",PRECIOS!H1299=""),"",PRECIOS!H1300/PRECIOS!H1299-1),"")</f>
        <v/>
      </c>
      <c r="I1300" s="7" t="str">
        <f>IFERROR(IF(OR(PRECIOS!I1300="",PRECIOS!I1299=""),"",PRECIOS!I1300/PRECIOS!I1299-1),"")</f>
        <v/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9" width="10.71"/>
    <col customWidth="1" min="10" max="10" width="8.71"/>
    <col customWidth="1" min="11" max="11" width="46.71"/>
    <col customWidth="1" min="12" max="26" width="8.71"/>
  </cols>
  <sheetData>
    <row r="1">
      <c r="A1" s="1" t="s">
        <v>0</v>
      </c>
    </row>
    <row r="2">
      <c r="A2" s="2" t="s">
        <v>4</v>
      </c>
    </row>
    <row r="4"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>
      <c r="A5" s="3" t="s">
        <v>6</v>
      </c>
      <c r="B5" s="6">
        <f>IFERROR(CORREL(RETORNOS!$B$5:$B$1300,RETORNOS!$B$5:$B$1300),"")</f>
        <v>1</v>
      </c>
      <c r="C5" s="6">
        <f>IFERROR(CORREL(RETORNOS!$B$5:$B$1300,RETORNOS!$C$5:$C$1300),"")</f>
        <v>0.1782617314</v>
      </c>
      <c r="D5" s="6">
        <f>IFERROR(CORREL(RETORNOS!$B$5:$B$1300,RETORNOS!$D$5:$D$1300),"")</f>
        <v>0.1350827249</v>
      </c>
      <c r="E5" s="6">
        <f>IFERROR(CORREL(RETORNOS!$B$5:$B$1300,RETORNOS!$E$5:$E$1300),"")</f>
        <v>0.1234392854</v>
      </c>
      <c r="F5" s="6">
        <f>IFERROR(CORREL(RETORNOS!$B$5:$B$1300,RETORNOS!$F$5:$F$1300),"")</f>
        <v>0.3720459423</v>
      </c>
      <c r="G5" s="6">
        <f>IFERROR(CORREL(RETORNOS!$B$5:$B$1300,RETORNOS!$G$5:$G$1300),"")</f>
        <v>0.5176388419</v>
      </c>
      <c r="H5" s="6">
        <f>IFERROR(CORREL(RETORNOS!$B$5:$B$1300,RETORNOS!$H$5:$H$1300),"")</f>
        <v>0.9234268078</v>
      </c>
      <c r="I5" s="6">
        <f>IFERROR(CORREL(RETORNOS!$B$5:$B$1300,RETORNOS!$I$5:$I$1300),"")</f>
        <v>0.2100448597</v>
      </c>
      <c r="K5" s="2" t="s">
        <v>14</v>
      </c>
    </row>
    <row r="6">
      <c r="A6" s="3" t="s">
        <v>7</v>
      </c>
      <c r="B6" s="6">
        <f>IFERROR(CORREL(RETORNOS!$C$5:$C$1300,RETORNOS!$B$5:$B$1300),"")</f>
        <v>0.1782617314</v>
      </c>
      <c r="C6" s="6">
        <f>IFERROR(CORREL(RETORNOS!$C$5:$C$1300,RETORNOS!$C$5:$C$1300),"")</f>
        <v>1</v>
      </c>
      <c r="D6" s="6">
        <f>IFERROR(CORREL(RETORNOS!$C$5:$C$1300,RETORNOS!$D$5:$D$1300),"")</f>
        <v>0.09693390851</v>
      </c>
      <c r="E6" s="6">
        <f>IFERROR(CORREL(RETORNOS!$C$5:$C$1300,RETORNOS!$E$5:$E$1300),"")</f>
        <v>0.03344864657</v>
      </c>
      <c r="F6" s="6">
        <f>IFERROR(CORREL(RETORNOS!$C$5:$C$1300,RETORNOS!$F$5:$F$1300),"")</f>
        <v>0.06382320092</v>
      </c>
      <c r="G6" s="6">
        <f>IFERROR(CORREL(RETORNOS!$C$5:$C$1300,RETORNOS!$G$5:$G$1300),"")</f>
        <v>0.3158031989</v>
      </c>
      <c r="H6" s="6">
        <f>IFERROR(CORREL(RETORNOS!$C$5:$C$1300,RETORNOS!$H$5:$H$1300),"")</f>
        <v>0.1819554982</v>
      </c>
      <c r="I6" s="6">
        <f>IFERROR(CORREL(RETORNOS!$C$5:$C$1300,RETORNOS!$I$5:$I$1300),"")</f>
        <v>0.8183108157</v>
      </c>
      <c r="K6" s="2" t="s">
        <v>27</v>
      </c>
    </row>
    <row r="7">
      <c r="A7" s="3" t="s">
        <v>8</v>
      </c>
      <c r="B7" s="6">
        <f>IFERROR(CORREL(RETORNOS!$D$5:$D$1300,RETORNOS!$B$5:$B$1300),"")</f>
        <v>0.1350827249</v>
      </c>
      <c r="C7" s="6">
        <f>IFERROR(CORREL(RETORNOS!$D$5:$D$1300,RETORNOS!$C$5:$C$1300),"")</f>
        <v>0.09693390851</v>
      </c>
      <c r="D7" s="6">
        <f>IFERROR(CORREL(RETORNOS!$D$5:$D$1300,RETORNOS!$D$5:$D$1300),"")</f>
        <v>1</v>
      </c>
      <c r="E7" s="6">
        <f>IFERROR(CORREL(RETORNOS!$D$5:$D$1300,RETORNOS!$E$5:$E$1300),"")</f>
        <v>0.5301048747</v>
      </c>
      <c r="F7" s="6">
        <f>IFERROR(CORREL(RETORNOS!$D$5:$D$1300,RETORNOS!$F$5:$F$1300),"")</f>
        <v>0.2129805652</v>
      </c>
      <c r="G7" s="6">
        <f>IFERROR(CORREL(RETORNOS!$D$5:$D$1300,RETORNOS!$G$5:$G$1300),"")</f>
        <v>0.3688808125</v>
      </c>
      <c r="H7" s="6">
        <f>IFERROR(CORREL(RETORNOS!$D$5:$D$1300,RETORNOS!$H$5:$H$1300),"")</f>
        <v>0.2424140423</v>
      </c>
      <c r="I7" s="6">
        <f>IFERROR(CORREL(RETORNOS!$D$5:$D$1300,RETORNOS!$I$5:$I$1300),"")</f>
        <v>0.4258573674</v>
      </c>
      <c r="K7" s="2" t="s">
        <v>46</v>
      </c>
    </row>
    <row r="8">
      <c r="A8" s="3" t="s">
        <v>9</v>
      </c>
      <c r="B8" s="6">
        <f>IFERROR(CORREL(RETORNOS!$E$5:$E$1300,RETORNOS!$B$5:$B$1300),"")</f>
        <v>0.1234392854</v>
      </c>
      <c r="C8" s="6">
        <f>IFERROR(CORREL(RETORNOS!$E$5:$E$1300,RETORNOS!$C$5:$C$1300),"")</f>
        <v>0.03344864657</v>
      </c>
      <c r="D8" s="6">
        <f>IFERROR(CORREL(RETORNOS!$E$5:$E$1300,RETORNOS!$D$5:$D$1300),"")</f>
        <v>0.5301048747</v>
      </c>
      <c r="E8" s="6">
        <f>IFERROR(CORREL(RETORNOS!$E$5:$E$1300,RETORNOS!$E$5:$E$1300),"")</f>
        <v>1</v>
      </c>
      <c r="F8" s="6">
        <f>IFERROR(CORREL(RETORNOS!$E$5:$E$1300,RETORNOS!$F$5:$F$1300),"")</f>
        <v>0.2335859357</v>
      </c>
      <c r="G8" s="6">
        <f>IFERROR(CORREL(RETORNOS!$E$5:$E$1300,RETORNOS!$G$5:$G$1300),"")</f>
        <v>0.3144851333</v>
      </c>
      <c r="H8" s="6">
        <f>IFERROR(CORREL(RETORNOS!$E$5:$E$1300,RETORNOS!$H$5:$H$1300),"")</f>
        <v>0.2350525293</v>
      </c>
      <c r="I8" s="6">
        <f>IFERROR(CORREL(RETORNOS!$E$5:$E$1300,RETORNOS!$I$5:$I$1300),"")</f>
        <v>0.2957107037</v>
      </c>
      <c r="K8" s="2" t="s">
        <v>47</v>
      </c>
    </row>
    <row r="9">
      <c r="A9" s="3" t="s">
        <v>10</v>
      </c>
      <c r="B9" s="6">
        <f>IFERROR(CORREL(RETORNOS!$F$5:$F$1300,RETORNOS!$B$5:$B$1300),"")</f>
        <v>0.3720459423</v>
      </c>
      <c r="C9" s="6">
        <f>IFERROR(CORREL(RETORNOS!$F$5:$F$1300,RETORNOS!$C$5:$C$1300),"")</f>
        <v>0.06382320092</v>
      </c>
      <c r="D9" s="6">
        <f>IFERROR(CORREL(RETORNOS!$F$5:$F$1300,RETORNOS!$D$5:$D$1300),"")</f>
        <v>0.2129805652</v>
      </c>
      <c r="E9" s="6">
        <f>IFERROR(CORREL(RETORNOS!$F$5:$F$1300,RETORNOS!$E$5:$E$1300),"")</f>
        <v>0.2335859357</v>
      </c>
      <c r="F9" s="6">
        <f>IFERROR(CORREL(RETORNOS!$F$5:$F$1300,RETORNOS!$F$5:$F$1300),"")</f>
        <v>1</v>
      </c>
      <c r="G9" s="6">
        <f>IFERROR(CORREL(RETORNOS!$F$5:$F$1300,RETORNOS!$G$5:$G$1300),"")</f>
        <v>0.2816802863</v>
      </c>
      <c r="H9" s="6">
        <f>IFERROR(CORREL(RETORNOS!$F$5:$F$1300,RETORNOS!$H$5:$H$1300),"")</f>
        <v>0.440875198</v>
      </c>
      <c r="I9" s="6">
        <f>IFERROR(CORREL(RETORNOS!$F$5:$F$1300,RETORNOS!$I$5:$I$1300),"")</f>
        <v>0.1591856744</v>
      </c>
      <c r="K9" s="2"/>
    </row>
    <row r="10">
      <c r="A10" s="3" t="s">
        <v>11</v>
      </c>
      <c r="B10" s="6">
        <f>IFERROR(CORREL(RETORNOS!$G$5:$G$1300,RETORNOS!$B$5:$B$1300),"")</f>
        <v>0.5176388419</v>
      </c>
      <c r="C10" s="6">
        <f>IFERROR(CORREL(RETORNOS!$G$5:$G$1300,RETORNOS!$C$5:$C$1300),"")</f>
        <v>0.3158031989</v>
      </c>
      <c r="D10" s="6">
        <f>IFERROR(CORREL(RETORNOS!$G$5:$G$1300,RETORNOS!$D$5:$D$1300),"")</f>
        <v>0.3688808125</v>
      </c>
      <c r="E10" s="6">
        <f>IFERROR(CORREL(RETORNOS!$G$5:$G$1300,RETORNOS!$E$5:$E$1300),"")</f>
        <v>0.3144851333</v>
      </c>
      <c r="F10" s="6">
        <f>IFERROR(CORREL(RETORNOS!$G$5:$G$1300,RETORNOS!$F$5:$F$1300),"")</f>
        <v>0.2816802863</v>
      </c>
      <c r="G10" s="6">
        <f>IFERROR(CORREL(RETORNOS!$G$5:$G$1300,RETORNOS!$G$5:$G$1300),"")</f>
        <v>1</v>
      </c>
      <c r="H10" s="6">
        <f>IFERROR(CORREL(RETORNOS!$G$5:$G$1300,RETORNOS!$H$5:$H$1300),"")</f>
        <v>0.6496812509</v>
      </c>
      <c r="I10" s="6">
        <f>IFERROR(CORREL(RETORNOS!$G$5:$G$1300,RETORNOS!$I$5:$I$1300),"")</f>
        <v>0.4427131924</v>
      </c>
      <c r="K10" s="2" t="s">
        <v>52</v>
      </c>
    </row>
    <row r="11">
      <c r="A11" s="3" t="s">
        <v>12</v>
      </c>
      <c r="B11" s="6">
        <f>IFERROR(CORREL(RETORNOS!$H$5:$H$1300,RETORNOS!$B$5:$B$1300),"")</f>
        <v>0.9234268078</v>
      </c>
      <c r="C11" s="6">
        <f>IFERROR(CORREL(RETORNOS!$H$5:$H$1300,RETORNOS!$C$5:$C$1300),"")</f>
        <v>0.1819554982</v>
      </c>
      <c r="D11" s="6">
        <f>IFERROR(CORREL(RETORNOS!$H$5:$H$1300,RETORNOS!$D$5:$D$1300),"")</f>
        <v>0.2424140423</v>
      </c>
      <c r="E11" s="6">
        <f>IFERROR(CORREL(RETORNOS!$H$5:$H$1300,RETORNOS!$E$5:$E$1300),"")</f>
        <v>0.2350525293</v>
      </c>
      <c r="F11" s="6">
        <f>IFERROR(CORREL(RETORNOS!$H$5:$H$1300,RETORNOS!$F$5:$F$1300),"")</f>
        <v>0.440875198</v>
      </c>
      <c r="G11" s="6">
        <f>IFERROR(CORREL(RETORNOS!$H$5:$H$1300,RETORNOS!$G$5:$G$1300),"")</f>
        <v>0.6496812509</v>
      </c>
      <c r="H11" s="6">
        <f>IFERROR(CORREL(RETORNOS!$H$5:$H$1300,RETORNOS!$H$5:$H$1300),"")</f>
        <v>1</v>
      </c>
      <c r="I11" s="6">
        <f>IFERROR(CORREL(RETORNOS!$H$5:$H$1300,RETORNOS!$I$5:$I$1300),"")</f>
        <v>0.2665983364</v>
      </c>
      <c r="K11" s="2" t="s">
        <v>55</v>
      </c>
    </row>
    <row r="12">
      <c r="A12" s="3" t="s">
        <v>13</v>
      </c>
      <c r="B12" s="6">
        <f>IFERROR(CORREL(RETORNOS!$I$5:$I$1300,RETORNOS!$B$5:$B$1300),"")</f>
        <v>0.2100448597</v>
      </c>
      <c r="C12" s="6">
        <f>IFERROR(CORREL(RETORNOS!$I$5:$I$1300,RETORNOS!$C$5:$C$1300),"")</f>
        <v>0.8183108157</v>
      </c>
      <c r="D12" s="6">
        <f>IFERROR(CORREL(RETORNOS!$I$5:$I$1300,RETORNOS!$D$5:$D$1300),"")</f>
        <v>0.4258573674</v>
      </c>
      <c r="E12" s="6">
        <f>IFERROR(CORREL(RETORNOS!$I$5:$I$1300,RETORNOS!$E$5:$E$1300),"")</f>
        <v>0.2957107037</v>
      </c>
      <c r="F12" s="6">
        <f>IFERROR(CORREL(RETORNOS!$I$5:$I$1300,RETORNOS!$F$5:$F$1300),"")</f>
        <v>0.1591856744</v>
      </c>
      <c r="G12" s="6">
        <f>IFERROR(CORREL(RETORNOS!$I$5:$I$1300,RETORNOS!$G$5:$G$1300),"")</f>
        <v>0.4427131924</v>
      </c>
      <c r="H12" s="6">
        <f>IFERROR(CORREL(RETORNOS!$I$5:$I$1300,RETORNOS!$H$5:$H$1300),"")</f>
        <v>0.2665983364</v>
      </c>
      <c r="I12" s="6">
        <f>IFERROR(CORREL(RETORNOS!$I$5:$I$1300,RETORNOS!$I$5:$I$1300),"")</f>
        <v>1</v>
      </c>
      <c r="K12" s="2" t="s">
        <v>59</v>
      </c>
    </row>
    <row r="13">
      <c r="K13" s="2"/>
    </row>
    <row r="14">
      <c r="K14" s="2" t="s">
        <v>60</v>
      </c>
    </row>
    <row r="15">
      <c r="A15" s="11" t="s">
        <v>61</v>
      </c>
      <c r="B15" s="19">
        <f>IFERROR((SUM(B5:G10)-6)/30,"")</f>
        <v>0.2518796726</v>
      </c>
      <c r="C15" s="2" t="s">
        <v>62</v>
      </c>
      <c r="K15" s="2" t="s">
        <v>63</v>
      </c>
    </row>
    <row r="16">
      <c r="K16" s="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5:I13">
    <cfRule type="colorScale" priority="1">
      <colorScale>
        <cfvo type="formula" val="-1"/>
        <cfvo type="formula" val="0.5"/>
        <cfvo type="formula" val="1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9" width="13.71"/>
    <col customWidth="1" min="10" max="26" width="8.71"/>
  </cols>
  <sheetData>
    <row r="1">
      <c r="A1" s="1" t="s">
        <v>98</v>
      </c>
    </row>
    <row r="2">
      <c r="A2" s="2" t="s">
        <v>100</v>
      </c>
    </row>
    <row r="4"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>
      <c r="A5" s="3" t="s">
        <v>6</v>
      </c>
      <c r="B5" s="23">
        <f>IFERROR(_xlfn.COVARIANCE.S(RETORNOS!$B$5:$B$1300,RETORNOS!$B$5:$B$1300),"")</f>
        <v>0.0002831132936</v>
      </c>
      <c r="C5" s="23">
        <f>IFERROR(_xlfn.COVARIANCE.S(RETORNOS!$B$5:$B$1300,RETORNOS!$C$5:$C$1300),"")</f>
        <v>0.00003539477366</v>
      </c>
      <c r="D5" s="23">
        <f>IFERROR(_xlfn.COVARIANCE.S(RETORNOS!$B$5:$B$1300,RETORNOS!$D$5:$D$1300),"")</f>
        <v>0.00006916028992</v>
      </c>
      <c r="E5" s="23">
        <f>IFERROR(_xlfn.COVARIANCE.S(RETORNOS!$B$5:$B$1300,RETORNOS!$E$5:$E$1300),"")</f>
        <v>0.00004106561525</v>
      </c>
      <c r="F5" s="23">
        <f>IFERROR(_xlfn.COVARIANCE.S(RETORNOS!$B$5:$B$1300,RETORNOS!$F$5:$F$1300),"")</f>
        <v>0.0002149482836</v>
      </c>
      <c r="G5" s="23">
        <f>IFERROR(_xlfn.COVARIANCE.S(RETORNOS!$B$5:$B$1300,RETORNOS!$G$5:$G$1300),"")</f>
        <v>0.0001311573694</v>
      </c>
      <c r="H5" s="23">
        <f>IFERROR(_xlfn.COVARIANCE.S(RETORNOS!$B$5:$B$1300,RETORNOS!$H$5:$H$1300),"")</f>
        <v>0.0002520555478</v>
      </c>
      <c r="I5" s="23">
        <f>IFERROR(_xlfn.COVARIANCE.S(RETORNOS!$B$5:$B$1300,RETORNOS!$I$5:$I$1300),"")</f>
        <v>0.00003860090343</v>
      </c>
    </row>
    <row r="6">
      <c r="A6" s="3" t="s">
        <v>7</v>
      </c>
      <c r="B6" s="23">
        <f>IFERROR(_xlfn.COVARIANCE.S(RETORNOS!$C$5:$C$1300,RETORNOS!$B$5:$B$1300),"")</f>
        <v>0.00003539477366</v>
      </c>
      <c r="C6" s="23">
        <f>IFERROR(_xlfn.COVARIANCE.S(RETORNOS!$C$5:$C$1300,RETORNOS!$C$5:$C$1300),"")</f>
        <v>0.0001392521074</v>
      </c>
      <c r="D6" s="23">
        <f>IFERROR(_xlfn.COVARIANCE.S(RETORNOS!$C$5:$C$1300,RETORNOS!$D$5:$D$1300),"")</f>
        <v>0.00003480594856</v>
      </c>
      <c r="E6" s="23">
        <f>IFERROR(_xlfn.COVARIANCE.S(RETORNOS!$C$5:$C$1300,RETORNOS!$E$5:$E$1300),"")</f>
        <v>0.000007804125443</v>
      </c>
      <c r="F6" s="23">
        <f>IFERROR(_xlfn.COVARIANCE.S(RETORNOS!$C$5:$C$1300,RETORNOS!$F$5:$F$1300),"")</f>
        <v>0.0000258604899</v>
      </c>
      <c r="G6" s="23">
        <f>IFERROR(_xlfn.COVARIANCE.S(RETORNOS!$C$5:$C$1300,RETORNOS!$G$5:$G$1300),"")</f>
        <v>0.00005611812119</v>
      </c>
      <c r="H6" s="23">
        <f>IFERROR(_xlfn.COVARIANCE.S(RETORNOS!$C$5:$C$1300,RETORNOS!$H$5:$H$1300),"")</f>
        <v>0.00003483210516</v>
      </c>
      <c r="I6" s="23">
        <f>IFERROR(_xlfn.COVARIANCE.S(RETORNOS!$C$5:$C$1300,RETORNOS!$I$5:$I$1300),"")</f>
        <v>0.0001054689105</v>
      </c>
    </row>
    <row r="7">
      <c r="A7" s="3" t="s">
        <v>8</v>
      </c>
      <c r="B7" s="23">
        <f>IFERROR(_xlfn.COVARIANCE.S(RETORNOS!$D$5:$D$1300,RETORNOS!$B$5:$B$1300),"")</f>
        <v>0.00006916028992</v>
      </c>
      <c r="C7" s="23">
        <f>IFERROR(_xlfn.COVARIANCE.S(RETORNOS!$D$5:$D$1300,RETORNOS!$C$5:$C$1300),"")</f>
        <v>0.00003480594856</v>
      </c>
      <c r="D7" s="23">
        <f>IFERROR(_xlfn.COVARIANCE.S(RETORNOS!$D$5:$D$1300,RETORNOS!$D$5:$D$1300),"")</f>
        <v>0.0009258779104</v>
      </c>
      <c r="E7" s="23">
        <f>IFERROR(_xlfn.COVARIANCE.S(RETORNOS!$D$5:$D$1300,RETORNOS!$E$5:$E$1300),"")</f>
        <v>0.000318921254</v>
      </c>
      <c r="F7" s="23">
        <f>IFERROR(_xlfn.COVARIANCE.S(RETORNOS!$D$5:$D$1300,RETORNOS!$F$5:$F$1300),"")</f>
        <v>0.0002225225945</v>
      </c>
      <c r="G7" s="23">
        <f>IFERROR(_xlfn.COVARIANCE.S(RETORNOS!$D$5:$D$1300,RETORNOS!$G$5:$G$1300),"")</f>
        <v>0.0001690241018</v>
      </c>
      <c r="H7" s="23">
        <f>IFERROR(_xlfn.COVARIANCE.S(RETORNOS!$D$5:$D$1300,RETORNOS!$H$5:$H$1300),"")</f>
        <v>0.0001196598038</v>
      </c>
      <c r="I7" s="23">
        <f>IFERROR(_xlfn.COVARIANCE.S(RETORNOS!$D$5:$D$1300,RETORNOS!$I$5:$I$1300),"")</f>
        <v>0.0001415292831</v>
      </c>
    </row>
    <row r="8">
      <c r="A8" s="3" t="s">
        <v>9</v>
      </c>
      <c r="B8" s="23">
        <f>IFERROR(_xlfn.COVARIANCE.S(RETORNOS!$E$5:$E$1300,RETORNOS!$B$5:$B$1300),"")</f>
        <v>0.00004106561525</v>
      </c>
      <c r="C8" s="23">
        <f>IFERROR(_xlfn.COVARIANCE.S(RETORNOS!$E$5:$E$1300,RETORNOS!$C$5:$C$1300),"")</f>
        <v>0.000007804125443</v>
      </c>
      <c r="D8" s="23">
        <f>IFERROR(_xlfn.COVARIANCE.S(RETORNOS!$E$5:$E$1300,RETORNOS!$D$5:$D$1300),"")</f>
        <v>0.000318921254</v>
      </c>
      <c r="E8" s="23">
        <f>IFERROR(_xlfn.COVARIANCE.S(RETORNOS!$E$5:$E$1300,RETORNOS!$E$5:$E$1300),"")</f>
        <v>0.0003909215459</v>
      </c>
      <c r="F8" s="23">
        <f>IFERROR(_xlfn.COVARIANCE.S(RETORNOS!$E$5:$E$1300,RETORNOS!$F$5:$F$1300),"")</f>
        <v>0.000158580131</v>
      </c>
      <c r="G8" s="23">
        <f>IFERROR(_xlfn.COVARIANCE.S(RETORNOS!$E$5:$E$1300,RETORNOS!$G$5:$G$1300),"")</f>
        <v>0.00009363336538</v>
      </c>
      <c r="H8" s="23">
        <f>IFERROR(_xlfn.COVARIANCE.S(RETORNOS!$E$5:$E$1300,RETORNOS!$H$5:$H$1300),"")</f>
        <v>0.00007539167355</v>
      </c>
      <c r="I8" s="23">
        <f>IFERROR(_xlfn.COVARIANCE.S(RETORNOS!$E$5:$E$1300,RETORNOS!$I$5:$I$1300),"")</f>
        <v>0.00006385826707</v>
      </c>
    </row>
    <row r="9">
      <c r="A9" s="3" t="s">
        <v>10</v>
      </c>
      <c r="B9" s="23">
        <f>IFERROR(_xlfn.COVARIANCE.S(RETORNOS!$F$5:$F$1300,RETORNOS!$B$5:$B$1300),"")</f>
        <v>0.0002149482836</v>
      </c>
      <c r="C9" s="23">
        <f>IFERROR(_xlfn.COVARIANCE.S(RETORNOS!$F$5:$F$1300,RETORNOS!$C$5:$C$1300),"")</f>
        <v>0.0000258604899</v>
      </c>
      <c r="D9" s="23">
        <f>IFERROR(_xlfn.COVARIANCE.S(RETORNOS!$F$5:$F$1300,RETORNOS!$D$5:$D$1300),"")</f>
        <v>0.0002225225945</v>
      </c>
      <c r="E9" s="23">
        <f>IFERROR(_xlfn.COVARIANCE.S(RETORNOS!$F$5:$F$1300,RETORNOS!$E$5:$E$1300),"")</f>
        <v>0.000158580131</v>
      </c>
      <c r="F9" s="23">
        <f>IFERROR(_xlfn.COVARIANCE.S(RETORNOS!$F$5:$F$1300,RETORNOS!$F$5:$F$1300),"")</f>
        <v>0.00117900204</v>
      </c>
      <c r="G9" s="23">
        <f>IFERROR(_xlfn.COVARIANCE.S(RETORNOS!$F$5:$F$1300,RETORNOS!$G$5:$G$1300),"")</f>
        <v>0.000145646295</v>
      </c>
      <c r="H9" s="23">
        <f>IFERROR(_xlfn.COVARIANCE.S(RETORNOS!$F$5:$F$1300,RETORNOS!$H$5:$H$1300),"")</f>
        <v>0.0002455763823</v>
      </c>
      <c r="I9" s="23">
        <f>IFERROR(_xlfn.COVARIANCE.S(RETORNOS!$F$5:$F$1300,RETORNOS!$I$5:$I$1300),"")</f>
        <v>0.00005969892905</v>
      </c>
    </row>
    <row r="10">
      <c r="A10" s="3" t="s">
        <v>11</v>
      </c>
      <c r="B10" s="23">
        <f>IFERROR(_xlfn.COVARIANCE.S(RETORNOS!$G$5:$G$1300,RETORNOS!$B$5:$B$1300),"")</f>
        <v>0.0001311573694</v>
      </c>
      <c r="C10" s="23">
        <f>IFERROR(_xlfn.COVARIANCE.S(RETORNOS!$G$5:$G$1300,RETORNOS!$C$5:$C$1300),"")</f>
        <v>0.00005611812119</v>
      </c>
      <c r="D10" s="23">
        <f>IFERROR(_xlfn.COVARIANCE.S(RETORNOS!$G$5:$G$1300,RETORNOS!$D$5:$D$1300),"")</f>
        <v>0.0001690241018</v>
      </c>
      <c r="E10" s="23">
        <f>IFERROR(_xlfn.COVARIANCE.S(RETORNOS!$G$5:$G$1300,RETORNOS!$E$5:$E$1300),"")</f>
        <v>0.00009363336538</v>
      </c>
      <c r="F10" s="23">
        <f>IFERROR(_xlfn.COVARIANCE.S(RETORNOS!$G$5:$G$1300,RETORNOS!$F$5:$F$1300),"")</f>
        <v>0.000145646295</v>
      </c>
      <c r="G10" s="23">
        <f>IFERROR(_xlfn.COVARIANCE.S(RETORNOS!$G$5:$G$1300,RETORNOS!$G$5:$G$1300),"")</f>
        <v>0.0002267625955</v>
      </c>
      <c r="H10" s="23">
        <f>IFERROR(_xlfn.COVARIANCE.S(RETORNOS!$G$5:$G$1300,RETORNOS!$H$5:$H$1300),"")</f>
        <v>0.0001587083201</v>
      </c>
      <c r="I10" s="23">
        <f>IFERROR(_xlfn.COVARIANCE.S(RETORNOS!$G$5:$G$1300,RETORNOS!$I$5:$I$1300),"")</f>
        <v>0.00007281375928</v>
      </c>
    </row>
    <row r="11">
      <c r="A11" s="3" t="s">
        <v>12</v>
      </c>
      <c r="B11" s="23">
        <f>IFERROR(_xlfn.COVARIANCE.S(RETORNOS!$H$5:$H$1300,RETORNOS!$B$5:$B$1300),"")</f>
        <v>0.0002520555478</v>
      </c>
      <c r="C11" s="23">
        <f>IFERROR(_xlfn.COVARIANCE.S(RETORNOS!$H$5:$H$1300,RETORNOS!$C$5:$C$1300),"")</f>
        <v>0.00003483210516</v>
      </c>
      <c r="D11" s="23">
        <f>IFERROR(_xlfn.COVARIANCE.S(RETORNOS!$H$5:$H$1300,RETORNOS!$D$5:$D$1300),"")</f>
        <v>0.0001196598038</v>
      </c>
      <c r="E11" s="23">
        <f>IFERROR(_xlfn.COVARIANCE.S(RETORNOS!$H$5:$H$1300,RETORNOS!$E$5:$E$1300),"")</f>
        <v>0.00007539167355</v>
      </c>
      <c r="F11" s="23">
        <f>IFERROR(_xlfn.COVARIANCE.S(RETORNOS!$H$5:$H$1300,RETORNOS!$F$5:$F$1300),"")</f>
        <v>0.0002455763823</v>
      </c>
      <c r="G11" s="23">
        <f>IFERROR(_xlfn.COVARIANCE.S(RETORNOS!$H$5:$H$1300,RETORNOS!$G$5:$G$1300),"")</f>
        <v>0.0001587083201</v>
      </c>
      <c r="H11" s="23">
        <f>IFERROR(_xlfn.COVARIANCE.S(RETORNOS!$H$5:$H$1300,RETORNOS!$H$5:$H$1300),"")</f>
        <v>0.0002631644992</v>
      </c>
      <c r="I11" s="23">
        <f>IFERROR(_xlfn.COVARIANCE.S(RETORNOS!$H$5:$H$1300,RETORNOS!$I$5:$I$1300),"")</f>
        <v>0.00004723635379</v>
      </c>
    </row>
    <row r="12">
      <c r="A12" s="3" t="s">
        <v>13</v>
      </c>
      <c r="B12" s="23">
        <f>IFERROR(_xlfn.COVARIANCE.S(RETORNOS!$I$5:$I$1300,RETORNOS!$B$5:$B$1300),"")</f>
        <v>0.00003860090343</v>
      </c>
      <c r="C12" s="23">
        <f>IFERROR(_xlfn.COVARIANCE.S(RETORNOS!$I$5:$I$1300,RETORNOS!$C$5:$C$1300),"")</f>
        <v>0.0001054689105</v>
      </c>
      <c r="D12" s="23">
        <f>IFERROR(_xlfn.COVARIANCE.S(RETORNOS!$I$5:$I$1300,RETORNOS!$D$5:$D$1300),"")</f>
        <v>0.0001415292831</v>
      </c>
      <c r="E12" s="23">
        <f>IFERROR(_xlfn.COVARIANCE.S(RETORNOS!$I$5:$I$1300,RETORNOS!$E$5:$E$1300),"")</f>
        <v>0.00006385826707</v>
      </c>
      <c r="F12" s="23">
        <f>IFERROR(_xlfn.COVARIANCE.S(RETORNOS!$I$5:$I$1300,RETORNOS!$F$5:$F$1300),"")</f>
        <v>0.00005969892905</v>
      </c>
      <c r="G12" s="23">
        <f>IFERROR(_xlfn.COVARIANCE.S(RETORNOS!$I$5:$I$1300,RETORNOS!$G$5:$G$1300),"")</f>
        <v>0.00007281375928</v>
      </c>
      <c r="H12" s="23">
        <f>IFERROR(_xlfn.COVARIANCE.S(RETORNOS!$I$5:$I$1300,RETORNOS!$H$5:$H$1300),"")</f>
        <v>0.00004723635379</v>
      </c>
      <c r="I12" s="23">
        <f>IFERROR(_xlfn.COVARIANCE.S(RETORNOS!$I$5:$I$1300,RETORNOS!$I$5:$I$1300),"")</f>
        <v>0.0001192917915</v>
      </c>
    </row>
    <row r="15">
      <c r="A15" s="11" t="s">
        <v>115</v>
      </c>
      <c r="B15" s="25" t="str">
        <f>IF(ABS(B5-(_xlfn.STDEV.S(RETORNOS!$B$5:$B$1300))^2)&lt;0.0000001,"OK","ERROR")</f>
        <v>OK</v>
      </c>
      <c r="C15" s="2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9" width="12.71"/>
    <col customWidth="1" min="10" max="10" width="42.71"/>
    <col customWidth="1" min="11" max="26" width="8.71"/>
  </cols>
  <sheetData>
    <row r="1">
      <c r="A1" s="1" t="s">
        <v>116</v>
      </c>
    </row>
    <row r="2">
      <c r="A2" s="2" t="s">
        <v>117</v>
      </c>
    </row>
    <row r="4">
      <c r="A4" s="3" t="s">
        <v>81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J4" s="3" t="s">
        <v>119</v>
      </c>
    </row>
    <row r="5">
      <c r="A5" s="11" t="s">
        <v>90</v>
      </c>
      <c r="B5" s="5">
        <f>IFERROR(_xlfn.COVARIANCE.S(RETORNOS!$B$5:$B$1300,RETORNOS!$H$5:$H$1300)/_xlfn.VAR.S(RETORNOS!$H$5:$H$1300),"")</f>
        <v>0.9577870438</v>
      </c>
      <c r="C5" s="5">
        <f>IFERROR(_xlfn.COVARIANCE.S(RETORNOS!$C$5:$C$1300,RETORNOS!$H$5:$H$1300)/_xlfn.VAR.S(RETORNOS!$H$5:$H$1300),"")</f>
        <v>0.1323586778</v>
      </c>
      <c r="D5" s="5">
        <f>IFERROR(_xlfn.COVARIANCE.S(RETORNOS!$D$5:$D$1300,RETORNOS!$H$5:$H$1300)/_xlfn.VAR.S(RETORNOS!$H$5:$H$1300),"")</f>
        <v>0.4546958429</v>
      </c>
      <c r="E5" s="5">
        <f>IFERROR(_xlfn.COVARIANCE.S(RETORNOS!$E$5:$E$1300,RETORNOS!$H$5:$H$1300)/_xlfn.VAR.S(RETORNOS!$H$5:$H$1300),"")</f>
        <v>0.2864811696</v>
      </c>
      <c r="F5" s="5">
        <f>IFERROR(_xlfn.COVARIANCE.S(RETORNOS!$F$5:$F$1300,RETORNOS!$H$5:$H$1300)/_xlfn.VAR.S(RETORNOS!$H$5:$H$1300),"")</f>
        <v>0.933166833</v>
      </c>
      <c r="G5" s="5">
        <f>IFERROR(_xlfn.COVARIANCE.S(RETORNOS!$G$5:$G$1300,RETORNOS!$H$5:$H$1300)/_xlfn.VAR.S(RETORNOS!$H$5:$H$1300),"")</f>
        <v>0.6030764808</v>
      </c>
      <c r="J5" s="2" t="s">
        <v>120</v>
      </c>
    </row>
    <row r="6">
      <c r="A6" s="11" t="s">
        <v>91</v>
      </c>
      <c r="B6" s="5">
        <f>IFERROR(_xlfn.COVARIANCE.S(RETORNOS!$B$5:$B$1300,RETORNOS!$I$5:$I$1300)/_xlfn.VAR.S(RETORNOS!$I$5:$I$1300),"")</f>
        <v>0.3235839025</v>
      </c>
      <c r="C6" s="5">
        <f>IFERROR(_xlfn.COVARIANCE.S(RETORNOS!$C$5:$C$1300,RETORNOS!$I$5:$I$1300)/_xlfn.VAR.S(RETORNOS!$I$5:$I$1300),"")</f>
        <v>0.8841254642</v>
      </c>
      <c r="D6" s="5">
        <f>IFERROR(_xlfn.COVARIANCE.S(RETORNOS!$D$5:$D$1300,RETORNOS!$I$5:$I$1300)/_xlfn.VAR.S(RETORNOS!$I$5:$I$1300),"")</f>
        <v>1.186412588</v>
      </c>
      <c r="E6" s="5">
        <f>IFERROR(_xlfn.COVARIANCE.S(RETORNOS!$E$5:$E$1300,RETORNOS!$I$5:$I$1300)/_xlfn.VAR.S(RETORNOS!$I$5:$I$1300),"")</f>
        <v>0.5353114935</v>
      </c>
      <c r="F6" s="5">
        <f>IFERROR(_xlfn.COVARIANCE.S(RETORNOS!$F$5:$F$1300,RETORNOS!$I$5:$I$1300)/_xlfn.VAR.S(RETORNOS!$I$5:$I$1300),"")</f>
        <v>0.5004445678</v>
      </c>
      <c r="G6" s="5">
        <f>IFERROR(_xlfn.COVARIANCE.S(RETORNOS!$G$5:$G$1300,RETORNOS!$I$5:$I$1300)/_xlfn.VAR.S(RETORNOS!$I$5:$I$1300),"")</f>
        <v>0.6103836514</v>
      </c>
      <c r="J6" s="2" t="s">
        <v>121</v>
      </c>
    </row>
    <row r="7">
      <c r="A7" s="11" t="s">
        <v>122</v>
      </c>
      <c r="B7" s="6">
        <f>IFERROR(RSQ(RETORNOS!$B$5:$B$1300,RETORNOS!$H$5:$H$1300),"")</f>
        <v>0.8527170693</v>
      </c>
      <c r="C7" s="6">
        <f>IFERROR(RSQ(RETORNOS!$C$5:$C$1300,RETORNOS!$H$5:$H$1300),"")</f>
        <v>0.03310780333</v>
      </c>
      <c r="D7" s="6">
        <f>IFERROR(RSQ(RETORNOS!$D$5:$D$1300,RETORNOS!$H$5:$H$1300),"")</f>
        <v>0.05876456792</v>
      </c>
      <c r="E7" s="6">
        <f>IFERROR(RSQ(RETORNOS!$E$5:$E$1300,RETORNOS!$H$5:$H$1300),"")</f>
        <v>0.05524969151</v>
      </c>
      <c r="F7" s="6">
        <f>IFERROR(RSQ(RETORNOS!$F$5:$F$1300,RETORNOS!$H$5:$H$1300),"")</f>
        <v>0.1943709402</v>
      </c>
      <c r="G7" s="6">
        <f>IFERROR(RSQ(RETORNOS!$G$5:$G$1300,RETORNOS!$H$5:$H$1300),"")</f>
        <v>0.4220857277</v>
      </c>
      <c r="J7" s="2" t="s">
        <v>123</v>
      </c>
    </row>
    <row r="8">
      <c r="A8" s="11" t="s">
        <v>124</v>
      </c>
      <c r="B8" s="6">
        <f>IFERROR(RSQ(RETORNOS!$B$5:$B$1300,RETORNOS!$I$5:$I$1300),"")</f>
        <v>0.04411884308</v>
      </c>
      <c r="C8" s="6">
        <f>IFERROR(RSQ(RETORNOS!$C$5:$C$1300,RETORNOS!$I$5:$I$1300),"")</f>
        <v>0.6696325911</v>
      </c>
      <c r="D8" s="6">
        <f>IFERROR(RSQ(RETORNOS!$D$5:$D$1300,RETORNOS!$I$5:$I$1300),"")</f>
        <v>0.1813544974</v>
      </c>
      <c r="E8" s="6">
        <f>IFERROR(RSQ(RETORNOS!$E$5:$E$1300,RETORNOS!$I$5:$I$1300),"")</f>
        <v>0.08744482027</v>
      </c>
      <c r="F8" s="6">
        <f>IFERROR(RSQ(RETORNOS!$F$5:$F$1300,RETORNOS!$I$5:$I$1300),"")</f>
        <v>0.02534007893</v>
      </c>
      <c r="G8" s="6">
        <f>IFERROR(RSQ(RETORNOS!$G$5:$G$1300,RETORNOS!$I$5:$I$1300),"")</f>
        <v>0.1959949707</v>
      </c>
      <c r="J8" s="2" t="s">
        <v>125</v>
      </c>
    </row>
    <row r="9">
      <c r="A9" s="11" t="s">
        <v>126</v>
      </c>
      <c r="B9" s="6">
        <f t="shared" ref="B9:G9" si="1">MAX(B7,B8)</f>
        <v>0.8527170693</v>
      </c>
      <c r="C9" s="6">
        <f t="shared" si="1"/>
        <v>0.6696325911</v>
      </c>
      <c r="D9" s="6">
        <f t="shared" si="1"/>
        <v>0.1813544974</v>
      </c>
      <c r="E9" s="6">
        <f t="shared" si="1"/>
        <v>0.08744482027</v>
      </c>
      <c r="F9" s="6">
        <f t="shared" si="1"/>
        <v>0.1943709402</v>
      </c>
      <c r="G9" s="6">
        <f t="shared" si="1"/>
        <v>0.4220857277</v>
      </c>
      <c r="J9" s="2" t="s">
        <v>127</v>
      </c>
    </row>
    <row r="10">
      <c r="A10" s="11" t="s">
        <v>128</v>
      </c>
      <c r="B10" s="7">
        <f>RESUMEN!$B$7+B5*(RESUMEN!$H$25-RESUMEN!$B$7)</f>
        <v>0.2974223438</v>
      </c>
      <c r="C10" s="7">
        <f>RESUMEN!$B$7+C5*(RESUMEN!$H$25-RESUMEN!$B$7)</f>
        <v>0.08117550523</v>
      </c>
      <c r="D10" s="7">
        <f>RESUMEN!$B$7+D5*(RESUMEN!$H$25-RESUMEN!$B$7)</f>
        <v>0.1656218312</v>
      </c>
      <c r="E10" s="7">
        <f>RESUMEN!$B$7+E5*(RESUMEN!$H$25-RESUMEN!$B$7)</f>
        <v>0.1215527239</v>
      </c>
      <c r="F10" s="7">
        <f>RESUMEN!$B$7+F5*(RESUMEN!$H$25-RESUMEN!$B$7)</f>
        <v>0.2909723077</v>
      </c>
      <c r="G10" s="7">
        <f>RESUMEN!$B$7+G5*(RESUMEN!$H$25-RESUMEN!$B$7)</f>
        <v>0.2044947912</v>
      </c>
      <c r="J10" s="2" t="s">
        <v>133</v>
      </c>
    </row>
    <row r="11">
      <c r="A11" s="11" t="s">
        <v>134</v>
      </c>
      <c r="B11" s="7">
        <f>RESUMEN!H19</f>
        <v>0.3145884704</v>
      </c>
      <c r="C11" s="7">
        <f>RESUMEN!H20</f>
        <v>0.1421678099</v>
      </c>
      <c r="D11" s="7">
        <f>RESUMEN!H21</f>
        <v>0.711039089</v>
      </c>
      <c r="E11" s="7">
        <f>RESUMEN!H22</f>
        <v>0.309438663</v>
      </c>
      <c r="F11" s="7">
        <f>RESUMEN!H23</f>
        <v>0.868196841</v>
      </c>
      <c r="G11" s="7">
        <f>RESUMEN!H24</f>
        <v>0.3280793195</v>
      </c>
      <c r="J11" s="2" t="s">
        <v>135</v>
      </c>
    </row>
    <row r="12">
      <c r="A12" s="11" t="s">
        <v>136</v>
      </c>
      <c r="B12" s="18">
        <f t="shared" ref="B12:G12" si="2">B11-B10</f>
        <v>0.0171661266</v>
      </c>
      <c r="C12" s="18">
        <f t="shared" si="2"/>
        <v>0.06099230465</v>
      </c>
      <c r="D12" s="18">
        <f t="shared" si="2"/>
        <v>0.5454172578</v>
      </c>
      <c r="E12" s="18">
        <f t="shared" si="2"/>
        <v>0.1878859392</v>
      </c>
      <c r="F12" s="18">
        <f t="shared" si="2"/>
        <v>0.5772245333</v>
      </c>
      <c r="G12" s="18">
        <f t="shared" si="2"/>
        <v>0.1235845283</v>
      </c>
      <c r="J12" s="2" t="s">
        <v>137</v>
      </c>
    </row>
    <row r="13">
      <c r="A13" s="11" t="s">
        <v>138</v>
      </c>
      <c r="B13" s="7">
        <f>ABS(B5)*RESUMEN!$K$25</f>
        <v>0.2466509995</v>
      </c>
      <c r="C13" s="7">
        <f>ABS(C5)*RESUMEN!$K$25</f>
        <v>0.03408523887</v>
      </c>
      <c r="D13" s="7">
        <f>ABS(D5)*RESUMEN!$K$25</f>
        <v>0.117094071</v>
      </c>
      <c r="E13" s="7">
        <f>ABS(E5)*RESUMEN!$K$25</f>
        <v>0.0737751333</v>
      </c>
      <c r="F13" s="7">
        <f>ABS(F5)*RESUMEN!$K$25</f>
        <v>0.2403107597</v>
      </c>
      <c r="G13" s="7">
        <f>ABS(G5)*RESUMEN!$K$25</f>
        <v>0.1553053132</v>
      </c>
      <c r="J13" s="2" t="s">
        <v>140</v>
      </c>
    </row>
    <row r="14">
      <c r="A14" s="11" t="s">
        <v>141</v>
      </c>
      <c r="B14" s="7">
        <f>IFERROR(SQRT(MAX(0,RESUMEN!K19^2-B13^2)),"")</f>
        <v>0.1025077285</v>
      </c>
      <c r="C14" s="7">
        <f>IFERROR(SQRT(MAX(0,RESUMEN!K20^2-C13^2)),"")</f>
        <v>0.1842002377</v>
      </c>
      <c r="D14" s="7">
        <f>IFERROR(SQRT(MAX(0,RESUMEN!K21^2-D13^2)),"")</f>
        <v>0.4686258763</v>
      </c>
      <c r="E14" s="7">
        <f>IFERROR(SQRT(MAX(0,RESUMEN!K22^2-E13^2)),"")</f>
        <v>0.3050728753</v>
      </c>
      <c r="F14" s="7">
        <f>IFERROR(SQRT(MAX(0,RESUMEN!K23^2-F13^2)),"")</f>
        <v>0.4892435516</v>
      </c>
      <c r="G14" s="7">
        <f>IFERROR(SQRT(MAX(0,RESUMEN!K24^2-G13^2)),"")</f>
        <v>0.1817262605</v>
      </c>
      <c r="J14" s="2" t="s">
        <v>143</v>
      </c>
    </row>
    <row r="16">
      <c r="A16" s="16" t="s">
        <v>144</v>
      </c>
      <c r="B16" s="25" t="s">
        <v>145</v>
      </c>
      <c r="C16" s="25" t="s">
        <v>146</v>
      </c>
    </row>
    <row r="17">
      <c r="A17" s="11" t="s">
        <v>12</v>
      </c>
      <c r="B17" s="7">
        <f>RESUMEN!J25</f>
        <v>0.2656815491</v>
      </c>
      <c r="C17" s="7">
        <f>RESUMEN!K25</f>
        <v>0.2575217541</v>
      </c>
    </row>
    <row r="18">
      <c r="A18" s="11" t="s">
        <v>13</v>
      </c>
      <c r="B18" s="7">
        <f>RESUMEN!J26</f>
        <v>0.1128245564</v>
      </c>
      <c r="C18" s="7">
        <f>RESUMEN!K26</f>
        <v>0.1733826158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3" width="13.71"/>
    <col customWidth="1" min="4" max="4" width="8.71"/>
    <col customWidth="1" min="5" max="10" width="11.71"/>
    <col customWidth="1" min="11" max="11" width="8.71"/>
    <col customWidth="1" min="12" max="12" width="46.71"/>
    <col customWidth="1" min="13" max="26" width="8.71"/>
  </cols>
  <sheetData>
    <row r="1">
      <c r="A1" s="1" t="s">
        <v>129</v>
      </c>
    </row>
    <row r="2">
      <c r="A2" s="2" t="s">
        <v>130</v>
      </c>
    </row>
    <row r="3">
      <c r="E3" s="25" t="s">
        <v>131</v>
      </c>
    </row>
    <row r="4">
      <c r="A4" s="3" t="s">
        <v>71</v>
      </c>
      <c r="B4" s="3" t="s">
        <v>132</v>
      </c>
      <c r="C4" s="3" t="s">
        <v>32</v>
      </c>
      <c r="E4" s="25" t="s">
        <v>6</v>
      </c>
      <c r="F4" s="25" t="s">
        <v>7</v>
      </c>
      <c r="G4" s="25" t="s">
        <v>8</v>
      </c>
      <c r="H4" s="25" t="s">
        <v>9</v>
      </c>
      <c r="I4" s="25" t="s">
        <v>10</v>
      </c>
      <c r="J4" s="25" t="s">
        <v>11</v>
      </c>
    </row>
    <row r="5">
      <c r="A5" s="11" t="s">
        <v>6</v>
      </c>
      <c r="B5" s="22">
        <v>0.25</v>
      </c>
      <c r="C5" s="17" t="s">
        <v>45</v>
      </c>
      <c r="E5" s="23">
        <f>IFERROR($B5*B$5*COVARIANZA!B5,0)</f>
        <v>0.00001769458085</v>
      </c>
      <c r="F5" s="23">
        <f>IFERROR($B5*B$6*COVARIANZA!C5,0)</f>
        <v>0.000002212173354</v>
      </c>
      <c r="G5" s="23">
        <f>IFERROR($B5*B$7*COVARIANZA!D5,0)</f>
        <v>0.000001729007248</v>
      </c>
      <c r="H5" s="23">
        <f>IFERROR($B5*B$8*COVARIANZA!E5,0)</f>
        <v>0.000001026640381</v>
      </c>
      <c r="I5" s="23">
        <f>IFERROR($B5*B$9*COVARIANZA!F5,0)</f>
        <v>0.000005373707091</v>
      </c>
      <c r="J5" s="23">
        <f>IFERROR($B5*B$10*COVARIANZA!G5,0)</f>
        <v>0.000006557868471</v>
      </c>
      <c r="K5" s="2" t="s">
        <v>6</v>
      </c>
      <c r="L5" s="16" t="s">
        <v>139</v>
      </c>
    </row>
    <row r="6">
      <c r="A6" s="11" t="s">
        <v>7</v>
      </c>
      <c r="B6" s="22">
        <v>0.25</v>
      </c>
      <c r="C6" s="17" t="s">
        <v>49</v>
      </c>
      <c r="E6" s="23">
        <f>IFERROR($B6*B$5*COVARIANZA!B6,0)</f>
        <v>0.000002212173354</v>
      </c>
      <c r="F6" s="23">
        <f>IFERROR($B6*B$6*COVARIANZA!C6,0)</f>
        <v>0.000008703256711</v>
      </c>
      <c r="G6" s="23">
        <f>IFERROR($B6*B$7*COVARIANZA!D6,0)</f>
        <v>0.000000870148714</v>
      </c>
      <c r="H6" s="23">
        <f>IFERROR($B6*B$8*COVARIANZA!E6,0)</f>
        <v>0.0000001951031361</v>
      </c>
      <c r="I6" s="23">
        <f>IFERROR($B6*B$9*COVARIANZA!F6,0)</f>
        <v>0.0000006465122475</v>
      </c>
      <c r="J6" s="23">
        <f>IFERROR($B6*B$10*COVARIANZA!G6,0)</f>
        <v>0.000002805906059</v>
      </c>
      <c r="K6" s="2" t="s">
        <v>7</v>
      </c>
      <c r="L6" s="2" t="s">
        <v>142</v>
      </c>
    </row>
    <row r="7">
      <c r="A7" s="11" t="s">
        <v>8</v>
      </c>
      <c r="B7" s="22">
        <v>0.1</v>
      </c>
      <c r="C7" s="17" t="s">
        <v>51</v>
      </c>
      <c r="E7" s="23">
        <f>IFERROR($B7*B$5*COVARIANZA!B7,0)</f>
        <v>0.000001729007248</v>
      </c>
      <c r="F7" s="23">
        <f>IFERROR($B7*B$6*COVARIANZA!C7,0)</f>
        <v>0.000000870148714</v>
      </c>
      <c r="G7" s="23">
        <f>IFERROR($B7*B$7*COVARIANZA!D7,0)</f>
        <v>0.000009258779104</v>
      </c>
      <c r="H7" s="23">
        <f>IFERROR($B7*B$8*COVARIANZA!E7,0)</f>
        <v>0.00000318921254</v>
      </c>
      <c r="I7" s="23">
        <f>IFERROR($B7*B$9*COVARIANZA!F7,0)</f>
        <v>0.000002225225945</v>
      </c>
      <c r="J7" s="23">
        <f>IFERROR($B7*B$10*COVARIANZA!G7,0)</f>
        <v>0.000003380482036</v>
      </c>
      <c r="K7" s="2" t="s">
        <v>8</v>
      </c>
      <c r="L7" s="2" t="s">
        <v>147</v>
      </c>
    </row>
    <row r="8">
      <c r="A8" s="11" t="s">
        <v>9</v>
      </c>
      <c r="B8" s="22">
        <v>0.1</v>
      </c>
      <c r="C8" s="17" t="s">
        <v>54</v>
      </c>
      <c r="E8" s="23">
        <f>IFERROR($B8*B$5*COVARIANZA!B8,0)</f>
        <v>0.000001026640381</v>
      </c>
      <c r="F8" s="23">
        <f>IFERROR($B8*B$6*COVARIANZA!C8,0)</f>
        <v>0.0000001951031361</v>
      </c>
      <c r="G8" s="23">
        <f>IFERROR($B8*B$7*COVARIANZA!D8,0)</f>
        <v>0.00000318921254</v>
      </c>
      <c r="H8" s="23">
        <f>IFERROR($B8*B$8*COVARIANZA!E8,0)</f>
        <v>0.000003909215459</v>
      </c>
      <c r="I8" s="23">
        <f>IFERROR($B8*B$9*COVARIANZA!F8,0)</f>
        <v>0.00000158580131</v>
      </c>
      <c r="J8" s="23">
        <f>IFERROR($B8*B$10*COVARIANZA!G8,0)</f>
        <v>0.000001872667308</v>
      </c>
      <c r="K8" s="2" t="s">
        <v>9</v>
      </c>
      <c r="L8" s="2" t="s">
        <v>148</v>
      </c>
    </row>
    <row r="9">
      <c r="A9" s="11" t="s">
        <v>10</v>
      </c>
      <c r="B9" s="22">
        <v>0.1</v>
      </c>
      <c r="C9" s="17" t="s">
        <v>56</v>
      </c>
      <c r="E9" s="23">
        <f>IFERROR($B9*B$5*COVARIANZA!B9,0)</f>
        <v>0.000005373707091</v>
      </c>
      <c r="F9" s="23">
        <f>IFERROR($B9*B$6*COVARIANZA!C9,0)</f>
        <v>0.0000006465122475</v>
      </c>
      <c r="G9" s="23">
        <f>IFERROR($B9*B$7*COVARIANZA!D9,0)</f>
        <v>0.000002225225945</v>
      </c>
      <c r="H9" s="23">
        <f>IFERROR($B9*B$8*COVARIANZA!E9,0)</f>
        <v>0.00000158580131</v>
      </c>
      <c r="I9" s="23">
        <f>IFERROR($B9*B$9*COVARIANZA!F9,0)</f>
        <v>0.0000117900204</v>
      </c>
      <c r="J9" s="23">
        <f>IFERROR($B9*B$10*COVARIANZA!G9,0)</f>
        <v>0.0000029129259</v>
      </c>
      <c r="K9" s="2" t="s">
        <v>10</v>
      </c>
      <c r="L9" s="2"/>
    </row>
    <row r="10">
      <c r="A10" s="11" t="s">
        <v>11</v>
      </c>
      <c r="B10" s="22">
        <v>0.2</v>
      </c>
      <c r="C10" s="17" t="s">
        <v>58</v>
      </c>
      <c r="E10" s="23">
        <f>IFERROR($B10*B$5*COVARIANZA!B10,0)</f>
        <v>0.000006557868471</v>
      </c>
      <c r="F10" s="23">
        <f>IFERROR($B10*B$6*COVARIANZA!C10,0)</f>
        <v>0.000002805906059</v>
      </c>
      <c r="G10" s="23">
        <f>IFERROR($B10*B$7*COVARIANZA!D10,0)</f>
        <v>0.000003380482036</v>
      </c>
      <c r="H10" s="23">
        <f>IFERROR($B10*B$8*COVARIANZA!E10,0)</f>
        <v>0.000001872667308</v>
      </c>
      <c r="I10" s="23">
        <f>IFERROR($B10*B$9*COVARIANZA!F10,0)</f>
        <v>0.0000029129259</v>
      </c>
      <c r="J10" s="23">
        <f>IFERROR($B10*B$10*COVARIANZA!G10,0)</f>
        <v>0.00000907050382</v>
      </c>
      <c r="K10" s="2" t="s">
        <v>11</v>
      </c>
      <c r="L10" s="2" t="s">
        <v>149</v>
      </c>
    </row>
    <row r="11">
      <c r="A11" s="11" t="s">
        <v>79</v>
      </c>
      <c r="B11" s="18">
        <f>SUM(B5:B10)</f>
        <v>1</v>
      </c>
      <c r="C11" s="2" t="s">
        <v>150</v>
      </c>
      <c r="L11" s="2" t="s">
        <v>151</v>
      </c>
    </row>
    <row r="12">
      <c r="L12" s="2"/>
    </row>
    <row r="13">
      <c r="A13" s="3" t="s">
        <v>152</v>
      </c>
      <c r="B13" s="3"/>
      <c r="C13" s="3"/>
      <c r="L13" s="2" t="s">
        <v>153</v>
      </c>
    </row>
    <row r="14">
      <c r="A14" s="11" t="s">
        <v>154</v>
      </c>
      <c r="B14" s="23">
        <f>SUM(E5:J10)</f>
        <v>0.0001335931198</v>
      </c>
      <c r="C14" s="2" t="s">
        <v>155</v>
      </c>
      <c r="L14" s="2" t="s">
        <v>156</v>
      </c>
    </row>
    <row r="15">
      <c r="A15" s="11" t="s">
        <v>157</v>
      </c>
      <c r="B15" s="15">
        <f>SQRT(B14)</f>
        <v>0.01155824899</v>
      </c>
      <c r="C15" s="2"/>
      <c r="L15" s="2" t="s">
        <v>158</v>
      </c>
    </row>
    <row r="16">
      <c r="A16" s="11" t="s">
        <v>159</v>
      </c>
      <c r="B16" s="18">
        <f>B15*SQRT(RESUMEN!$B$8)</f>
        <v>0.1834815146</v>
      </c>
      <c r="C16" s="2" t="s">
        <v>160</v>
      </c>
      <c r="L16" s="2" t="s">
        <v>161</v>
      </c>
    </row>
    <row r="17">
      <c r="A17" s="11" t="s">
        <v>162</v>
      </c>
      <c r="B17" s="18">
        <f>((1+SUMPRODUCT($B$5:$B$10,RESUMEN!F19:F24))^RESUMEN!$B$8)*(1+SUMPRODUCT($B$5:$B$10,RESUMEN!D19:D24))-1</f>
        <v>0.3520755522</v>
      </c>
      <c r="C17" s="2" t="s">
        <v>163</v>
      </c>
      <c r="L17" s="2" t="s">
        <v>164</v>
      </c>
    </row>
    <row r="18">
      <c r="A18" s="11" t="s">
        <v>86</v>
      </c>
      <c r="B18" s="18">
        <f t="array" ref="B18">IFERROR((INDEX(BACKTEST!$H$5:$H$1300,COUNT(BACKTEST!$H$5:$H$1300))/100)^(RESUMEN!$B$8/COUNT(BACKTEST!$B$5:$B$1300))-1,"")</f>
        <v>0.3004641643</v>
      </c>
      <c r="C18" s="2" t="s">
        <v>165</v>
      </c>
      <c r="L18" s="2" t="s">
        <v>166</v>
      </c>
    </row>
    <row r="19">
      <c r="A19" s="11" t="s">
        <v>167</v>
      </c>
      <c r="B19" s="5">
        <f>(B17-RESUMEN!$B$7)/B16</f>
        <v>1.665429637</v>
      </c>
      <c r="C19" s="2"/>
      <c r="L19" s="2"/>
    </row>
    <row r="20">
      <c r="A20" s="11" t="s">
        <v>41</v>
      </c>
      <c r="B20" s="19">
        <f>(B18-RESUMEN!$B$7)/B16</f>
        <v>1.384140331</v>
      </c>
      <c r="C20" s="2" t="s">
        <v>168</v>
      </c>
      <c r="L20" s="2" t="s">
        <v>169</v>
      </c>
    </row>
    <row r="21" ht="15.75" customHeight="1">
      <c r="A21" s="11" t="s">
        <v>170</v>
      </c>
      <c r="B21" s="5">
        <f t="array" ref="B21">SUMPRODUCT($B$5:$B$10,TRANSPOSE(BETA_CAPM!B5:G5))</f>
        <v>0.5605861111</v>
      </c>
      <c r="C21" s="2" t="s">
        <v>171</v>
      </c>
      <c r="L21" s="2"/>
    </row>
    <row r="22" ht="15.75" customHeight="1">
      <c r="A22" s="11" t="s">
        <v>172</v>
      </c>
      <c r="B22" s="5">
        <f t="array" ref="B22">SUMPRODUCT($B$5:$B$10,TRANSPOSE(BETA_CAPM!B6:G6))</f>
        <v>0.6462209369</v>
      </c>
      <c r="C22" s="2"/>
      <c r="L22" s="2" t="s">
        <v>173</v>
      </c>
    </row>
    <row r="23" ht="15.75" customHeight="1">
      <c r="L23" s="2" t="s">
        <v>174</v>
      </c>
    </row>
    <row r="24" ht="15.75" customHeight="1">
      <c r="L24" s="2" t="s">
        <v>175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2" width="12.71"/>
    <col customWidth="1" min="13" max="27" width="8.71"/>
  </cols>
  <sheetData>
    <row r="1">
      <c r="A1" s="1" t="s">
        <v>176</v>
      </c>
    </row>
    <row r="2">
      <c r="A2" s="2" t="s">
        <v>177</v>
      </c>
    </row>
    <row r="3">
      <c r="A3" s="3" t="s">
        <v>5</v>
      </c>
      <c r="B3" s="3" t="s">
        <v>178</v>
      </c>
      <c r="C3" s="3" t="s">
        <v>179</v>
      </c>
      <c r="D3" s="3" t="s">
        <v>180</v>
      </c>
      <c r="E3" s="3" t="s">
        <v>181</v>
      </c>
      <c r="F3" s="3" t="s">
        <v>182</v>
      </c>
      <c r="G3" s="3" t="s">
        <v>183</v>
      </c>
      <c r="H3" s="3" t="s">
        <v>184</v>
      </c>
      <c r="I3" s="3" t="s">
        <v>185</v>
      </c>
      <c r="J3" s="3" t="s">
        <v>186</v>
      </c>
      <c r="K3" s="3" t="s">
        <v>187</v>
      </c>
      <c r="L3" s="3" t="s">
        <v>188</v>
      </c>
    </row>
    <row r="5">
      <c r="A5" s="4">
        <f>IF(RETORNOS!A5="","",RETORNOS!A5)</f>
        <v>44418</v>
      </c>
      <c r="B5" s="7">
        <f>IF(RETORNOS!B5="","",OPTIMIZACION!$B$5*RETORNOS!B5+OPTIMIZACION!$B$6*RETORNOS!C5+OPTIMIZACION!$B$7*RETORNOS!D5+OPTIMIZACION!$B$8*RETORNOS!E5+OPTIMIZACION!$B$9*RETORNOS!F5+OPTIMIZACION!$B$10*RETORNOS!G5)</f>
        <v>0.01362902326</v>
      </c>
      <c r="C5" s="7">
        <f>IF(RETORNOS!H5="","",RETORNOS!H5)</f>
        <v>0.01762067544</v>
      </c>
      <c r="D5" s="7">
        <f>IF(RETORNOS!I5="","",RETORNOS!I5)</f>
        <v>0.001061491668</v>
      </c>
      <c r="E5" s="7">
        <f t="shared" ref="E5:E1300" si="2">IF(OR(C5="",D5=""),"",(C5+D5)/2)</f>
        <v>0.009341083556</v>
      </c>
      <c r="F5" s="7">
        <f t="shared" ref="F5:F1300" si="3">IF(OR(B5="",C5=""),"",B5-C5)</f>
        <v>-0.003991652179</v>
      </c>
      <c r="G5" s="7">
        <f t="shared" ref="G5:G1300" si="4">IF(OR(B5="",E5=""),"",B5-E5)</f>
        <v>0.004287939708</v>
      </c>
      <c r="H5" s="5">
        <f t="shared" ref="H5:K5" si="1">IF(B5="","",100*(1+B5))</f>
        <v>101.3629023</v>
      </c>
      <c r="I5" s="5">
        <f t="shared" si="1"/>
        <v>101.7620675</v>
      </c>
      <c r="J5" s="5">
        <f t="shared" si="1"/>
        <v>100.1061492</v>
      </c>
      <c r="K5" s="5">
        <f t="shared" si="1"/>
        <v>100.9341084</v>
      </c>
      <c r="L5" s="7">
        <f t="shared" ref="L5:L1300" si="6">IF(H5="","",H5/MAX($H$5:H5)-1)</f>
        <v>0</v>
      </c>
    </row>
    <row r="6">
      <c r="A6" s="4">
        <f>IF(RETORNOS!A6="","",RETORNOS!A6)</f>
        <v>44419</v>
      </c>
      <c r="B6" s="7">
        <f>IF(RETORNOS!B6="","",OPTIMIZACION!$B$5*RETORNOS!B6+OPTIMIZACION!$B$6*RETORNOS!C6+OPTIMIZACION!$B$7*RETORNOS!D6+OPTIMIZACION!$B$8*RETORNOS!E6+OPTIMIZACION!$B$9*RETORNOS!F6+OPTIMIZACION!$B$10*RETORNOS!G6)</f>
        <v>0.008912735309</v>
      </c>
      <c r="C6" s="7">
        <f>IF(RETORNOS!H6="","",RETORNOS!H6)</f>
        <v>0.007842987769</v>
      </c>
      <c r="D6" s="7">
        <f>IF(RETORNOS!I6="","",RETORNOS!I6)</f>
        <v>0.009329182499</v>
      </c>
      <c r="E6" s="7">
        <f t="shared" si="2"/>
        <v>0.008586085134</v>
      </c>
      <c r="F6" s="7">
        <f t="shared" si="3"/>
        <v>0.001069747541</v>
      </c>
      <c r="G6" s="7">
        <f t="shared" si="4"/>
        <v>0.0003266501758</v>
      </c>
      <c r="H6" s="5">
        <f t="shared" ref="H6:K6" si="5">IF(B6="","",H5*(1+B6))</f>
        <v>102.266323</v>
      </c>
      <c r="I6" s="5">
        <f t="shared" si="5"/>
        <v>102.5601862</v>
      </c>
      <c r="J6" s="5">
        <f t="shared" si="5"/>
        <v>101.0400577</v>
      </c>
      <c r="K6" s="5">
        <f t="shared" si="5"/>
        <v>101.8007372</v>
      </c>
      <c r="L6" s="7">
        <f t="shared" si="6"/>
        <v>0</v>
      </c>
    </row>
    <row r="7">
      <c r="A7" s="4">
        <f>IF(RETORNOS!A7="","",RETORNOS!A7)</f>
        <v>44420</v>
      </c>
      <c r="B7" s="7">
        <f>IF(RETORNOS!B7="","",OPTIMIZACION!$B$5*RETORNOS!B7+OPTIMIZACION!$B$6*RETORNOS!C7+OPTIMIZACION!$B$7*RETORNOS!D7+OPTIMIZACION!$B$8*RETORNOS!E7+OPTIMIZACION!$B$9*RETORNOS!F7+OPTIMIZACION!$B$10*RETORNOS!G7)</f>
        <v>-0.0004197565986</v>
      </c>
      <c r="C7" s="7">
        <f>IF(RETORNOS!H7="","",RETORNOS!H7)</f>
        <v>-0.0009786539962</v>
      </c>
      <c r="D7" s="7">
        <f>IF(RETORNOS!I7="","",RETORNOS!I7)</f>
        <v>0.001003424438</v>
      </c>
      <c r="E7" s="7">
        <f t="shared" si="2"/>
        <v>0.00001238522113</v>
      </c>
      <c r="F7" s="7">
        <f t="shared" si="3"/>
        <v>0.0005588973976</v>
      </c>
      <c r="G7" s="7">
        <f t="shared" si="4"/>
        <v>-0.0004321418197</v>
      </c>
      <c r="H7" s="5">
        <f t="shared" ref="H7:K7" si="7">IF(B7="","",H6*(1+B7))</f>
        <v>102.2233961</v>
      </c>
      <c r="I7" s="5">
        <f t="shared" si="7"/>
        <v>102.4598153</v>
      </c>
      <c r="J7" s="5">
        <f t="shared" si="7"/>
        <v>101.1414438</v>
      </c>
      <c r="K7" s="5">
        <f t="shared" si="7"/>
        <v>101.801998</v>
      </c>
      <c r="L7" s="7">
        <f t="shared" si="6"/>
        <v>-0.0004197565986</v>
      </c>
    </row>
    <row r="8">
      <c r="A8" s="4">
        <f>IF(RETORNOS!A8="","",RETORNOS!A8)</f>
        <v>44421</v>
      </c>
      <c r="B8" s="7">
        <f>IF(RETORNOS!B8="","",OPTIMIZACION!$B$5*RETORNOS!B8+OPTIMIZACION!$B$6*RETORNOS!C8+OPTIMIZACION!$B$7*RETORNOS!D8+OPTIMIZACION!$B$8*RETORNOS!E8+OPTIMIZACION!$B$9*RETORNOS!F8+OPTIMIZACION!$B$10*RETORNOS!G8)</f>
        <v>-0.005130074327</v>
      </c>
      <c r="C8" s="7">
        <f>IF(RETORNOS!H8="","",RETORNOS!H8)</f>
        <v>-0.01181687395</v>
      </c>
      <c r="D8" s="7">
        <f>IF(RETORNOS!I8="","",RETORNOS!I8)</f>
        <v>0.007064023601</v>
      </c>
      <c r="E8" s="7">
        <f t="shared" si="2"/>
        <v>-0.002376425173</v>
      </c>
      <c r="F8" s="7">
        <f t="shared" si="3"/>
        <v>0.00668679962</v>
      </c>
      <c r="G8" s="7">
        <f t="shared" si="4"/>
        <v>-0.002753649154</v>
      </c>
      <c r="H8" s="5">
        <f t="shared" ref="H8:K8" si="8">IF(B8="","",H7*(1+B8))</f>
        <v>101.6989825</v>
      </c>
      <c r="I8" s="5">
        <f t="shared" si="8"/>
        <v>101.2490605</v>
      </c>
      <c r="J8" s="5">
        <f t="shared" si="8"/>
        <v>101.8559093</v>
      </c>
      <c r="K8" s="5">
        <f t="shared" si="8"/>
        <v>101.5600732</v>
      </c>
      <c r="L8" s="7">
        <f t="shared" si="6"/>
        <v>-0.005547677543</v>
      </c>
    </row>
    <row r="9">
      <c r="A9" s="4">
        <f>IF(RETORNOS!A9="","",RETORNOS!A9)</f>
        <v>44424</v>
      </c>
      <c r="B9" s="7">
        <f>IF(RETORNOS!B9="","",OPTIMIZACION!$B$5*RETORNOS!B9+OPTIMIZACION!$B$6*RETORNOS!C9+OPTIMIZACION!$B$7*RETORNOS!D9+OPTIMIZACION!$B$8*RETORNOS!E9+OPTIMIZACION!$B$9*RETORNOS!F9+OPTIMIZACION!$B$10*RETORNOS!G9)</f>
        <v>-0.005375771787</v>
      </c>
      <c r="C9" s="7">
        <f>IF(RETORNOS!H9="","",RETORNOS!H9)</f>
        <v>-0.01838983578</v>
      </c>
      <c r="D9" s="7">
        <f>IF(RETORNOS!I9="","",RETORNOS!I9)</f>
        <v>0.006102591681</v>
      </c>
      <c r="E9" s="7">
        <f t="shared" si="2"/>
        <v>-0.006143622052</v>
      </c>
      <c r="F9" s="7">
        <f t="shared" si="3"/>
        <v>0.013014064</v>
      </c>
      <c r="G9" s="7">
        <f t="shared" si="4"/>
        <v>0.0007678502645</v>
      </c>
      <c r="H9" s="5">
        <f t="shared" ref="H9:K9" si="9">IF(B9="","",H8*(1+B9))</f>
        <v>101.1522719</v>
      </c>
      <c r="I9" s="5">
        <f t="shared" si="9"/>
        <v>99.38710694</v>
      </c>
      <c r="J9" s="5">
        <f t="shared" si="9"/>
        <v>102.4774943</v>
      </c>
      <c r="K9" s="5">
        <f t="shared" si="9"/>
        <v>100.9361265</v>
      </c>
      <c r="L9" s="7">
        <f t="shared" si="6"/>
        <v>-0.01089362628</v>
      </c>
    </row>
    <row r="10">
      <c r="A10" s="4">
        <f>IF(RETORNOS!A10="","",RETORNOS!A10)</f>
        <v>44425</v>
      </c>
      <c r="B10" s="7">
        <f>IF(RETORNOS!B10="","",OPTIMIZACION!$B$5*RETORNOS!B10+OPTIMIZACION!$B$6*RETORNOS!C10+OPTIMIZACION!$B$7*RETORNOS!D10+OPTIMIZACION!$B$8*RETORNOS!E10+OPTIMIZACION!$B$9*RETORNOS!F10+OPTIMIZACION!$B$10*RETORNOS!G10)</f>
        <v>-0.003131149997</v>
      </c>
      <c r="C10" s="7">
        <f>IF(RETORNOS!H10="","",RETORNOS!H10)</f>
        <v>-0.0103234116</v>
      </c>
      <c r="D10" s="7">
        <f>IF(RETORNOS!I10="","",RETORNOS!I10)</f>
        <v>0.0005776738998</v>
      </c>
      <c r="E10" s="7">
        <f t="shared" si="2"/>
        <v>-0.004872868852</v>
      </c>
      <c r="F10" s="7">
        <f t="shared" si="3"/>
        <v>0.007192261607</v>
      </c>
      <c r="G10" s="7">
        <f t="shared" si="4"/>
        <v>0.001741718855</v>
      </c>
      <c r="H10" s="5">
        <f t="shared" ref="H10:K10" si="10">IF(B10="","",H9*(1+B10))</f>
        <v>100.835549</v>
      </c>
      <c r="I10" s="5">
        <f t="shared" si="10"/>
        <v>98.36109293</v>
      </c>
      <c r="J10" s="5">
        <f t="shared" si="10"/>
        <v>102.5366929</v>
      </c>
      <c r="K10" s="5">
        <f t="shared" si="10"/>
        <v>100.444278</v>
      </c>
      <c r="L10" s="7">
        <f t="shared" si="6"/>
        <v>-0.0139906667</v>
      </c>
    </row>
    <row r="11">
      <c r="A11" s="4">
        <f>IF(RETORNOS!A11="","",RETORNOS!A11)</f>
        <v>44426</v>
      </c>
      <c r="B11" s="7">
        <f>IF(RETORNOS!B11="","",OPTIMIZACION!$B$5*RETORNOS!B11+OPTIMIZACION!$B$6*RETORNOS!C11+OPTIMIZACION!$B$7*RETORNOS!D11+OPTIMIZACION!$B$8*RETORNOS!E11+OPTIMIZACION!$B$9*RETORNOS!F11+OPTIMIZACION!$B$10*RETORNOS!G11)</f>
        <v>-0.01511776839</v>
      </c>
      <c r="C11" s="7">
        <f>IF(RETORNOS!H11="","",RETORNOS!H11)</f>
        <v>-0.02081289591</v>
      </c>
      <c r="D11" s="7">
        <f>IF(RETORNOS!I11="","",RETORNOS!I11)</f>
        <v>-0.005056705444</v>
      </c>
      <c r="E11" s="7">
        <f t="shared" si="2"/>
        <v>-0.01293480068</v>
      </c>
      <c r="F11" s="7">
        <f t="shared" si="3"/>
        <v>0.00569512752</v>
      </c>
      <c r="G11" s="7">
        <f t="shared" si="4"/>
        <v>-0.002182967714</v>
      </c>
      <c r="H11" s="5">
        <f t="shared" ref="H11:K11" si="11">IF(B11="","",H10*(1+B11))</f>
        <v>99.31114053</v>
      </c>
      <c r="I11" s="5">
        <f t="shared" si="11"/>
        <v>96.31391374</v>
      </c>
      <c r="J11" s="5">
        <f t="shared" si="11"/>
        <v>102.0181951</v>
      </c>
      <c r="K11" s="5">
        <f t="shared" si="11"/>
        <v>99.14505127</v>
      </c>
      <c r="L11" s="7">
        <f t="shared" si="6"/>
        <v>-0.02889692743</v>
      </c>
    </row>
    <row r="12">
      <c r="A12" s="4">
        <f>IF(RETORNOS!A12="","",RETORNOS!A12)</f>
        <v>44427</v>
      </c>
      <c r="B12" s="7">
        <f>IF(RETORNOS!B12="","",OPTIMIZACION!$B$5*RETORNOS!B12+OPTIMIZACION!$B$6*RETORNOS!C12+OPTIMIZACION!$B$7*RETORNOS!D12+OPTIMIZACION!$B$8*RETORNOS!E12+OPTIMIZACION!$B$9*RETORNOS!F12+OPTIMIZACION!$B$10*RETORNOS!G12)</f>
        <v>-0.01268360425</v>
      </c>
      <c r="C12" s="7">
        <f>IF(RETORNOS!H12="","",RETORNOS!H12)</f>
        <v>-0.02595741896</v>
      </c>
      <c r="D12" s="7">
        <f>IF(RETORNOS!I12="","",RETORNOS!I12)</f>
        <v>0.004071927379</v>
      </c>
      <c r="E12" s="7">
        <f t="shared" si="2"/>
        <v>-0.01094274579</v>
      </c>
      <c r="F12" s="7">
        <f t="shared" si="3"/>
        <v>0.01327381471</v>
      </c>
      <c r="G12" s="7">
        <f t="shared" si="4"/>
        <v>-0.001740858456</v>
      </c>
      <c r="H12" s="5">
        <f t="shared" ref="H12:K12" si="12">IF(B12="","",H11*(1+B12))</f>
        <v>98.05151733</v>
      </c>
      <c r="I12" s="5">
        <f t="shared" si="12"/>
        <v>93.81385313</v>
      </c>
      <c r="J12" s="5">
        <f t="shared" si="12"/>
        <v>102.4336057</v>
      </c>
      <c r="K12" s="5">
        <f t="shared" si="12"/>
        <v>98.06013218</v>
      </c>
      <c r="L12" s="7">
        <f t="shared" si="6"/>
        <v>-0.04121401449</v>
      </c>
    </row>
    <row r="13">
      <c r="A13" s="4">
        <f>IF(RETORNOS!A13="","",RETORNOS!A13)</f>
        <v>44428</v>
      </c>
      <c r="B13" s="7">
        <f>IF(RETORNOS!B13="","",OPTIMIZACION!$B$5*RETORNOS!B13+OPTIMIZACION!$B$6*RETORNOS!C13+OPTIMIZACION!$B$7*RETORNOS!D13+OPTIMIZACION!$B$8*RETORNOS!E13+OPTIMIZACION!$B$9*RETORNOS!F13+OPTIMIZACION!$B$10*RETORNOS!G13)</f>
        <v>0.0072203994</v>
      </c>
      <c r="C13" s="7">
        <f>IF(RETORNOS!H13="","",RETORNOS!H13)</f>
        <v>0.002165632091</v>
      </c>
      <c r="D13" s="7">
        <f>IF(RETORNOS!I13="","",RETORNOS!I13)</f>
        <v>0.01244856001</v>
      </c>
      <c r="E13" s="7">
        <f t="shared" si="2"/>
        <v>0.007307096052</v>
      </c>
      <c r="F13" s="7">
        <f t="shared" si="3"/>
        <v>0.00505476731</v>
      </c>
      <c r="G13" s="7">
        <f t="shared" si="4"/>
        <v>-0.00008669665121</v>
      </c>
      <c r="H13" s="5">
        <f t="shared" ref="H13:K13" si="13">IF(B13="","",H12*(1+B13))</f>
        <v>98.75948844</v>
      </c>
      <c r="I13" s="5">
        <f t="shared" si="13"/>
        <v>94.01701942</v>
      </c>
      <c r="J13" s="5">
        <f t="shared" si="13"/>
        <v>103.7087566</v>
      </c>
      <c r="K13" s="5">
        <f t="shared" si="13"/>
        <v>98.77666698</v>
      </c>
      <c r="L13" s="7">
        <f t="shared" si="6"/>
        <v>-0.03429119673</v>
      </c>
    </row>
    <row r="14">
      <c r="A14" s="4">
        <f>IF(RETORNOS!A14="","",RETORNOS!A14)</f>
        <v>44431</v>
      </c>
      <c r="B14" s="7">
        <f>IF(RETORNOS!B14="","",OPTIMIZACION!$B$5*RETORNOS!B14+OPTIMIZACION!$B$6*RETORNOS!C14+OPTIMIZACION!$B$7*RETORNOS!D14+OPTIMIZACION!$B$8*RETORNOS!E14+OPTIMIZACION!$B$9*RETORNOS!F14+OPTIMIZACION!$B$10*RETORNOS!G14)</f>
        <v>0.01561987427</v>
      </c>
      <c r="C14" s="7">
        <f>IF(RETORNOS!H14="","",RETORNOS!H14)</f>
        <v>0.03746853984</v>
      </c>
      <c r="D14" s="7">
        <f>IF(RETORNOS!I14="","",RETORNOS!I14)</f>
        <v>-0.01286303379</v>
      </c>
      <c r="E14" s="7">
        <f t="shared" si="2"/>
        <v>0.01230275302</v>
      </c>
      <c r="F14" s="7">
        <f t="shared" si="3"/>
        <v>-0.02184866557</v>
      </c>
      <c r="G14" s="7">
        <f t="shared" si="4"/>
        <v>0.003317121243</v>
      </c>
      <c r="H14" s="5">
        <f t="shared" ref="H14:K14" si="14">IF(B14="","",H13*(1+B14))</f>
        <v>100.3020992</v>
      </c>
      <c r="I14" s="5">
        <f t="shared" si="14"/>
        <v>97.53969986</v>
      </c>
      <c r="J14" s="5">
        <f t="shared" si="14"/>
        <v>102.3747474</v>
      </c>
      <c r="K14" s="5">
        <f t="shared" si="14"/>
        <v>99.99189192</v>
      </c>
      <c r="L14" s="7">
        <f t="shared" si="6"/>
        <v>-0.01920694665</v>
      </c>
    </row>
    <row r="15">
      <c r="A15" s="4">
        <f>IF(RETORNOS!A15="","",RETORNOS!A15)</f>
        <v>44432</v>
      </c>
      <c r="B15" s="7">
        <f>IF(RETORNOS!B15="","",OPTIMIZACION!$B$5*RETORNOS!B15+OPTIMIZACION!$B$6*RETORNOS!C15+OPTIMIZACION!$B$7*RETORNOS!D15+OPTIMIZACION!$B$8*RETORNOS!E15+OPTIMIZACION!$B$9*RETORNOS!F15+OPTIMIZACION!$B$10*RETORNOS!G15)</f>
        <v>0.008219191918</v>
      </c>
      <c r="C15" s="7">
        <f>IF(RETORNOS!H15="","",RETORNOS!H15)</f>
        <v>0.01661355829</v>
      </c>
      <c r="D15" s="7">
        <f>IF(RETORNOS!I15="","",RETORNOS!I15)</f>
        <v>-0.006520308668</v>
      </c>
      <c r="E15" s="7">
        <f t="shared" si="2"/>
        <v>0.005046624813</v>
      </c>
      <c r="F15" s="7">
        <f t="shared" si="3"/>
        <v>-0.008394366376</v>
      </c>
      <c r="G15" s="7">
        <f t="shared" si="4"/>
        <v>0.003172567105</v>
      </c>
      <c r="H15" s="5">
        <f t="shared" ref="H15:K15" si="15">IF(B15="","",H14*(1+B15))</f>
        <v>101.1265014</v>
      </c>
      <c r="I15" s="5">
        <f t="shared" si="15"/>
        <v>99.16018135</v>
      </c>
      <c r="J15" s="5">
        <f t="shared" si="15"/>
        <v>101.7072324</v>
      </c>
      <c r="K15" s="5">
        <f t="shared" si="15"/>
        <v>100.4965135</v>
      </c>
      <c r="L15" s="7">
        <f t="shared" si="6"/>
        <v>-0.01114562031</v>
      </c>
    </row>
    <row r="16">
      <c r="A16" s="4">
        <f>IF(RETORNOS!A16="","",RETORNOS!A16)</f>
        <v>44433</v>
      </c>
      <c r="B16" s="7">
        <f>IF(RETORNOS!B16="","",OPTIMIZACION!$B$5*RETORNOS!B16+OPTIMIZACION!$B$6*RETORNOS!C16+OPTIMIZACION!$B$7*RETORNOS!D16+OPTIMIZACION!$B$8*RETORNOS!E16+OPTIMIZACION!$B$9*RETORNOS!F16+OPTIMIZACION!$B$10*RETORNOS!G16)</f>
        <v>0.007348957967</v>
      </c>
      <c r="C16" s="7">
        <f>IF(RETORNOS!H16="","",RETORNOS!H16)</f>
        <v>0.007657589375</v>
      </c>
      <c r="D16" s="7">
        <f>IF(RETORNOS!I16="","",RETORNOS!I16)</f>
        <v>0.001889986084</v>
      </c>
      <c r="E16" s="7">
        <f t="shared" si="2"/>
        <v>0.00477378773</v>
      </c>
      <c r="F16" s="7">
        <f t="shared" si="3"/>
        <v>-0.0003086314082</v>
      </c>
      <c r="G16" s="7">
        <f t="shared" si="4"/>
        <v>0.002575170237</v>
      </c>
      <c r="H16" s="5">
        <f t="shared" ref="H16:K16" si="16">IF(B16="","",H15*(1+B16))</f>
        <v>101.8696758</v>
      </c>
      <c r="I16" s="5">
        <f t="shared" si="16"/>
        <v>99.9195093</v>
      </c>
      <c r="J16" s="5">
        <f t="shared" si="16"/>
        <v>101.8994577</v>
      </c>
      <c r="K16" s="5">
        <f t="shared" si="16"/>
        <v>100.9762625</v>
      </c>
      <c r="L16" s="7">
        <f t="shared" si="6"/>
        <v>-0.003878571037</v>
      </c>
    </row>
    <row r="17">
      <c r="A17" s="4">
        <f>IF(RETORNOS!A17="","",RETORNOS!A17)</f>
        <v>44434</v>
      </c>
      <c r="B17" s="7">
        <f>IF(RETORNOS!B17="","",OPTIMIZACION!$B$5*RETORNOS!B17+OPTIMIZACION!$B$6*RETORNOS!C17+OPTIMIZACION!$B$7*RETORNOS!D17+OPTIMIZACION!$B$8*RETORNOS!E17+OPTIMIZACION!$B$9*RETORNOS!F17+OPTIMIZACION!$B$10*RETORNOS!G17)</f>
        <v>-0.01091884364</v>
      </c>
      <c r="C17" s="7">
        <f>IF(RETORNOS!H17="","",RETORNOS!H17)</f>
        <v>-0.01520364538</v>
      </c>
      <c r="D17" s="7">
        <f>IF(RETORNOS!I17="","",RETORNOS!I17)</f>
        <v>-0.002467371598</v>
      </c>
      <c r="E17" s="7">
        <f t="shared" si="2"/>
        <v>-0.00883550849</v>
      </c>
      <c r="F17" s="7">
        <f t="shared" si="3"/>
        <v>0.004284801742</v>
      </c>
      <c r="G17" s="7">
        <f t="shared" si="4"/>
        <v>-0.002083335149</v>
      </c>
      <c r="H17" s="5">
        <f t="shared" ref="H17:K17" si="17">IF(B17="","",H16*(1+B17))</f>
        <v>100.7573768</v>
      </c>
      <c r="I17" s="5">
        <f t="shared" si="17"/>
        <v>98.40036851</v>
      </c>
      <c r="J17" s="5">
        <f t="shared" si="17"/>
        <v>101.6480339</v>
      </c>
      <c r="K17" s="5">
        <f t="shared" si="17"/>
        <v>100.0840859</v>
      </c>
      <c r="L17" s="7">
        <f t="shared" si="6"/>
        <v>-0.01475506516</v>
      </c>
    </row>
    <row r="18">
      <c r="A18" s="4">
        <f>IF(RETORNOS!A18="","",RETORNOS!A18)</f>
        <v>44435</v>
      </c>
      <c r="B18" s="7">
        <f>IF(RETORNOS!B18="","",OPTIMIZACION!$B$5*RETORNOS!B18+OPTIMIZACION!$B$6*RETORNOS!C18+OPTIMIZACION!$B$7*RETORNOS!D18+OPTIMIZACION!$B$8*RETORNOS!E18+OPTIMIZACION!$B$9*RETORNOS!F18+OPTIMIZACION!$B$10*RETORNOS!G18)</f>
        <v>0.01275740607</v>
      </c>
      <c r="C18" s="7">
        <f>IF(RETORNOS!H18="","",RETORNOS!H18)</f>
        <v>0.02666850633</v>
      </c>
      <c r="D18" s="7">
        <f>IF(RETORNOS!I18="","",RETORNOS!I18)</f>
        <v>-0.0002978880075</v>
      </c>
      <c r="E18" s="7">
        <f t="shared" si="2"/>
        <v>0.01318530916</v>
      </c>
      <c r="F18" s="7">
        <f t="shared" si="3"/>
        <v>-0.01391110025</v>
      </c>
      <c r="G18" s="7">
        <f t="shared" si="4"/>
        <v>-0.0004279030862</v>
      </c>
      <c r="H18" s="5">
        <f t="shared" ref="H18:K18" si="18">IF(B18="","",H17*(1+B18))</f>
        <v>102.0427796</v>
      </c>
      <c r="I18" s="5">
        <f t="shared" si="18"/>
        <v>101.0245594</v>
      </c>
      <c r="J18" s="5">
        <f t="shared" si="18"/>
        <v>101.6177541</v>
      </c>
      <c r="K18" s="5">
        <f t="shared" si="18"/>
        <v>101.4037255</v>
      </c>
      <c r="L18" s="7">
        <f t="shared" si="6"/>
        <v>-0.002185895449</v>
      </c>
    </row>
    <row r="19">
      <c r="A19" s="4">
        <f>IF(RETORNOS!A19="","",RETORNOS!A19)</f>
        <v>44438</v>
      </c>
      <c r="B19" s="7">
        <f>IF(RETORNOS!B19="","",OPTIMIZACION!$B$5*RETORNOS!B19+OPTIMIZACION!$B$6*RETORNOS!C19+OPTIMIZACION!$B$7*RETORNOS!D19+OPTIMIZACION!$B$8*RETORNOS!E19+OPTIMIZACION!$B$9*RETORNOS!F19+OPTIMIZACION!$B$10*RETORNOS!G19)</f>
        <v>-0.0004542125656</v>
      </c>
      <c r="C19" s="7">
        <f>IF(RETORNOS!H19="","",RETORNOS!H19)</f>
        <v>-0.01176397182</v>
      </c>
      <c r="D19" s="7">
        <f>IF(RETORNOS!I19="","",RETORNOS!I19)</f>
        <v>0.001463099427</v>
      </c>
      <c r="E19" s="7">
        <f t="shared" si="2"/>
        <v>-0.005150436195</v>
      </c>
      <c r="F19" s="7">
        <f t="shared" si="3"/>
        <v>0.01130975925</v>
      </c>
      <c r="G19" s="7">
        <f t="shared" si="4"/>
        <v>0.004696223629</v>
      </c>
      <c r="H19" s="5">
        <f t="shared" ref="H19:K19" si="19">IF(B19="","",H18*(1+B19))</f>
        <v>101.9964304</v>
      </c>
      <c r="I19" s="5">
        <f t="shared" si="19"/>
        <v>99.83610929</v>
      </c>
      <c r="J19" s="5">
        <f t="shared" si="19"/>
        <v>101.766431</v>
      </c>
      <c r="K19" s="5">
        <f t="shared" si="19"/>
        <v>100.8814521</v>
      </c>
      <c r="L19" s="7">
        <f t="shared" si="6"/>
        <v>-0.002639115153</v>
      </c>
    </row>
    <row r="20">
      <c r="A20" s="4">
        <f>IF(RETORNOS!A20="","",RETORNOS!A20)</f>
        <v>44439</v>
      </c>
      <c r="B20" s="7">
        <f>IF(RETORNOS!B20="","",OPTIMIZACION!$B$5*RETORNOS!B20+OPTIMIZACION!$B$6*RETORNOS!C20+OPTIMIZACION!$B$7*RETORNOS!D20+OPTIMIZACION!$B$8*RETORNOS!E20+OPTIMIZACION!$B$9*RETORNOS!F20+OPTIMIZACION!$B$10*RETORNOS!G20)</f>
        <v>-0.001547163904</v>
      </c>
      <c r="C20" s="7">
        <f>IF(RETORNOS!H20="","",RETORNOS!H20)</f>
        <v>-0.006770375479</v>
      </c>
      <c r="D20" s="7">
        <f>IF(RETORNOS!I20="","",RETORNOS!I20)</f>
        <v>-0.001163420456</v>
      </c>
      <c r="E20" s="7">
        <f t="shared" si="2"/>
        <v>-0.003966897968</v>
      </c>
      <c r="F20" s="7">
        <f t="shared" si="3"/>
        <v>0.005223211575</v>
      </c>
      <c r="G20" s="7">
        <f t="shared" si="4"/>
        <v>0.002419734064</v>
      </c>
      <c r="H20" s="5">
        <f t="shared" ref="H20:K20" si="20">IF(B20="","",H19*(1+B20))</f>
        <v>101.8386252</v>
      </c>
      <c r="I20" s="5">
        <f t="shared" si="20"/>
        <v>99.16018135</v>
      </c>
      <c r="J20" s="5">
        <f t="shared" si="20"/>
        <v>101.6480339</v>
      </c>
      <c r="K20" s="5">
        <f t="shared" si="20"/>
        <v>100.4812657</v>
      </c>
      <c r="L20" s="7">
        <f t="shared" si="6"/>
        <v>-0.004182195913</v>
      </c>
    </row>
    <row r="21" ht="15.75" customHeight="1">
      <c r="A21" s="4">
        <f>IF(RETORNOS!A21="","",RETORNOS!A21)</f>
        <v>44440</v>
      </c>
      <c r="B21" s="7">
        <f>IF(RETORNOS!B21="","",OPTIMIZACION!$B$5*RETORNOS!B21+OPTIMIZACION!$B$6*RETORNOS!C21+OPTIMIZACION!$B$7*RETORNOS!D21+OPTIMIZACION!$B$8*RETORNOS!E21+OPTIMIZACION!$B$9*RETORNOS!F21+OPTIMIZACION!$B$10*RETORNOS!G21)</f>
        <v>-0.004814119191</v>
      </c>
      <c r="C21" s="7">
        <f>IF(RETORNOS!H21="","",RETORNOS!H21)</f>
        <v>-0.01469416097</v>
      </c>
      <c r="D21" s="7">
        <f>IF(RETORNOS!I21="","",RETORNOS!I21)</f>
        <v>0.01313050172</v>
      </c>
      <c r="E21" s="7">
        <f t="shared" si="2"/>
        <v>-0.0007818296211</v>
      </c>
      <c r="F21" s="7">
        <f t="shared" si="3"/>
        <v>0.009880041775</v>
      </c>
      <c r="G21" s="7">
        <f t="shared" si="4"/>
        <v>-0.00403228957</v>
      </c>
      <c r="H21" s="5">
        <f t="shared" ref="H21:K21" si="21">IF(B21="","",H20*(1+B21))</f>
        <v>101.348362</v>
      </c>
      <c r="I21" s="5">
        <f t="shared" si="21"/>
        <v>97.70310568</v>
      </c>
      <c r="J21" s="5">
        <f t="shared" si="21"/>
        <v>102.9827235</v>
      </c>
      <c r="K21" s="5">
        <f t="shared" si="21"/>
        <v>100.4027064</v>
      </c>
      <c r="L21" s="7">
        <f t="shared" si="6"/>
        <v>-0.008976181515</v>
      </c>
    </row>
    <row r="22" ht="15.75" customHeight="1">
      <c r="A22" s="4">
        <f>IF(RETORNOS!A22="","",RETORNOS!A22)</f>
        <v>44441</v>
      </c>
      <c r="B22" s="7">
        <f>IF(RETORNOS!B22="","",OPTIMIZACION!$B$5*RETORNOS!B22+OPTIMIZACION!$B$6*RETORNOS!C22+OPTIMIZACION!$B$7*RETORNOS!D22+OPTIMIZACION!$B$8*RETORNOS!E22+OPTIMIZACION!$B$9*RETORNOS!F22+OPTIMIZACION!$B$10*RETORNOS!G22)</f>
        <v>0.01292339809</v>
      </c>
      <c r="C22" s="7">
        <f>IF(RETORNOS!H22="","",RETORNOS!H22)</f>
        <v>0.02540471866</v>
      </c>
      <c r="D22" s="7">
        <f>IF(RETORNOS!I22="","",RETORNOS!I22)</f>
        <v>0.009068594252</v>
      </c>
      <c r="E22" s="7">
        <f t="shared" si="2"/>
        <v>0.01723665645</v>
      </c>
      <c r="F22" s="7">
        <f t="shared" si="3"/>
        <v>-0.01248132057</v>
      </c>
      <c r="G22" s="7">
        <f t="shared" si="4"/>
        <v>-0.004313258364</v>
      </c>
      <c r="H22" s="5">
        <f t="shared" ref="H22:K22" si="22">IF(B22="","",H21*(1+B22))</f>
        <v>102.6581272</v>
      </c>
      <c r="I22" s="5">
        <f t="shared" si="22"/>
        <v>100.1852256</v>
      </c>
      <c r="J22" s="5">
        <f t="shared" si="22"/>
        <v>103.9166321</v>
      </c>
      <c r="K22" s="5">
        <f t="shared" si="22"/>
        <v>102.1333134</v>
      </c>
      <c r="L22" s="7">
        <f t="shared" si="6"/>
        <v>0</v>
      </c>
    </row>
    <row r="23" ht="15.75" customHeight="1">
      <c r="A23" s="4">
        <f>IF(RETORNOS!A23="","",RETORNOS!A23)</f>
        <v>44442</v>
      </c>
      <c r="B23" s="7">
        <f>IF(RETORNOS!B23="","",OPTIMIZACION!$B$5*RETORNOS!B23+OPTIMIZACION!$B$6*RETORNOS!C23+OPTIMIZACION!$B$7*RETORNOS!D23+OPTIMIZACION!$B$8*RETORNOS!E23+OPTIMIZACION!$B$9*RETORNOS!F23+OPTIMIZACION!$B$10*RETORNOS!G23)</f>
        <v>-0.008341204376</v>
      </c>
      <c r="C23" s="7">
        <f>IF(RETORNOS!H23="","",RETORNOS!H23)</f>
        <v>-0.005720729659</v>
      </c>
      <c r="D23" s="7">
        <f>IF(RETORNOS!I23="","",RETORNOS!I23)</f>
        <v>-0.008273364807</v>
      </c>
      <c r="E23" s="7">
        <f t="shared" si="2"/>
        <v>-0.006997047233</v>
      </c>
      <c r="F23" s="7">
        <f t="shared" si="3"/>
        <v>-0.002620474717</v>
      </c>
      <c r="G23" s="7">
        <f t="shared" si="4"/>
        <v>-0.001344157143</v>
      </c>
      <c r="H23" s="5">
        <f t="shared" ref="H23:K23" si="23">IF(B23="","",H22*(1+B23))</f>
        <v>101.8018348</v>
      </c>
      <c r="I23" s="5">
        <f t="shared" si="23"/>
        <v>99.612093</v>
      </c>
      <c r="J23" s="5">
        <f t="shared" si="23"/>
        <v>103.0568919</v>
      </c>
      <c r="K23" s="5">
        <f t="shared" si="23"/>
        <v>101.4186818</v>
      </c>
      <c r="L23" s="7">
        <f t="shared" si="6"/>
        <v>-0.008341204376</v>
      </c>
    </row>
    <row r="24" ht="15.75" customHeight="1">
      <c r="A24" s="4">
        <f>IF(RETORNOS!A24="","",RETORNOS!A24)</f>
        <v>44446</v>
      </c>
      <c r="B24" s="7">
        <f>IF(RETORNOS!B24="","",OPTIMIZACION!$B$5*RETORNOS!B24+OPTIMIZACION!$B$6*RETORNOS!C24+OPTIMIZACION!$B$7*RETORNOS!D24+OPTIMIZACION!$B$8*RETORNOS!E24+OPTIMIZACION!$B$9*RETORNOS!F24+OPTIMIZACION!$B$10*RETORNOS!G24)</f>
        <v>0.0001052922036</v>
      </c>
      <c r="C24" s="7">
        <f>IF(RETORNOS!H24="","",RETORNOS!H24)</f>
        <v>-0.005987295252</v>
      </c>
      <c r="D24" s="7">
        <f>IF(RETORNOS!I24="","",RETORNOS!I24)</f>
        <v>-0.01324481448</v>
      </c>
      <c r="E24" s="7">
        <f t="shared" si="2"/>
        <v>-0.009616054868</v>
      </c>
      <c r="F24" s="7">
        <f t="shared" si="3"/>
        <v>0.006092587455</v>
      </c>
      <c r="G24" s="7">
        <f t="shared" si="4"/>
        <v>0.009721347071</v>
      </c>
      <c r="H24" s="5">
        <f t="shared" ref="H24:K24" si="24">IF(B24="","",H23*(1+B24))</f>
        <v>101.8125537</v>
      </c>
      <c r="I24" s="5">
        <f t="shared" si="24"/>
        <v>99.01568599</v>
      </c>
      <c r="J24" s="5">
        <f t="shared" si="24"/>
        <v>101.6919225</v>
      </c>
      <c r="K24" s="5">
        <f t="shared" si="24"/>
        <v>100.4434342</v>
      </c>
      <c r="L24" s="7">
        <f t="shared" si="6"/>
        <v>-0.008236790437</v>
      </c>
    </row>
    <row r="25" ht="15.75" customHeight="1">
      <c r="A25" s="4">
        <f>IF(RETORNOS!A25="","",RETORNOS!A25)</f>
        <v>44447</v>
      </c>
      <c r="B25" s="7">
        <f>IF(RETORNOS!B25="","",OPTIMIZACION!$B$5*RETORNOS!B25+OPTIMIZACION!$B$6*RETORNOS!C25+OPTIMIZACION!$B$7*RETORNOS!D25+OPTIMIZACION!$B$8*RETORNOS!E25+OPTIMIZACION!$B$9*RETORNOS!F25+OPTIMIZACION!$B$10*RETORNOS!G25)</f>
        <v>0.002440524574</v>
      </c>
      <c r="C25" s="7">
        <f>IF(RETORNOS!H25="","",RETORNOS!H25)</f>
        <v>-0.01282534708</v>
      </c>
      <c r="D25" s="7">
        <f>IF(RETORNOS!I25="","",RETORNOS!I25)</f>
        <v>0.01793917009</v>
      </c>
      <c r="E25" s="7">
        <f t="shared" si="2"/>
        <v>0.002556911505</v>
      </c>
      <c r="F25" s="7">
        <f t="shared" si="3"/>
        <v>0.01526587165</v>
      </c>
      <c r="G25" s="7">
        <f t="shared" si="4"/>
        <v>-0.0001163869305</v>
      </c>
      <c r="H25" s="5">
        <f t="shared" ref="H25:K25" si="25">IF(B25="","",H24*(1+B25))</f>
        <v>102.0610298</v>
      </c>
      <c r="I25" s="5">
        <f t="shared" si="25"/>
        <v>97.74577545</v>
      </c>
      <c r="J25" s="5">
        <f t="shared" si="25"/>
        <v>103.5161912</v>
      </c>
      <c r="K25" s="5">
        <f t="shared" si="25"/>
        <v>100.7002591</v>
      </c>
      <c r="L25" s="7">
        <f t="shared" si="6"/>
        <v>-0.005816367952</v>
      </c>
    </row>
    <row r="26" ht="15.75" customHeight="1">
      <c r="A26" s="4">
        <f>IF(RETORNOS!A26="","",RETORNOS!A26)</f>
        <v>44448</v>
      </c>
      <c r="B26" s="7">
        <f>IF(RETORNOS!B26="","",OPTIMIZACION!$B$5*RETORNOS!B26+OPTIMIZACION!$B$6*RETORNOS!C26+OPTIMIZACION!$B$7*RETORNOS!D26+OPTIMIZACION!$B$8*RETORNOS!E26+OPTIMIZACION!$B$9*RETORNOS!F26+OPTIMIZACION!$B$10*RETORNOS!G26)</f>
        <v>-0.00345207645</v>
      </c>
      <c r="C26" s="7">
        <f>IF(RETORNOS!H26="","",RETORNOS!H26)</f>
        <v>0.002103320667</v>
      </c>
      <c r="D26" s="7">
        <f>IF(RETORNOS!I26="","",RETORNOS!I26)</f>
        <v>-0.005449268884</v>
      </c>
      <c r="E26" s="7">
        <f t="shared" si="2"/>
        <v>-0.001672974109</v>
      </c>
      <c r="F26" s="7">
        <f t="shared" si="3"/>
        <v>-0.005555397117</v>
      </c>
      <c r="G26" s="7">
        <f t="shared" si="4"/>
        <v>-0.001779102341</v>
      </c>
      <c r="H26" s="5">
        <f t="shared" ref="H26:K26" si="26">IF(B26="","",H25*(1+B26))</f>
        <v>101.7087073</v>
      </c>
      <c r="I26" s="5">
        <f t="shared" si="26"/>
        <v>97.95136616</v>
      </c>
      <c r="J26" s="5">
        <f t="shared" si="26"/>
        <v>102.9521036</v>
      </c>
      <c r="K26" s="5">
        <f t="shared" si="26"/>
        <v>100.5317902</v>
      </c>
      <c r="L26" s="7">
        <f t="shared" si="6"/>
        <v>-0.009248365855</v>
      </c>
    </row>
    <row r="27" ht="15.75" customHeight="1">
      <c r="A27" s="4">
        <f>IF(RETORNOS!A27="","",RETORNOS!A27)</f>
        <v>44449</v>
      </c>
      <c r="B27" s="7">
        <f>IF(RETORNOS!B27="","",OPTIMIZACION!$B$5*RETORNOS!B27+OPTIMIZACION!$B$6*RETORNOS!C27+OPTIMIZACION!$B$7*RETORNOS!D27+OPTIMIZACION!$B$8*RETORNOS!E27+OPTIMIZACION!$B$9*RETORNOS!F27+OPTIMIZACION!$B$10*RETORNOS!G27)</f>
        <v>-0.008208937756</v>
      </c>
      <c r="C27" s="7">
        <f>IF(RETORNOS!H27="","",RETORNOS!H27)</f>
        <v>-0.0004306717489</v>
      </c>
      <c r="D27" s="7">
        <f>IF(RETORNOS!I27="","",RETORNOS!I27)</f>
        <v>-0.01396549274</v>
      </c>
      <c r="E27" s="7">
        <f t="shared" si="2"/>
        <v>-0.007198082245</v>
      </c>
      <c r="F27" s="7">
        <f t="shared" si="3"/>
        <v>-0.007778266007</v>
      </c>
      <c r="G27" s="7">
        <f t="shared" si="4"/>
        <v>-0.001010855511</v>
      </c>
      <c r="H27" s="5">
        <f t="shared" ref="H27:K27" si="27">IF(B27="","",H26*(1+B27))</f>
        <v>100.8737868</v>
      </c>
      <c r="I27" s="5">
        <f t="shared" si="27"/>
        <v>97.90918127</v>
      </c>
      <c r="J27" s="5">
        <f t="shared" si="27"/>
        <v>101.5143267</v>
      </c>
      <c r="K27" s="5">
        <f t="shared" si="27"/>
        <v>99.8081541</v>
      </c>
      <c r="L27" s="7">
        <f t="shared" si="6"/>
        <v>-0.01738138435</v>
      </c>
    </row>
    <row r="28" ht="15.75" customHeight="1">
      <c r="A28" s="4">
        <f>IF(RETORNOS!A28="","",RETORNOS!A28)</f>
        <v>44452</v>
      </c>
      <c r="B28" s="7">
        <f>IF(RETORNOS!B28="","",OPTIMIZACION!$B$5*RETORNOS!B28+OPTIMIZACION!$B$6*RETORNOS!C28+OPTIMIZACION!$B$7*RETORNOS!D28+OPTIMIZACION!$B$8*RETORNOS!E28+OPTIMIZACION!$B$9*RETORNOS!F28+OPTIMIZACION!$B$10*RETORNOS!G28)</f>
        <v>0.0160447813</v>
      </c>
      <c r="C28" s="7">
        <f>IF(RETORNOS!H28="","",RETORNOS!H28)</f>
        <v>0.02869410617</v>
      </c>
      <c r="D28" s="7">
        <f>IF(RETORNOS!I28="","",RETORNOS!I28)</f>
        <v>-0.001776276322</v>
      </c>
      <c r="E28" s="7">
        <f t="shared" si="2"/>
        <v>0.01345891492</v>
      </c>
      <c r="F28" s="7">
        <f t="shared" si="3"/>
        <v>-0.01264932487</v>
      </c>
      <c r="G28" s="7">
        <f t="shared" si="4"/>
        <v>0.002585866374</v>
      </c>
      <c r="H28" s="5">
        <f t="shared" ref="H28:K28" si="28">IF(B28="","",H27*(1+B28))</f>
        <v>102.4922847</v>
      </c>
      <c r="I28" s="5">
        <f t="shared" si="28"/>
        <v>100.7185977</v>
      </c>
      <c r="J28" s="5">
        <f t="shared" si="28"/>
        <v>101.3340092</v>
      </c>
      <c r="K28" s="5">
        <f t="shared" si="28"/>
        <v>101.1514636</v>
      </c>
      <c r="L28" s="7">
        <f t="shared" si="6"/>
        <v>-0.001615483564</v>
      </c>
    </row>
    <row r="29" ht="15.75" customHeight="1">
      <c r="A29" s="4">
        <f>IF(RETORNOS!A29="","",RETORNOS!A29)</f>
        <v>44453</v>
      </c>
      <c r="B29" s="7">
        <f>IF(RETORNOS!B29="","",OPTIMIZACION!$B$5*RETORNOS!B29+OPTIMIZACION!$B$6*RETORNOS!C29+OPTIMIZACION!$B$7*RETORNOS!D29+OPTIMIZACION!$B$8*RETORNOS!E29+OPTIMIZACION!$B$9*RETORNOS!F29+OPTIMIZACION!$B$10*RETORNOS!G29)</f>
        <v>-0.01116481155</v>
      </c>
      <c r="C29" s="7">
        <f>IF(RETORNOS!H29="","",RETORNOS!H29)</f>
        <v>-0.01446198433</v>
      </c>
      <c r="D29" s="7">
        <f>IF(RETORNOS!I29="","",RETORNOS!I29)</f>
        <v>-0.003347356193</v>
      </c>
      <c r="E29" s="7">
        <f t="shared" si="2"/>
        <v>-0.008904670264</v>
      </c>
      <c r="F29" s="7">
        <f t="shared" si="3"/>
        <v>0.003297172789</v>
      </c>
      <c r="G29" s="7">
        <f t="shared" si="4"/>
        <v>-0.002260141281</v>
      </c>
      <c r="H29" s="5">
        <f t="shared" ref="H29:K29" si="29">IF(B29="","",H28*(1+B29))</f>
        <v>101.3479776</v>
      </c>
      <c r="I29" s="5">
        <f t="shared" si="29"/>
        <v>99.26200693</v>
      </c>
      <c r="J29" s="5">
        <f t="shared" si="29"/>
        <v>100.9948082</v>
      </c>
      <c r="K29" s="5">
        <f t="shared" si="29"/>
        <v>100.2507431</v>
      </c>
      <c r="L29" s="7">
        <f t="shared" si="6"/>
        <v>-0.01276225854</v>
      </c>
    </row>
    <row r="30" ht="15.75" customHeight="1">
      <c r="A30" s="4">
        <f>IF(RETORNOS!A30="","",RETORNOS!A30)</f>
        <v>44454</v>
      </c>
      <c r="B30" s="7">
        <f>IF(RETORNOS!B30="","",OPTIMIZACION!$B$5*RETORNOS!B30+OPTIMIZACION!$B$6*RETORNOS!C30+OPTIMIZACION!$B$7*RETORNOS!D30+OPTIMIZACION!$B$8*RETORNOS!E30+OPTIMIZACION!$B$9*RETORNOS!F30+OPTIMIZACION!$B$10*RETORNOS!G30)</f>
        <v>0.02309194488</v>
      </c>
      <c r="C30" s="7">
        <f>IF(RETORNOS!H30="","",RETORNOS!H30)</f>
        <v>0.03738892987</v>
      </c>
      <c r="D30" s="7">
        <f>IF(RETORNOS!I30="","",RETORNOS!I30)</f>
        <v>-0.001310426141</v>
      </c>
      <c r="E30" s="7">
        <f t="shared" si="2"/>
        <v>0.01803925186</v>
      </c>
      <c r="F30" s="7">
        <f t="shared" si="3"/>
        <v>-0.01429698498</v>
      </c>
      <c r="G30" s="7">
        <f t="shared" si="4"/>
        <v>0.005052693021</v>
      </c>
      <c r="H30" s="5">
        <f t="shared" ref="H30:K30" si="30">IF(B30="","",H29*(1+B30))</f>
        <v>103.6882995</v>
      </c>
      <c r="I30" s="5">
        <f t="shared" si="30"/>
        <v>102.9733071</v>
      </c>
      <c r="J30" s="5">
        <f t="shared" si="30"/>
        <v>100.862462</v>
      </c>
      <c r="K30" s="5">
        <f t="shared" si="30"/>
        <v>102.0591915</v>
      </c>
      <c r="L30" s="7">
        <f t="shared" si="6"/>
        <v>0</v>
      </c>
    </row>
    <row r="31" ht="15.75" customHeight="1">
      <c r="A31" s="4">
        <f>IF(RETORNOS!A31="","",RETORNOS!A31)</f>
        <v>44455</v>
      </c>
      <c r="B31" s="7">
        <f>IF(RETORNOS!B31="","",OPTIMIZACION!$B$5*RETORNOS!B31+OPTIMIZACION!$B$6*RETORNOS!C31+OPTIMIZACION!$B$7*RETORNOS!D31+OPTIMIZACION!$B$8*RETORNOS!E31+OPTIMIZACION!$B$9*RETORNOS!F31+OPTIMIZACION!$B$10*RETORNOS!G31)</f>
        <v>-0.01177605836</v>
      </c>
      <c r="C31" s="7">
        <f>IF(RETORNOS!H31="","",RETORNOS!H31)</f>
        <v>-0.01135298799</v>
      </c>
      <c r="D31" s="7">
        <f>IF(RETORNOS!I31="","",RETORNOS!I31)</f>
        <v>-0.008402454286</v>
      </c>
      <c r="E31" s="7">
        <f t="shared" si="2"/>
        <v>-0.009877721137</v>
      </c>
      <c r="F31" s="7">
        <f t="shared" si="3"/>
        <v>-0.0004230703744</v>
      </c>
      <c r="G31" s="7">
        <f t="shared" si="4"/>
        <v>-0.001898337225</v>
      </c>
      <c r="H31" s="5">
        <f t="shared" ref="H31:K31" si="31">IF(B31="","",H30*(1+B31))</f>
        <v>102.4672601</v>
      </c>
      <c r="I31" s="5">
        <f t="shared" si="31"/>
        <v>101.8042524</v>
      </c>
      <c r="J31" s="5">
        <f t="shared" si="31"/>
        <v>100.0149698</v>
      </c>
      <c r="K31" s="5">
        <f t="shared" si="31"/>
        <v>101.0510793</v>
      </c>
      <c r="L31" s="7">
        <f t="shared" si="6"/>
        <v>-0.01177605836</v>
      </c>
    </row>
    <row r="32" ht="15.75" customHeight="1">
      <c r="A32" s="4">
        <f>IF(RETORNOS!A32="","",RETORNOS!A32)</f>
        <v>44456</v>
      </c>
      <c r="B32" s="7">
        <f>IF(RETORNOS!B32="","",OPTIMIZACION!$B$5*RETORNOS!B32+OPTIMIZACION!$B$6*RETORNOS!C32+OPTIMIZACION!$B$7*RETORNOS!D32+OPTIMIZACION!$B$8*RETORNOS!E32+OPTIMIZACION!$B$9*RETORNOS!F32+OPTIMIZACION!$B$10*RETORNOS!G32)</f>
        <v>-0.01362427478</v>
      </c>
      <c r="C32" s="7">
        <f>IF(RETORNOS!H32="","",RETORNOS!H32)</f>
        <v>-0.007453942731</v>
      </c>
      <c r="D32" s="7">
        <f>IF(RETORNOS!I32="","",RETORNOS!I32)</f>
        <v>-0.0154165391</v>
      </c>
      <c r="E32" s="7">
        <f t="shared" si="2"/>
        <v>-0.01143524092</v>
      </c>
      <c r="F32" s="7">
        <f t="shared" si="3"/>
        <v>-0.006170332045</v>
      </c>
      <c r="G32" s="7">
        <f t="shared" si="4"/>
        <v>-0.002189033859</v>
      </c>
      <c r="H32" s="5">
        <f t="shared" ref="H32:K32" si="32">IF(B32="","",H31*(1+B32))</f>
        <v>101.071218</v>
      </c>
      <c r="I32" s="5">
        <f t="shared" si="32"/>
        <v>101.0454094</v>
      </c>
      <c r="J32" s="5">
        <f t="shared" si="32"/>
        <v>98.47308506</v>
      </c>
      <c r="K32" s="5">
        <f t="shared" si="32"/>
        <v>99.89553586</v>
      </c>
      <c r="L32" s="7">
        <f t="shared" si="6"/>
        <v>-0.02523989288</v>
      </c>
    </row>
    <row r="33" ht="15.75" customHeight="1">
      <c r="A33" s="4">
        <f>IF(RETORNOS!A33="","",RETORNOS!A33)</f>
        <v>44459</v>
      </c>
      <c r="B33" s="7">
        <f>IF(RETORNOS!B33="","",OPTIMIZACION!$B$5*RETORNOS!B33+OPTIMIZACION!$B$6*RETORNOS!C33+OPTIMIZACION!$B$7*RETORNOS!D33+OPTIMIZACION!$B$8*RETORNOS!E33+OPTIMIZACION!$B$9*RETORNOS!F33+OPTIMIZACION!$B$10*RETORNOS!G33)</f>
        <v>-0.01912621469</v>
      </c>
      <c r="C33" s="7">
        <f>IF(RETORNOS!H33="","",RETORNOS!H33)</f>
        <v>-0.03057713625</v>
      </c>
      <c r="D33" s="7">
        <f>IF(RETORNOS!I33="","",RETORNOS!I33)</f>
        <v>-0.001813859963</v>
      </c>
      <c r="E33" s="7">
        <f t="shared" si="2"/>
        <v>-0.01619549811</v>
      </c>
      <c r="F33" s="7">
        <f t="shared" si="3"/>
        <v>0.01145092156</v>
      </c>
      <c r="G33" s="7">
        <f t="shared" si="4"/>
        <v>-0.002930716583</v>
      </c>
      <c r="H33" s="5">
        <f t="shared" ref="H33:K33" si="33">IF(B33="","",H32*(1+B33))</f>
        <v>99.13810816</v>
      </c>
      <c r="I33" s="5">
        <f t="shared" si="33"/>
        <v>97.95573011</v>
      </c>
      <c r="J33" s="5">
        <f t="shared" si="33"/>
        <v>98.29446868</v>
      </c>
      <c r="K33" s="5">
        <f t="shared" si="33"/>
        <v>98.2776779</v>
      </c>
      <c r="L33" s="7">
        <f t="shared" si="6"/>
        <v>-0.04388336396</v>
      </c>
    </row>
    <row r="34" ht="15.75" customHeight="1">
      <c r="A34" s="4">
        <f>IF(RETORNOS!A34="","",RETORNOS!A34)</f>
        <v>44460</v>
      </c>
      <c r="B34" s="7">
        <f>IF(RETORNOS!B34="","",OPTIMIZACION!$B$5*RETORNOS!B34+OPTIMIZACION!$B$6*RETORNOS!C34+OPTIMIZACION!$B$7*RETORNOS!D34+OPTIMIZACION!$B$8*RETORNOS!E34+OPTIMIZACION!$B$9*RETORNOS!F34+OPTIMIZACION!$B$10*RETORNOS!G34)</f>
        <v>-0.007180539186</v>
      </c>
      <c r="C34" s="7">
        <f>IF(RETORNOS!H34="","",RETORNOS!H34)</f>
        <v>0.002311663754</v>
      </c>
      <c r="D34" s="7">
        <f>IF(RETORNOS!I34="","",RETORNOS!I34)</f>
        <v>-0.002730925919</v>
      </c>
      <c r="E34" s="7">
        <f t="shared" si="2"/>
        <v>-0.0002096310822</v>
      </c>
      <c r="F34" s="7">
        <f t="shared" si="3"/>
        <v>-0.009492202941</v>
      </c>
      <c r="G34" s="7">
        <f t="shared" si="4"/>
        <v>-0.006970908104</v>
      </c>
      <c r="H34" s="5">
        <f t="shared" ref="H34:K34" si="34">IF(B34="","",H33*(1+B34))</f>
        <v>98.42624309</v>
      </c>
      <c r="I34" s="5">
        <f t="shared" si="34"/>
        <v>98.18217082</v>
      </c>
      <c r="J34" s="5">
        <f t="shared" si="34"/>
        <v>98.02603376</v>
      </c>
      <c r="K34" s="5">
        <f t="shared" si="34"/>
        <v>98.25707585</v>
      </c>
      <c r="L34" s="7">
        <f t="shared" si="6"/>
        <v>-0.05074879693</v>
      </c>
    </row>
    <row r="35" ht="15.75" customHeight="1">
      <c r="A35" s="4">
        <f>IF(RETORNOS!A35="","",RETORNOS!A35)</f>
        <v>44461</v>
      </c>
      <c r="B35" s="7">
        <f>IF(RETORNOS!B35="","",OPTIMIZACION!$B$5*RETORNOS!B35+OPTIMIZACION!$B$6*RETORNOS!C35+OPTIMIZACION!$B$7*RETORNOS!D35+OPTIMIZACION!$B$8*RETORNOS!E35+OPTIMIZACION!$B$9*RETORNOS!F35+OPTIMIZACION!$B$10*RETORNOS!G35)</f>
        <v>0.009701212204</v>
      </c>
      <c r="C35" s="7">
        <f>IF(RETORNOS!H35="","",RETORNOS!H35)</f>
        <v>0.03084657705</v>
      </c>
      <c r="D35" s="7">
        <f>IF(RETORNOS!I35="","",RETORNOS!I35)</f>
        <v>-0.0006212602907</v>
      </c>
      <c r="E35" s="7">
        <f t="shared" si="2"/>
        <v>0.01511265838</v>
      </c>
      <c r="F35" s="7">
        <f t="shared" si="3"/>
        <v>-0.02114536484</v>
      </c>
      <c r="G35" s="7">
        <f t="shared" si="4"/>
        <v>-0.005411446175</v>
      </c>
      <c r="H35" s="5">
        <f t="shared" ref="H35:K35" si="35">IF(B35="","",H34*(1+B35))</f>
        <v>99.38109696</v>
      </c>
      <c r="I35" s="5">
        <f t="shared" si="35"/>
        <v>101.2107547</v>
      </c>
      <c r="J35" s="5">
        <f t="shared" si="35"/>
        <v>97.96513408</v>
      </c>
      <c r="K35" s="5">
        <f t="shared" si="35"/>
        <v>99.74200147</v>
      </c>
      <c r="L35" s="7">
        <f t="shared" si="6"/>
        <v>-0.04153990958</v>
      </c>
    </row>
    <row r="36" ht="15.75" customHeight="1">
      <c r="A36" s="4">
        <f>IF(RETORNOS!A36="","",RETORNOS!A36)</f>
        <v>44462</v>
      </c>
      <c r="B36" s="7">
        <f>IF(RETORNOS!B36="","",OPTIMIZACION!$B$5*RETORNOS!B36+OPTIMIZACION!$B$6*RETORNOS!C36+OPTIMIZACION!$B$7*RETORNOS!D36+OPTIMIZACION!$B$8*RETORNOS!E36+OPTIMIZACION!$B$9*RETORNOS!F36+OPTIMIZACION!$B$10*RETORNOS!G36)</f>
        <v>0.01254023588</v>
      </c>
      <c r="C36" s="7">
        <f>IF(RETORNOS!H36="","",RETORNOS!H36)</f>
        <v>0.03503056551</v>
      </c>
      <c r="D36" s="7">
        <f>IF(RETORNOS!I36="","",RETORNOS!I36)</f>
        <v>-0.005320460505</v>
      </c>
      <c r="E36" s="7">
        <f t="shared" si="2"/>
        <v>0.0148550525</v>
      </c>
      <c r="F36" s="7">
        <f t="shared" si="3"/>
        <v>-0.02249032963</v>
      </c>
      <c r="G36" s="7">
        <f t="shared" si="4"/>
        <v>-0.002314816624</v>
      </c>
      <c r="H36" s="5">
        <f t="shared" ref="H36:K36" si="36">IF(B36="","",H35*(1+B36))</f>
        <v>100.6273594</v>
      </c>
      <c r="I36" s="5">
        <f t="shared" si="36"/>
        <v>104.7562247</v>
      </c>
      <c r="J36" s="5">
        <f t="shared" si="36"/>
        <v>97.44391445</v>
      </c>
      <c r="K36" s="5">
        <f t="shared" si="36"/>
        <v>101.2236741</v>
      </c>
      <c r="L36" s="7">
        <f t="shared" si="6"/>
        <v>-0.02952059396</v>
      </c>
    </row>
    <row r="37" ht="15.75" customHeight="1">
      <c r="A37" s="4">
        <f>IF(RETORNOS!A37="","",RETORNOS!A37)</f>
        <v>44463</v>
      </c>
      <c r="B37" s="7">
        <f>IF(RETORNOS!B37="","",OPTIMIZACION!$B$5*RETORNOS!B37+OPTIMIZACION!$B$6*RETORNOS!C37+OPTIMIZACION!$B$7*RETORNOS!D37+OPTIMIZACION!$B$8*RETORNOS!E37+OPTIMIZACION!$B$9*RETORNOS!F37+OPTIMIZACION!$B$10*RETORNOS!G37)</f>
        <v>-0.002961933056</v>
      </c>
      <c r="C37" s="7">
        <f>IF(RETORNOS!H37="","",RETORNOS!H37)</f>
        <v>0.007540130714</v>
      </c>
      <c r="D37" s="7">
        <f>IF(RETORNOS!I37="","",RETORNOS!I37)</f>
        <v>-0.001089336029</v>
      </c>
      <c r="E37" s="7">
        <f t="shared" si="2"/>
        <v>0.003225397343</v>
      </c>
      <c r="F37" s="7">
        <f t="shared" si="3"/>
        <v>-0.01050206377</v>
      </c>
      <c r="G37" s="7">
        <f t="shared" si="4"/>
        <v>-0.006187330399</v>
      </c>
      <c r="H37" s="5">
        <f t="shared" ref="H37:K37" si="37">IF(B37="","",H36*(1+B37))</f>
        <v>100.3293079</v>
      </c>
      <c r="I37" s="5">
        <f t="shared" si="37"/>
        <v>105.5461003</v>
      </c>
      <c r="J37" s="5">
        <f t="shared" si="37"/>
        <v>97.33776529</v>
      </c>
      <c r="K37" s="5">
        <f t="shared" si="37"/>
        <v>101.5501607</v>
      </c>
      <c r="L37" s="7">
        <f t="shared" si="6"/>
        <v>-0.032395089</v>
      </c>
    </row>
    <row r="38" ht="15.75" customHeight="1">
      <c r="A38" s="4">
        <f>IF(RETORNOS!A38="","",RETORNOS!A38)</f>
        <v>44466</v>
      </c>
      <c r="B38" s="7">
        <f>IF(RETORNOS!B38="","",OPTIMIZACION!$B$5*RETORNOS!B38+OPTIMIZACION!$B$6*RETORNOS!C38+OPTIMIZACION!$B$7*RETORNOS!D38+OPTIMIZACION!$B$8*RETORNOS!E38+OPTIMIZACION!$B$9*RETORNOS!F38+OPTIMIZACION!$B$10*RETORNOS!G38)</f>
        <v>0.006939008575</v>
      </c>
      <c r="C38" s="7">
        <f>IF(RETORNOS!H38="","",RETORNOS!H38)</f>
        <v>0.03553495381</v>
      </c>
      <c r="D38" s="7">
        <f>IF(RETORNOS!I38="","",RETORNOS!I38)</f>
        <v>-0.01182100028</v>
      </c>
      <c r="E38" s="7">
        <f t="shared" si="2"/>
        <v>0.01185697677</v>
      </c>
      <c r="F38" s="7">
        <f t="shared" si="3"/>
        <v>-0.02859594523</v>
      </c>
      <c r="G38" s="7">
        <f t="shared" si="4"/>
        <v>-0.00491796819</v>
      </c>
      <c r="H38" s="5">
        <f t="shared" ref="H38:K38" si="38">IF(B38="","",H37*(1+B38))</f>
        <v>101.0254938</v>
      </c>
      <c r="I38" s="5">
        <f t="shared" si="38"/>
        <v>109.2966761</v>
      </c>
      <c r="J38" s="5">
        <f t="shared" si="38"/>
        <v>96.18713554</v>
      </c>
      <c r="K38" s="5">
        <f t="shared" si="38"/>
        <v>102.7542386</v>
      </c>
      <c r="L38" s="7">
        <f t="shared" si="6"/>
        <v>-0.02568087022</v>
      </c>
    </row>
    <row r="39" ht="15.75" customHeight="1">
      <c r="A39" s="4">
        <f>IF(RETORNOS!A39="","",RETORNOS!A39)</f>
        <v>44467</v>
      </c>
      <c r="B39" s="7">
        <f>IF(RETORNOS!B39="","",OPTIMIZACION!$B$5*RETORNOS!B39+OPTIMIZACION!$B$6*RETORNOS!C39+OPTIMIZACION!$B$7*RETORNOS!D39+OPTIMIZACION!$B$8*RETORNOS!E39+OPTIMIZACION!$B$9*RETORNOS!F39+OPTIMIZACION!$B$10*RETORNOS!G39)</f>
        <v>-0.001149351608</v>
      </c>
      <c r="C39" s="7">
        <f>IF(RETORNOS!H39="","",RETORNOS!H39)</f>
        <v>0.003416027825</v>
      </c>
      <c r="D39" s="7">
        <f>IF(RETORNOS!I39="","",RETORNOS!I39)</f>
        <v>-0.01258493416</v>
      </c>
      <c r="E39" s="7">
        <f t="shared" si="2"/>
        <v>-0.004584453166</v>
      </c>
      <c r="F39" s="7">
        <f t="shared" si="3"/>
        <v>-0.004565379433</v>
      </c>
      <c r="G39" s="7">
        <f t="shared" si="4"/>
        <v>0.003435101558</v>
      </c>
      <c r="H39" s="5">
        <f t="shared" ref="H39:K39" si="39">IF(B39="","",H38*(1+B39))</f>
        <v>100.90938</v>
      </c>
      <c r="I39" s="5">
        <f t="shared" si="39"/>
        <v>109.6700366</v>
      </c>
      <c r="J39" s="5">
        <f t="shared" si="39"/>
        <v>94.97662677</v>
      </c>
      <c r="K39" s="5">
        <f t="shared" si="39"/>
        <v>102.2831666</v>
      </c>
      <c r="L39" s="7">
        <f t="shared" si="6"/>
        <v>-0.02680070548</v>
      </c>
    </row>
    <row r="40" ht="15.75" customHeight="1">
      <c r="A40" s="4">
        <f>IF(RETORNOS!A40="","",RETORNOS!A40)</f>
        <v>44468</v>
      </c>
      <c r="B40" s="7">
        <f>IF(RETORNOS!B40="","",OPTIMIZACION!$B$5*RETORNOS!B40+OPTIMIZACION!$B$6*RETORNOS!C40+OPTIMIZACION!$B$7*RETORNOS!D40+OPTIMIZACION!$B$8*RETORNOS!E40+OPTIMIZACION!$B$9*RETORNOS!F40+OPTIMIZACION!$B$10*RETORNOS!G40)</f>
        <v>0.003753119519</v>
      </c>
      <c r="C40" s="7">
        <f>IF(RETORNOS!H40="","",RETORNOS!H40)</f>
        <v>0</v>
      </c>
      <c r="D40" s="7">
        <f>IF(RETORNOS!I40="","",RETORNOS!I40)</f>
        <v>0.01306414578</v>
      </c>
      <c r="E40" s="7">
        <f t="shared" si="2"/>
        <v>0.00653207289</v>
      </c>
      <c r="F40" s="7">
        <f t="shared" si="3"/>
        <v>0.003753119519</v>
      </c>
      <c r="G40" s="7">
        <f t="shared" si="4"/>
        <v>-0.002778953371</v>
      </c>
      <c r="H40" s="5">
        <f t="shared" ref="H40:K40" si="40">IF(B40="","",H39*(1+B40))</f>
        <v>101.2881049</v>
      </c>
      <c r="I40" s="5">
        <f t="shared" si="40"/>
        <v>109.6700366</v>
      </c>
      <c r="J40" s="5">
        <f t="shared" si="40"/>
        <v>96.21741527</v>
      </c>
      <c r="K40" s="5">
        <f t="shared" si="40"/>
        <v>102.9512877</v>
      </c>
      <c r="L40" s="7">
        <f t="shared" si="6"/>
        <v>-0.02314817221</v>
      </c>
    </row>
    <row r="41" ht="15.75" customHeight="1">
      <c r="A41" s="4">
        <f>IF(RETORNOS!A41="","",RETORNOS!A41)</f>
        <v>44469</v>
      </c>
      <c r="B41" s="7">
        <f>IF(RETORNOS!B41="","",OPTIMIZACION!$B$5*RETORNOS!B41+OPTIMIZACION!$B$6*RETORNOS!C41+OPTIMIZACION!$B$7*RETORNOS!D41+OPTIMIZACION!$B$8*RETORNOS!E41+OPTIMIZACION!$B$9*RETORNOS!F41+OPTIMIZACION!$B$10*RETORNOS!G41)</f>
        <v>-0.00856774808</v>
      </c>
      <c r="C41" s="7">
        <f>IF(RETORNOS!H41="","",RETORNOS!H41)</f>
        <v>-0.01512525533</v>
      </c>
      <c r="D41" s="7">
        <f>IF(RETORNOS!I41="","",RETORNOS!I41)</f>
        <v>-0.007924103986</v>
      </c>
      <c r="E41" s="7">
        <f t="shared" si="2"/>
        <v>-0.01152467966</v>
      </c>
      <c r="F41" s="7">
        <f t="shared" si="3"/>
        <v>0.006557507249</v>
      </c>
      <c r="G41" s="7">
        <f t="shared" si="4"/>
        <v>0.002956931577</v>
      </c>
      <c r="H41" s="5">
        <f t="shared" ref="H41:K41" si="41">IF(B41="","",H40*(1+B41))</f>
        <v>100.420294</v>
      </c>
      <c r="I41" s="5">
        <f t="shared" si="41"/>
        <v>108.0112493</v>
      </c>
      <c r="J41" s="5">
        <f t="shared" si="41"/>
        <v>95.45497846</v>
      </c>
      <c r="K41" s="5">
        <f t="shared" si="41"/>
        <v>101.7648071</v>
      </c>
      <c r="L41" s="7">
        <f t="shared" si="6"/>
        <v>-0.03151759259</v>
      </c>
    </row>
    <row r="42" ht="15.75" customHeight="1">
      <c r="A42" s="4">
        <f>IF(RETORNOS!A42="","",RETORNOS!A42)</f>
        <v>44470</v>
      </c>
      <c r="B42" s="7">
        <f>IF(RETORNOS!B42="","",OPTIMIZACION!$B$5*RETORNOS!B42+OPTIMIZACION!$B$6*RETORNOS!C42+OPTIMIZACION!$B$7*RETORNOS!D42+OPTIMIZACION!$B$8*RETORNOS!E42+OPTIMIZACION!$B$9*RETORNOS!F42+OPTIMIZACION!$B$10*RETORNOS!G42)</f>
        <v>0.01127758995</v>
      </c>
      <c r="C42" s="7">
        <f>IF(RETORNOS!H42="","",RETORNOS!H42)</f>
        <v>0.03359714846</v>
      </c>
      <c r="D42" s="7">
        <f>IF(RETORNOS!I42="","",RETORNOS!I42)</f>
        <v>0</v>
      </c>
      <c r="E42" s="7">
        <f t="shared" si="2"/>
        <v>0.01679857423</v>
      </c>
      <c r="F42" s="7">
        <f t="shared" si="3"/>
        <v>-0.02231955852</v>
      </c>
      <c r="G42" s="7">
        <f t="shared" si="4"/>
        <v>-0.005520984285</v>
      </c>
      <c r="H42" s="5">
        <f t="shared" ref="H42:K42" si="42">IF(B42="","",H41*(1+B42))</f>
        <v>101.5527929</v>
      </c>
      <c r="I42" s="5">
        <f t="shared" si="42"/>
        <v>111.6401193</v>
      </c>
      <c r="J42" s="5">
        <f t="shared" si="42"/>
        <v>95.45497846</v>
      </c>
      <c r="K42" s="5">
        <f t="shared" si="42"/>
        <v>103.4743108</v>
      </c>
      <c r="L42" s="7">
        <f t="shared" si="6"/>
        <v>-0.02059544512</v>
      </c>
    </row>
    <row r="43" ht="15.75" customHeight="1">
      <c r="A43" s="4">
        <f>IF(RETORNOS!A43="","",RETORNOS!A43)</f>
        <v>44473</v>
      </c>
      <c r="B43" s="7">
        <f>IF(RETORNOS!B43="","",OPTIMIZACION!$B$5*RETORNOS!B43+OPTIMIZACION!$B$6*RETORNOS!C43+OPTIMIZACION!$B$7*RETORNOS!D43+OPTIMIZACION!$B$8*RETORNOS!E43+OPTIMIZACION!$B$9*RETORNOS!F43+OPTIMIZACION!$B$10*RETORNOS!G43)</f>
        <v>0.01367326692</v>
      </c>
      <c r="C43" s="7">
        <f>IF(RETORNOS!H43="","",RETORNOS!H43)</f>
        <v>0.01633940089</v>
      </c>
      <c r="D43" s="7">
        <f>IF(RETORNOS!I43="","",RETORNOS!I43)</f>
        <v>0.01378280411</v>
      </c>
      <c r="E43" s="7">
        <f t="shared" si="2"/>
        <v>0.0150611025</v>
      </c>
      <c r="F43" s="7">
        <f t="shared" si="3"/>
        <v>-0.002666133969</v>
      </c>
      <c r="G43" s="7">
        <f t="shared" si="4"/>
        <v>-0.001387835579</v>
      </c>
      <c r="H43" s="5">
        <f t="shared" ref="H43:K43" si="43">IF(B43="","",H42*(1+B43))</f>
        <v>102.9413513</v>
      </c>
      <c r="I43" s="5">
        <f t="shared" si="43"/>
        <v>113.4642519</v>
      </c>
      <c r="J43" s="5">
        <f t="shared" si="43"/>
        <v>96.77061573</v>
      </c>
      <c r="K43" s="5">
        <f t="shared" si="43"/>
        <v>105.032748</v>
      </c>
      <c r="L43" s="7">
        <f t="shared" si="6"/>
        <v>-0.007203785224</v>
      </c>
    </row>
    <row r="44" ht="15.75" customHeight="1">
      <c r="A44" s="4">
        <f>IF(RETORNOS!A44="","",RETORNOS!A44)</f>
        <v>44474</v>
      </c>
      <c r="B44" s="7">
        <f>IF(RETORNOS!B44="","",OPTIMIZACION!$B$5*RETORNOS!B44+OPTIMIZACION!$B$6*RETORNOS!C44+OPTIMIZACION!$B$7*RETORNOS!D44+OPTIMIZACION!$B$8*RETORNOS!E44+OPTIMIZACION!$B$9*RETORNOS!F44+OPTIMIZACION!$B$10*RETORNOS!G44)</f>
        <v>0.005436760258</v>
      </c>
      <c r="C44" s="7">
        <f>IF(RETORNOS!H44="","",RETORNOS!H44)</f>
        <v>0.005850352346</v>
      </c>
      <c r="D44" s="7">
        <f>IF(RETORNOS!I44="","",RETORNOS!I44)</f>
        <v>-0.002461027866</v>
      </c>
      <c r="E44" s="7">
        <f t="shared" si="2"/>
        <v>0.00169466224</v>
      </c>
      <c r="F44" s="7">
        <f t="shared" si="3"/>
        <v>-0.0004135920879</v>
      </c>
      <c r="G44" s="7">
        <f t="shared" si="4"/>
        <v>0.003742098018</v>
      </c>
      <c r="H44" s="5">
        <f t="shared" ref="H44:K44" si="44">IF(B44="","",H43*(1+B44))</f>
        <v>103.5010188</v>
      </c>
      <c r="I44" s="5">
        <f t="shared" si="44"/>
        <v>114.1280578</v>
      </c>
      <c r="J44" s="5">
        <f t="shared" si="44"/>
        <v>96.53246055</v>
      </c>
      <c r="K44" s="5">
        <f t="shared" si="44"/>
        <v>105.210743</v>
      </c>
      <c r="L44" s="7">
        <f t="shared" si="6"/>
        <v>-0.001806190219</v>
      </c>
    </row>
    <row r="45" ht="15.75" customHeight="1">
      <c r="A45" s="4">
        <f>IF(RETORNOS!A45="","",RETORNOS!A45)</f>
        <v>44475</v>
      </c>
      <c r="B45" s="7">
        <f>IF(RETORNOS!B45="","",OPTIMIZACION!$B$5*RETORNOS!B45+OPTIMIZACION!$B$6*RETORNOS!C45+OPTIMIZACION!$B$7*RETORNOS!D45+OPTIMIZACION!$B$8*RETORNOS!E45+OPTIMIZACION!$B$9*RETORNOS!F45+OPTIMIZACION!$B$10*RETORNOS!G45)</f>
        <v>-0.003767413651</v>
      </c>
      <c r="C45" s="7">
        <f>IF(RETORNOS!H45="","",RETORNOS!H45)</f>
        <v>-0.01051526945</v>
      </c>
      <c r="D45" s="7">
        <f>IF(RETORNOS!I45="","",RETORNOS!I45)</f>
        <v>0.01547223808</v>
      </c>
      <c r="E45" s="7">
        <f t="shared" si="2"/>
        <v>0.002478484318</v>
      </c>
      <c r="F45" s="7">
        <f t="shared" si="3"/>
        <v>0.006747855795</v>
      </c>
      <c r="G45" s="7">
        <f t="shared" si="4"/>
        <v>-0.006245897969</v>
      </c>
      <c r="H45" s="5">
        <f t="shared" ref="H45:K45" si="45">IF(B45="","",H44*(1+B45))</f>
        <v>103.1110876</v>
      </c>
      <c r="I45" s="5">
        <f t="shared" si="45"/>
        <v>112.9279705</v>
      </c>
      <c r="J45" s="5">
        <f t="shared" si="45"/>
        <v>98.02603376</v>
      </c>
      <c r="K45" s="5">
        <f t="shared" si="45"/>
        <v>105.4715062</v>
      </c>
      <c r="L45" s="7">
        <f t="shared" si="6"/>
        <v>-0.005566799205</v>
      </c>
    </row>
    <row r="46" ht="15.75" customHeight="1">
      <c r="A46" s="4">
        <f>IF(RETORNOS!A46="","",RETORNOS!A46)</f>
        <v>44476</v>
      </c>
      <c r="B46" s="7">
        <f>IF(RETORNOS!B46="","",OPTIMIZACION!$B$5*RETORNOS!B46+OPTIMIZACION!$B$6*RETORNOS!C46+OPTIMIZACION!$B$7*RETORNOS!D46+OPTIMIZACION!$B$8*RETORNOS!E46+OPTIMIZACION!$B$9*RETORNOS!F46+OPTIMIZACION!$B$10*RETORNOS!G46)</f>
        <v>0.00810810863</v>
      </c>
      <c r="C46" s="7">
        <f>IF(RETORNOS!H46="","",RETORNOS!H46)</f>
        <v>0.007694388507</v>
      </c>
      <c r="D46" s="7">
        <f>IF(RETORNOS!I46="","",RETORNOS!I46)</f>
        <v>-0.005351862393</v>
      </c>
      <c r="E46" s="7">
        <f t="shared" si="2"/>
        <v>0.001171263057</v>
      </c>
      <c r="F46" s="7">
        <f t="shared" si="3"/>
        <v>0.0004137201234</v>
      </c>
      <c r="G46" s="7">
        <f t="shared" si="4"/>
        <v>0.006936845573</v>
      </c>
      <c r="H46" s="5">
        <f t="shared" ref="H46:K46" si="46">IF(B46="","",H45*(1+B46))</f>
        <v>103.9471235</v>
      </c>
      <c r="I46" s="5">
        <f t="shared" si="46"/>
        <v>113.7968822</v>
      </c>
      <c r="J46" s="5">
        <f t="shared" si="46"/>
        <v>97.50141192</v>
      </c>
      <c r="K46" s="5">
        <f t="shared" si="46"/>
        <v>105.595041</v>
      </c>
      <c r="L46" s="7">
        <f t="shared" si="6"/>
        <v>0</v>
      </c>
    </row>
    <row r="47" ht="15.75" customHeight="1">
      <c r="A47" s="4">
        <f>IF(RETORNOS!A47="","",RETORNOS!A47)</f>
        <v>44477</v>
      </c>
      <c r="B47" s="7">
        <f>IF(RETORNOS!B47="","",OPTIMIZACION!$B$5*RETORNOS!B47+OPTIMIZACION!$B$6*RETORNOS!C47+OPTIMIZACION!$B$7*RETORNOS!D47+OPTIMIZACION!$B$8*RETORNOS!E47+OPTIMIZACION!$B$9*RETORNOS!F47+OPTIMIZACION!$B$10*RETORNOS!G47)</f>
        <v>0.01064201961</v>
      </c>
      <c r="C47" s="7">
        <f>IF(RETORNOS!H47="","",RETORNOS!H47)</f>
        <v>0.03080246624</v>
      </c>
      <c r="D47" s="7">
        <f>IF(RETORNOS!I47="","",RETORNOS!I47)</f>
        <v>-0.007359150261</v>
      </c>
      <c r="E47" s="7">
        <f t="shared" si="2"/>
        <v>0.01172165799</v>
      </c>
      <c r="F47" s="7">
        <f t="shared" si="3"/>
        <v>-0.02016044663</v>
      </c>
      <c r="G47" s="7">
        <f t="shared" si="4"/>
        <v>-0.001079638379</v>
      </c>
      <c r="H47" s="5">
        <f t="shared" ref="H47:K47" si="47">IF(B47="","",H46*(1+B47))</f>
        <v>105.0533308</v>
      </c>
      <c r="I47" s="5">
        <f t="shared" si="47"/>
        <v>117.3021068</v>
      </c>
      <c r="J47" s="5">
        <f t="shared" si="47"/>
        <v>96.78388438</v>
      </c>
      <c r="K47" s="5">
        <f t="shared" si="47"/>
        <v>106.83279</v>
      </c>
      <c r="L47" s="7">
        <f t="shared" si="6"/>
        <v>0</v>
      </c>
    </row>
    <row r="48" ht="15.75" customHeight="1">
      <c r="A48" s="4">
        <f>IF(RETORNOS!A48="","",RETORNOS!A48)</f>
        <v>44480</v>
      </c>
      <c r="B48" s="7">
        <f>IF(RETORNOS!B48="","",OPTIMIZACION!$B$5*RETORNOS!B48+OPTIMIZACION!$B$6*RETORNOS!C48+OPTIMIZACION!$B$7*RETORNOS!D48+OPTIMIZACION!$B$8*RETORNOS!E48+OPTIMIZACION!$B$9*RETORNOS!F48+OPTIMIZACION!$B$10*RETORNOS!G48)</f>
        <v>-0.006387043543</v>
      </c>
      <c r="C48" s="7">
        <f>IF(RETORNOS!H48="","",RETORNOS!H48)</f>
        <v>-0.003716135219</v>
      </c>
      <c r="D48" s="7">
        <f>IF(RETORNOS!I48="","",RETORNOS!I48)</f>
        <v>-0.01357949612</v>
      </c>
      <c r="E48" s="7">
        <f t="shared" si="2"/>
        <v>-0.00864781567</v>
      </c>
      <c r="F48" s="7">
        <f t="shared" si="3"/>
        <v>-0.002670908323</v>
      </c>
      <c r="G48" s="7">
        <f t="shared" si="4"/>
        <v>0.002260772128</v>
      </c>
      <c r="H48" s="5">
        <f t="shared" ref="H48:K48" si="48">IF(B48="","",H47*(1+B48))</f>
        <v>104.3823506</v>
      </c>
      <c r="I48" s="5">
        <f t="shared" si="48"/>
        <v>116.8661963</v>
      </c>
      <c r="J48" s="5">
        <f t="shared" si="48"/>
        <v>95.469608</v>
      </c>
      <c r="K48" s="5">
        <f t="shared" si="48"/>
        <v>105.9089197</v>
      </c>
      <c r="L48" s="7">
        <f t="shared" si="6"/>
        <v>-0.006387043543</v>
      </c>
    </row>
    <row r="49" ht="15.75" customHeight="1">
      <c r="A49" s="4">
        <f>IF(RETORNOS!A49="","",RETORNOS!A49)</f>
        <v>44481</v>
      </c>
      <c r="B49" s="7">
        <f>IF(RETORNOS!B49="","",OPTIMIZACION!$B$5*RETORNOS!B49+OPTIMIZACION!$B$6*RETORNOS!C49+OPTIMIZACION!$B$7*RETORNOS!D49+OPTIMIZACION!$B$8*RETORNOS!E49+OPTIMIZACION!$B$9*RETORNOS!F49+OPTIMIZACION!$B$10*RETORNOS!G49)</f>
        <v>-0.001332039706</v>
      </c>
      <c r="C49" s="7">
        <f>IF(RETORNOS!H49="","",RETORNOS!H49)</f>
        <v>0.0008837477543</v>
      </c>
      <c r="D49" s="7">
        <f>IF(RETORNOS!I49="","",RETORNOS!I49)</f>
        <v>0.006731762945</v>
      </c>
      <c r="E49" s="7">
        <f t="shared" si="2"/>
        <v>0.00380775535</v>
      </c>
      <c r="F49" s="7">
        <f t="shared" si="3"/>
        <v>-0.00221578746</v>
      </c>
      <c r="G49" s="7">
        <f t="shared" si="4"/>
        <v>-0.005139795056</v>
      </c>
      <c r="H49" s="5">
        <f t="shared" ref="H49:K49" si="49">IF(B49="","",H48*(1+B49))</f>
        <v>104.2433092</v>
      </c>
      <c r="I49" s="5">
        <f t="shared" si="49"/>
        <v>116.9694766</v>
      </c>
      <c r="J49" s="5">
        <f t="shared" si="49"/>
        <v>96.11228677</v>
      </c>
      <c r="K49" s="5">
        <f t="shared" si="49"/>
        <v>106.312195</v>
      </c>
      <c r="L49" s="7">
        <f t="shared" si="6"/>
        <v>-0.007710575453</v>
      </c>
    </row>
    <row r="50" ht="15.75" customHeight="1">
      <c r="A50" s="4">
        <f>IF(RETORNOS!A50="","",RETORNOS!A50)</f>
        <v>44482</v>
      </c>
      <c r="B50" s="7">
        <f>IF(RETORNOS!B50="","",OPTIMIZACION!$B$5*RETORNOS!B50+OPTIMIZACION!$B$6*RETORNOS!C50+OPTIMIZACION!$B$7*RETORNOS!D50+OPTIMIZACION!$B$8*RETORNOS!E50+OPTIMIZACION!$B$9*RETORNOS!F50+OPTIMIZACION!$B$10*RETORNOS!G50)</f>
        <v>0.01360237304</v>
      </c>
      <c r="C50" s="7">
        <f>IF(RETORNOS!H50="","",RETORNOS!H50)</f>
        <v>-0.0008829674338</v>
      </c>
      <c r="D50" s="7">
        <f>IF(RETORNOS!I50="","",RETORNOS!I50)</f>
        <v>0.01165667843</v>
      </c>
      <c r="E50" s="7">
        <f t="shared" si="2"/>
        <v>0.005386855498</v>
      </c>
      <c r="F50" s="7">
        <f t="shared" si="3"/>
        <v>0.01448534047</v>
      </c>
      <c r="G50" s="7">
        <f t="shared" si="4"/>
        <v>0.008215517539</v>
      </c>
      <c r="H50" s="5">
        <f t="shared" ref="H50:K50" si="50">IF(B50="","",H49*(1+B50))</f>
        <v>105.6612656</v>
      </c>
      <c r="I50" s="5">
        <f t="shared" si="50"/>
        <v>116.8661963</v>
      </c>
      <c r="J50" s="5">
        <f t="shared" si="50"/>
        <v>97.23263679</v>
      </c>
      <c r="K50" s="5">
        <f t="shared" si="50"/>
        <v>106.8848834</v>
      </c>
      <c r="L50" s="7">
        <f t="shared" si="6"/>
        <v>0</v>
      </c>
    </row>
    <row r="51" ht="15.75" customHeight="1">
      <c r="A51" s="4">
        <f>IF(RETORNOS!A51="","",RETORNOS!A51)</f>
        <v>44483</v>
      </c>
      <c r="B51" s="7">
        <f>IF(RETORNOS!B51="","",OPTIMIZACION!$B$5*RETORNOS!B51+OPTIMIZACION!$B$6*RETORNOS!C51+OPTIMIZACION!$B$7*RETORNOS!D51+OPTIMIZACION!$B$8*RETORNOS!E51+OPTIMIZACION!$B$9*RETORNOS!F51+OPTIMIZACION!$B$10*RETORNOS!G51)</f>
        <v>0.01115804023</v>
      </c>
      <c r="C51" s="7">
        <f>IF(RETORNOS!H51="","",RETORNOS!H51)</f>
        <v>0.01222310274</v>
      </c>
      <c r="D51" s="7">
        <f>IF(RETORNOS!I51="","",RETORNOS!I51)</f>
        <v>0.01230615273</v>
      </c>
      <c r="E51" s="7">
        <f t="shared" si="2"/>
        <v>0.01226462773</v>
      </c>
      <c r="F51" s="7">
        <f t="shared" si="3"/>
        <v>-0.001065062515</v>
      </c>
      <c r="G51" s="7">
        <f t="shared" si="4"/>
        <v>-0.001106587507</v>
      </c>
      <c r="H51" s="5">
        <f t="shared" ref="H51:K51" si="51">IF(B51="","",H50*(1+B51))</f>
        <v>106.8402382</v>
      </c>
      <c r="I51" s="5">
        <f t="shared" si="51"/>
        <v>118.2946639</v>
      </c>
      <c r="J51" s="5">
        <f t="shared" si="51"/>
        <v>98.42919646</v>
      </c>
      <c r="K51" s="5">
        <f t="shared" si="51"/>
        <v>108.1957867</v>
      </c>
      <c r="L51" s="7">
        <f t="shared" si="6"/>
        <v>0</v>
      </c>
    </row>
    <row r="52" ht="15.75" customHeight="1">
      <c r="A52" s="4">
        <f>IF(RETORNOS!A52="","",RETORNOS!A52)</f>
        <v>44484</v>
      </c>
      <c r="B52" s="7">
        <f>IF(RETORNOS!B52="","",OPTIMIZACION!$B$5*RETORNOS!B52+OPTIMIZACION!$B$6*RETORNOS!C52+OPTIMIZACION!$B$7*RETORNOS!D52+OPTIMIZACION!$B$8*RETORNOS!E52+OPTIMIZACION!$B$9*RETORNOS!F52+OPTIMIZACION!$B$10*RETORNOS!G52)</f>
        <v>0.005710830116</v>
      </c>
      <c r="C52" s="7">
        <f>IF(RETORNOS!H52="","",RETORNOS!H52)</f>
        <v>0.004931035189</v>
      </c>
      <c r="D52" s="7">
        <f>IF(RETORNOS!I52="","",RETORNOS!I52)</f>
        <v>-0.002896556969</v>
      </c>
      <c r="E52" s="7">
        <f t="shared" si="2"/>
        <v>0.00101723911</v>
      </c>
      <c r="F52" s="7">
        <f t="shared" si="3"/>
        <v>0.0007797949264</v>
      </c>
      <c r="G52" s="7">
        <f t="shared" si="4"/>
        <v>0.004693591005</v>
      </c>
      <c r="H52" s="5">
        <f t="shared" ref="H52:K52" si="52">IF(B52="","",H51*(1+B52))</f>
        <v>107.4503847</v>
      </c>
      <c r="I52" s="5">
        <f t="shared" si="52"/>
        <v>118.877979</v>
      </c>
      <c r="J52" s="5">
        <f t="shared" si="52"/>
        <v>98.14409069</v>
      </c>
      <c r="K52" s="5">
        <f t="shared" si="52"/>
        <v>108.3058477</v>
      </c>
      <c r="L52" s="7">
        <f t="shared" si="6"/>
        <v>0</v>
      </c>
    </row>
    <row r="53" ht="15.75" customHeight="1">
      <c r="A53" s="4">
        <f>IF(RETORNOS!A53="","",RETORNOS!A53)</f>
        <v>44487</v>
      </c>
      <c r="B53" s="7">
        <f>IF(RETORNOS!B53="","",OPTIMIZACION!$B$5*RETORNOS!B53+OPTIMIZACION!$B$6*RETORNOS!C53+OPTIMIZACION!$B$7*RETORNOS!D53+OPTIMIZACION!$B$8*RETORNOS!E53+OPTIMIZACION!$B$9*RETORNOS!F53+OPTIMIZACION!$B$10*RETORNOS!G53)</f>
        <v>-0.007562605052</v>
      </c>
      <c r="C53" s="7">
        <f>IF(RETORNOS!H53="","",RETORNOS!H53)</f>
        <v>0.0006811655681</v>
      </c>
      <c r="D53" s="7">
        <f>IF(RETORNOS!I53="","",RETORNOS!I53)</f>
        <v>-0.009574619286</v>
      </c>
      <c r="E53" s="7">
        <f t="shared" si="2"/>
        <v>-0.004446726859</v>
      </c>
      <c r="F53" s="7">
        <f t="shared" si="3"/>
        <v>-0.00824377062</v>
      </c>
      <c r="G53" s="7">
        <f t="shared" si="4"/>
        <v>-0.003115878193</v>
      </c>
      <c r="H53" s="5">
        <f t="shared" ref="H53:K53" si="53">IF(B53="","",H52*(1+B53))</f>
        <v>106.6377799</v>
      </c>
      <c r="I53" s="5">
        <f t="shared" si="53"/>
        <v>118.9589546</v>
      </c>
      <c r="J53" s="5">
        <f t="shared" si="53"/>
        <v>97.20439839</v>
      </c>
      <c r="K53" s="5">
        <f t="shared" si="53"/>
        <v>107.8242412</v>
      </c>
      <c r="L53" s="7">
        <f t="shared" si="6"/>
        <v>-0.007562605052</v>
      </c>
    </row>
    <row r="54" ht="15.75" customHeight="1">
      <c r="A54" s="4">
        <f>IF(RETORNOS!A54="","",RETORNOS!A54)</f>
        <v>44488</v>
      </c>
      <c r="B54" s="7">
        <f>IF(RETORNOS!B54="","",OPTIMIZACION!$B$5*RETORNOS!B54+OPTIMIZACION!$B$6*RETORNOS!C54+OPTIMIZACION!$B$7*RETORNOS!D54+OPTIMIZACION!$B$8*RETORNOS!E54+OPTIMIZACION!$B$9*RETORNOS!F54+OPTIMIZACION!$B$10*RETORNOS!G54)</f>
        <v>0.003147578657</v>
      </c>
      <c r="C54" s="7">
        <f>IF(RETORNOS!H54="","",RETORNOS!H54)</f>
        <v>0.01133959688</v>
      </c>
      <c r="D54" s="7">
        <f>IF(RETORNOS!I54="","",RETORNOS!I54)</f>
        <v>0.0126002331</v>
      </c>
      <c r="E54" s="7">
        <f t="shared" si="2"/>
        <v>0.01196991499</v>
      </c>
      <c r="F54" s="7">
        <f t="shared" si="3"/>
        <v>-0.008192018221</v>
      </c>
      <c r="G54" s="7">
        <f t="shared" si="4"/>
        <v>-0.008822336334</v>
      </c>
      <c r="H54" s="5">
        <f t="shared" ref="H54:K54" si="54">IF(B54="","",H53*(1+B54))</f>
        <v>106.9734307</v>
      </c>
      <c r="I54" s="5">
        <f t="shared" si="54"/>
        <v>120.3079012</v>
      </c>
      <c r="J54" s="5">
        <f t="shared" si="54"/>
        <v>98.42919646</v>
      </c>
      <c r="K54" s="5">
        <f t="shared" si="54"/>
        <v>109.1148882</v>
      </c>
      <c r="L54" s="7">
        <f t="shared" si="6"/>
        <v>-0.004438830289</v>
      </c>
    </row>
    <row r="55" ht="15.75" customHeight="1">
      <c r="A55" s="4">
        <f>IF(RETORNOS!A55="","",RETORNOS!A55)</f>
        <v>44489</v>
      </c>
      <c r="B55" s="7">
        <f>IF(RETORNOS!B55="","",OPTIMIZACION!$B$5*RETORNOS!B55+OPTIMIZACION!$B$6*RETORNOS!C55+OPTIMIZACION!$B$7*RETORNOS!D55+OPTIMIZACION!$B$8*RETORNOS!E55+OPTIMIZACION!$B$9*RETORNOS!F55+OPTIMIZACION!$B$10*RETORNOS!G55)</f>
        <v>0.01187217997</v>
      </c>
      <c r="C55" s="7">
        <f>IF(RETORNOS!H55="","",RETORNOS!H55)</f>
        <v>0.008105047216</v>
      </c>
      <c r="D55" s="7">
        <f>IF(RETORNOS!I55="","",RETORNOS!I55)</f>
        <v>0.01577552029</v>
      </c>
      <c r="E55" s="7">
        <f t="shared" si="2"/>
        <v>0.01194028375</v>
      </c>
      <c r="F55" s="7">
        <f t="shared" si="3"/>
        <v>0.003767132751</v>
      </c>
      <c r="G55" s="7">
        <f t="shared" si="4"/>
        <v>-0.00006810378736</v>
      </c>
      <c r="H55" s="5">
        <f t="shared" ref="H55:K55" si="55">IF(B55="","",H54*(1+B55))</f>
        <v>108.2434385</v>
      </c>
      <c r="I55" s="5">
        <f t="shared" si="55"/>
        <v>121.2830024</v>
      </c>
      <c r="J55" s="5">
        <f t="shared" si="55"/>
        <v>99.98196825</v>
      </c>
      <c r="K55" s="5">
        <f t="shared" si="55"/>
        <v>110.4177509</v>
      </c>
      <c r="L55" s="7">
        <f t="shared" si="6"/>
        <v>0</v>
      </c>
    </row>
    <row r="56" ht="15.75" customHeight="1">
      <c r="A56" s="4">
        <f>IF(RETORNOS!A56="","",RETORNOS!A56)</f>
        <v>44490</v>
      </c>
      <c r="B56" s="7">
        <f>IF(RETORNOS!B56="","",OPTIMIZACION!$B$5*RETORNOS!B56+OPTIMIZACION!$B$6*RETORNOS!C56+OPTIMIZACION!$B$7*RETORNOS!D56+OPTIMIZACION!$B$8*RETORNOS!E56+OPTIMIZACION!$B$9*RETORNOS!F56+OPTIMIZACION!$B$10*RETORNOS!G56)</f>
        <v>-0.01208206845</v>
      </c>
      <c r="C56" s="7">
        <f>IF(RETORNOS!H56="","",RETORNOS!H56)</f>
        <v>-0.01845854922</v>
      </c>
      <c r="D56" s="7">
        <f>IF(RETORNOS!I56="","",RETORNOS!I56)</f>
        <v>0</v>
      </c>
      <c r="E56" s="7">
        <f t="shared" si="2"/>
        <v>-0.009229274611</v>
      </c>
      <c r="F56" s="7">
        <f t="shared" si="3"/>
        <v>0.006376480777</v>
      </c>
      <c r="G56" s="7">
        <f t="shared" si="4"/>
        <v>-0.002852793834</v>
      </c>
      <c r="H56" s="5">
        <f t="shared" ref="H56:K56" si="56">IF(B56="","",H55*(1+B56))</f>
        <v>106.9356338</v>
      </c>
      <c r="I56" s="5">
        <f t="shared" si="56"/>
        <v>119.0442941</v>
      </c>
      <c r="J56" s="5">
        <f t="shared" si="56"/>
        <v>99.98196825</v>
      </c>
      <c r="K56" s="5">
        <f t="shared" si="56"/>
        <v>109.3986752</v>
      </c>
      <c r="L56" s="7">
        <f t="shared" si="6"/>
        <v>-0.01208206845</v>
      </c>
    </row>
    <row r="57" ht="15.75" customHeight="1">
      <c r="A57" s="4">
        <f>IF(RETORNOS!A57="","",RETORNOS!A57)</f>
        <v>44491</v>
      </c>
      <c r="B57" s="7">
        <f>IF(RETORNOS!B57="","",OPTIMIZACION!$B$5*RETORNOS!B57+OPTIMIZACION!$B$6*RETORNOS!C57+OPTIMIZACION!$B$7*RETORNOS!D57+OPTIMIZACION!$B$8*RETORNOS!E57+OPTIMIZACION!$B$9*RETORNOS!F57+OPTIMIZACION!$B$10*RETORNOS!G57)</f>
        <v>-0.004493435127</v>
      </c>
      <c r="C57" s="7">
        <f>IF(RETORNOS!H57="","",RETORNOS!H57)</f>
        <v>0.009400800779</v>
      </c>
      <c r="D57" s="7">
        <f>IF(RETORNOS!I57="","",RETORNOS!I57)</f>
        <v>0.00509403722</v>
      </c>
      <c r="E57" s="7">
        <f t="shared" si="2"/>
        <v>0.007247418999</v>
      </c>
      <c r="F57" s="7">
        <f t="shared" si="3"/>
        <v>-0.01389423591</v>
      </c>
      <c r="G57" s="7">
        <f t="shared" si="4"/>
        <v>-0.01174085413</v>
      </c>
      <c r="H57" s="5">
        <f t="shared" ref="H57:K57" si="57">IF(B57="","",H56*(1+B57))</f>
        <v>106.4551255</v>
      </c>
      <c r="I57" s="5">
        <f t="shared" si="57"/>
        <v>120.1634058</v>
      </c>
      <c r="J57" s="5">
        <f t="shared" si="57"/>
        <v>100.4912801</v>
      </c>
      <c r="K57" s="5">
        <f t="shared" si="57"/>
        <v>110.1915332</v>
      </c>
      <c r="L57" s="7">
        <f t="shared" si="6"/>
        <v>-0.01652121358</v>
      </c>
    </row>
    <row r="58" ht="15.75" customHeight="1">
      <c r="A58" s="4">
        <f>IF(RETORNOS!A58="","",RETORNOS!A58)</f>
        <v>44494</v>
      </c>
      <c r="B58" s="7">
        <f>IF(RETORNOS!B58="","",OPTIMIZACION!$B$5*RETORNOS!B58+OPTIMIZACION!$B$6*RETORNOS!C58+OPTIMIZACION!$B$7*RETORNOS!D58+OPTIMIZACION!$B$8*RETORNOS!E58+OPTIMIZACION!$B$9*RETORNOS!F58+OPTIMIZACION!$B$10*RETORNOS!G58)</f>
        <v>0.01174243552</v>
      </c>
      <c r="C58" s="7">
        <f>IF(RETORNOS!H58="","",RETORNOS!H58)</f>
        <v>0.01466392811</v>
      </c>
      <c r="D58" s="7">
        <f>IF(RETORNOS!I58="","",RETORNOS!I58)</f>
        <v>-0.004316619833</v>
      </c>
      <c r="E58" s="7">
        <f t="shared" si="2"/>
        <v>0.005173654138</v>
      </c>
      <c r="F58" s="7">
        <f t="shared" si="3"/>
        <v>-0.002921492589</v>
      </c>
      <c r="G58" s="7">
        <f t="shared" si="4"/>
        <v>0.006568781382</v>
      </c>
      <c r="H58" s="5">
        <f t="shared" ref="H58:K58" si="58">IF(B58="","",H57*(1+B58))</f>
        <v>107.705168</v>
      </c>
      <c r="I58" s="5">
        <f t="shared" si="58"/>
        <v>121.9254734</v>
      </c>
      <c r="J58" s="5">
        <f t="shared" si="58"/>
        <v>100.0574975</v>
      </c>
      <c r="K58" s="5">
        <f t="shared" si="58"/>
        <v>110.7616261</v>
      </c>
      <c r="L58" s="7">
        <f t="shared" si="6"/>
        <v>-0.004972777346</v>
      </c>
    </row>
    <row r="59" ht="15.75" customHeight="1">
      <c r="A59" s="4">
        <f>IF(RETORNOS!A59="","",RETORNOS!A59)</f>
        <v>44495</v>
      </c>
      <c r="B59" s="7">
        <f>IF(RETORNOS!B59="","",OPTIMIZACION!$B$5*RETORNOS!B59+OPTIMIZACION!$B$6*RETORNOS!C59+OPTIMIZACION!$B$7*RETORNOS!D59+OPTIMIZACION!$B$8*RETORNOS!E59+OPTIMIZACION!$B$9*RETORNOS!F59+OPTIMIZACION!$B$10*RETORNOS!G59)</f>
        <v>0.005056982611</v>
      </c>
      <c r="C59" s="7">
        <f>IF(RETORNOS!H59="","",RETORNOS!H59)</f>
        <v>0.005794323392</v>
      </c>
      <c r="D59" s="7">
        <f>IF(RETORNOS!I59="","",RETORNOS!I59)</f>
        <v>0.005379214199</v>
      </c>
      <c r="E59" s="7">
        <f t="shared" si="2"/>
        <v>0.005586768796</v>
      </c>
      <c r="F59" s="7">
        <f t="shared" si="3"/>
        <v>-0.0007373407814</v>
      </c>
      <c r="G59" s="7">
        <f t="shared" si="4"/>
        <v>-0.000529786185</v>
      </c>
      <c r="H59" s="5">
        <f t="shared" ref="H59:K59" si="59">IF(B59="","",H58*(1+B59))</f>
        <v>108.2498311</v>
      </c>
      <c r="I59" s="5">
        <f t="shared" si="59"/>
        <v>122.631949</v>
      </c>
      <c r="J59" s="5">
        <f t="shared" si="59"/>
        <v>100.5957282</v>
      </c>
      <c r="K59" s="5">
        <f t="shared" si="59"/>
        <v>111.3804257</v>
      </c>
      <c r="L59" s="7">
        <f t="shared" si="6"/>
        <v>0</v>
      </c>
    </row>
    <row r="60" ht="15.75" customHeight="1">
      <c r="A60" s="4">
        <f>IF(RETORNOS!A60="","",RETORNOS!A60)</f>
        <v>44496</v>
      </c>
      <c r="B60" s="7">
        <f>IF(RETORNOS!B60="","",OPTIMIZACION!$B$5*RETORNOS!B60+OPTIMIZACION!$B$6*RETORNOS!C60+OPTIMIZACION!$B$7*RETORNOS!D60+OPTIMIZACION!$B$8*RETORNOS!E60+OPTIMIZACION!$B$9*RETORNOS!F60+OPTIMIZACION!$B$10*RETORNOS!G60)</f>
        <v>-0.01423263538</v>
      </c>
      <c r="C60" s="7">
        <f>IF(RETORNOS!H60="","",RETORNOS!H60)</f>
        <v>-0.02876121941</v>
      </c>
      <c r="D60" s="7">
        <f>IF(RETORNOS!I60="","",RETORNOS!I60)</f>
        <v>-0.006672822032</v>
      </c>
      <c r="E60" s="7">
        <f t="shared" si="2"/>
        <v>-0.01771702072</v>
      </c>
      <c r="F60" s="7">
        <f t="shared" si="3"/>
        <v>0.01452858402</v>
      </c>
      <c r="G60" s="7">
        <f t="shared" si="4"/>
        <v>0.003484385338</v>
      </c>
      <c r="H60" s="5">
        <f t="shared" ref="H60:K60" si="60">IF(B60="","",H59*(1+B60))</f>
        <v>106.7091507</v>
      </c>
      <c r="I60" s="5">
        <f t="shared" si="60"/>
        <v>119.1049046</v>
      </c>
      <c r="J60" s="5">
        <f t="shared" si="60"/>
        <v>99.92447079</v>
      </c>
      <c r="K60" s="5">
        <f t="shared" si="60"/>
        <v>109.4070964</v>
      </c>
      <c r="L60" s="7">
        <f t="shared" si="6"/>
        <v>-0.01423263538</v>
      </c>
    </row>
    <row r="61" ht="15.75" customHeight="1">
      <c r="A61" s="4">
        <f>IF(RETORNOS!A61="","",RETORNOS!A61)</f>
        <v>44497</v>
      </c>
      <c r="B61" s="7">
        <f>IF(RETORNOS!B61="","",OPTIMIZACION!$B$5*RETORNOS!B61+OPTIMIZACION!$B$6*RETORNOS!C61+OPTIMIZACION!$B$7*RETORNOS!D61+OPTIMIZACION!$B$8*RETORNOS!E61+OPTIMIZACION!$B$9*RETORNOS!F61+OPTIMIZACION!$B$10*RETORNOS!G61)</f>
        <v>0.003718786818</v>
      </c>
      <c r="C61" s="7">
        <f>IF(RETORNOS!H61="","",RETORNOS!H61)</f>
        <v>0.007144718201</v>
      </c>
      <c r="D61" s="7">
        <f>IF(RETORNOS!I61="","",RETORNOS!I61)</f>
        <v>0.006567837006</v>
      </c>
      <c r="E61" s="7">
        <f t="shared" si="2"/>
        <v>0.006856277603</v>
      </c>
      <c r="F61" s="7">
        <f t="shared" si="3"/>
        <v>-0.003425931383</v>
      </c>
      <c r="G61" s="7">
        <f t="shared" si="4"/>
        <v>-0.003137490785</v>
      </c>
      <c r="H61" s="5">
        <f t="shared" ref="H61:K61" si="61">IF(B61="","",H60*(1+B61))</f>
        <v>107.1059793</v>
      </c>
      <c r="I61" s="5">
        <f t="shared" si="61"/>
        <v>119.9558756</v>
      </c>
      <c r="J61" s="5">
        <f t="shared" si="61"/>
        <v>100.5807584</v>
      </c>
      <c r="K61" s="5">
        <f t="shared" si="61"/>
        <v>110.1572218</v>
      </c>
      <c r="L61" s="7">
        <f t="shared" si="6"/>
        <v>-0.0105667767</v>
      </c>
    </row>
    <row r="62" ht="15.75" customHeight="1">
      <c r="A62" s="4">
        <f>IF(RETORNOS!A62="","",RETORNOS!A62)</f>
        <v>44498</v>
      </c>
      <c r="B62" s="7">
        <f>IF(RETORNOS!B62="","",OPTIMIZACION!$B$5*RETORNOS!B62+OPTIMIZACION!$B$6*RETORNOS!C62+OPTIMIZACION!$B$7*RETORNOS!D62+OPTIMIZACION!$B$8*RETORNOS!E62+OPTIMIZACION!$B$9*RETORNOS!F62+OPTIMIZACION!$B$10*RETORNOS!G62)</f>
        <v>-0.009134122626</v>
      </c>
      <c r="C62" s="7">
        <f>IF(RETORNOS!H62="","",RETORNOS!H62)</f>
        <v>-0.006580675934</v>
      </c>
      <c r="D62" s="7">
        <f>IF(RETORNOS!I62="","",RETORNOS!I62)</f>
        <v>-0.005953327267</v>
      </c>
      <c r="E62" s="7">
        <f t="shared" si="2"/>
        <v>-0.006267001601</v>
      </c>
      <c r="F62" s="7">
        <f t="shared" si="3"/>
        <v>-0.002553446692</v>
      </c>
      <c r="G62" s="7">
        <f t="shared" si="4"/>
        <v>-0.002867121026</v>
      </c>
      <c r="H62" s="5">
        <f t="shared" ref="H62:K62" si="62">IF(B62="","",H61*(1+B62))</f>
        <v>106.1276602</v>
      </c>
      <c r="I62" s="5">
        <f t="shared" si="62"/>
        <v>119.1664848</v>
      </c>
      <c r="J62" s="5">
        <f t="shared" si="62"/>
        <v>99.98196825</v>
      </c>
      <c r="K62" s="5">
        <f t="shared" si="62"/>
        <v>109.4668663</v>
      </c>
      <c r="L62" s="7">
        <f t="shared" si="6"/>
        <v>-0.01960438109</v>
      </c>
    </row>
    <row r="63" ht="15.75" customHeight="1">
      <c r="A63" s="4">
        <f>IF(RETORNOS!A63="","",RETORNOS!A63)</f>
        <v>44501</v>
      </c>
      <c r="B63" s="7">
        <f>IF(RETORNOS!B63="","",OPTIMIZACION!$B$5*RETORNOS!B63+OPTIMIZACION!$B$6*RETORNOS!C63+OPTIMIZACION!$B$7*RETORNOS!D63+OPTIMIZACION!$B$8*RETORNOS!E63+OPTIMIZACION!$B$9*RETORNOS!F63+OPTIMIZACION!$B$10*RETORNOS!G63)</f>
        <v>0.01379827838</v>
      </c>
      <c r="C63" s="7">
        <f>IF(RETORNOS!H63="","",RETORNOS!H63)</f>
        <v>0.0172279798</v>
      </c>
      <c r="D63" s="7">
        <f>IF(RETORNOS!I63="","",RETORNOS!I63)</f>
        <v>0.003593388981</v>
      </c>
      <c r="E63" s="7">
        <f t="shared" si="2"/>
        <v>0.01041068439</v>
      </c>
      <c r="F63" s="7">
        <f t="shared" si="3"/>
        <v>-0.003429701422</v>
      </c>
      <c r="G63" s="7">
        <f t="shared" si="4"/>
        <v>0.003387593988</v>
      </c>
      <c r="H63" s="5">
        <f t="shared" ref="H63:K63" si="63">IF(B63="","",H62*(1+B63))</f>
        <v>107.5920392</v>
      </c>
      <c r="I63" s="5">
        <f t="shared" si="63"/>
        <v>121.2194826</v>
      </c>
      <c r="J63" s="5">
        <f t="shared" si="63"/>
        <v>100.3412424</v>
      </c>
      <c r="K63" s="5">
        <f t="shared" si="63"/>
        <v>110.6064913</v>
      </c>
      <c r="L63" s="7">
        <f t="shared" si="6"/>
        <v>-0.006076609421</v>
      </c>
    </row>
    <row r="64" ht="15.75" customHeight="1">
      <c r="A64" s="4">
        <f>IF(RETORNOS!A64="","",RETORNOS!A64)</f>
        <v>44502</v>
      </c>
      <c r="B64" s="7">
        <f>IF(RETORNOS!B64="","",OPTIMIZACION!$B$5*RETORNOS!B64+OPTIMIZACION!$B$6*RETORNOS!C64+OPTIMIZACION!$B$7*RETORNOS!D64+OPTIMIZACION!$B$8*RETORNOS!E64+OPTIMIZACION!$B$9*RETORNOS!F64+OPTIMIZACION!$B$10*RETORNOS!G64)</f>
        <v>-0.004499987426</v>
      </c>
      <c r="C64" s="7">
        <f>IF(RETORNOS!H64="","",RETORNOS!H64)</f>
        <v>-0.009412112945</v>
      </c>
      <c r="D64" s="7">
        <f>IF(RETORNOS!I64="","",RETORNOS!I64)</f>
        <v>0.0008883493993</v>
      </c>
      <c r="E64" s="7">
        <f t="shared" si="2"/>
        <v>-0.004261881773</v>
      </c>
      <c r="F64" s="7">
        <f t="shared" si="3"/>
        <v>0.00491212552</v>
      </c>
      <c r="G64" s="7">
        <f t="shared" si="4"/>
        <v>-0.0002381056527</v>
      </c>
      <c r="H64" s="5">
        <f t="shared" ref="H64:K64" si="64">IF(B64="","",H63*(1+B64))</f>
        <v>107.1078764</v>
      </c>
      <c r="I64" s="5">
        <f t="shared" si="64"/>
        <v>120.0785512</v>
      </c>
      <c r="J64" s="5">
        <f t="shared" si="64"/>
        <v>100.4303804</v>
      </c>
      <c r="K64" s="5">
        <f t="shared" si="64"/>
        <v>110.1350995</v>
      </c>
      <c r="L64" s="7">
        <f t="shared" si="6"/>
        <v>-0.01054925218</v>
      </c>
    </row>
    <row r="65" ht="15.75" customHeight="1">
      <c r="A65" s="4">
        <f>IF(RETORNOS!A65="","",RETORNOS!A65)</f>
        <v>44503</v>
      </c>
      <c r="B65" s="7">
        <f>IF(RETORNOS!B65="","",OPTIMIZACION!$B$5*RETORNOS!B65+OPTIMIZACION!$B$6*RETORNOS!C65+OPTIMIZACION!$B$7*RETORNOS!D65+OPTIMIZACION!$B$8*RETORNOS!E65+OPTIMIZACION!$B$9*RETORNOS!F65+OPTIMIZACION!$B$10*RETORNOS!G65)</f>
        <v>-0.003394799325</v>
      </c>
      <c r="C65" s="7">
        <f>IF(RETORNOS!H65="","",RETORNOS!H65)</f>
        <v>-0.008265897821</v>
      </c>
      <c r="D65" s="7">
        <f>IF(RETORNOS!I65="","",RETORNOS!I65)</f>
        <v>-0.003712850324</v>
      </c>
      <c r="E65" s="7">
        <f t="shared" si="2"/>
        <v>-0.005989374073</v>
      </c>
      <c r="F65" s="7">
        <f t="shared" si="3"/>
        <v>0.004871098496</v>
      </c>
      <c r="G65" s="7">
        <f t="shared" si="4"/>
        <v>0.002594574747</v>
      </c>
      <c r="H65" s="5">
        <f t="shared" ref="H65:K65" si="65">IF(B65="","",H64*(1+B65))</f>
        <v>106.7442666</v>
      </c>
      <c r="I65" s="5">
        <f t="shared" si="65"/>
        <v>119.0859941</v>
      </c>
      <c r="J65" s="5">
        <f t="shared" si="65"/>
        <v>100.0574975</v>
      </c>
      <c r="K65" s="5">
        <f t="shared" si="65"/>
        <v>109.4754592</v>
      </c>
      <c r="L65" s="7">
        <f t="shared" si="6"/>
        <v>-0.01390823891</v>
      </c>
    </row>
    <row r="66" ht="15.75" customHeight="1">
      <c r="A66" s="4">
        <f>IF(RETORNOS!A66="","",RETORNOS!A66)</f>
        <v>44504</v>
      </c>
      <c r="B66" s="7">
        <f>IF(RETORNOS!B66="","",OPTIMIZACION!$B$5*RETORNOS!B66+OPTIMIZACION!$B$6*RETORNOS!C66+OPTIMIZACION!$B$7*RETORNOS!D66+OPTIMIZACION!$B$8*RETORNOS!E66+OPTIMIZACION!$B$9*RETORNOS!F66+OPTIMIZACION!$B$10*RETORNOS!G66)</f>
        <v>-0.003340993992</v>
      </c>
      <c r="C66" s="7">
        <f>IF(RETORNOS!H66="","",RETORNOS!H66)</f>
        <v>0.001388453442</v>
      </c>
      <c r="D66" s="7">
        <f>IF(RETORNOS!I66="","",RETORNOS!I66)</f>
        <v>-0.00552882572</v>
      </c>
      <c r="E66" s="7">
        <f t="shared" si="2"/>
        <v>-0.002070186139</v>
      </c>
      <c r="F66" s="7">
        <f t="shared" si="3"/>
        <v>-0.004729447434</v>
      </c>
      <c r="G66" s="7">
        <f t="shared" si="4"/>
        <v>-0.001270807854</v>
      </c>
      <c r="H66" s="5">
        <f t="shared" ref="H66:K66" si="66">IF(B66="","",H65*(1+B66))</f>
        <v>106.3876347</v>
      </c>
      <c r="I66" s="5">
        <f t="shared" si="66"/>
        <v>119.2513395</v>
      </c>
      <c r="J66" s="5">
        <f t="shared" si="66"/>
        <v>99.504297</v>
      </c>
      <c r="K66" s="5">
        <f t="shared" si="66"/>
        <v>109.2488246</v>
      </c>
      <c r="L66" s="7">
        <f t="shared" si="6"/>
        <v>-0.01720276556</v>
      </c>
    </row>
    <row r="67" ht="15.75" customHeight="1">
      <c r="A67" s="4">
        <f>IF(RETORNOS!A67="","",RETORNOS!A67)</f>
        <v>44505</v>
      </c>
      <c r="B67" s="7">
        <f>IF(RETORNOS!B67="","",OPTIMIZACION!$B$5*RETORNOS!B67+OPTIMIZACION!$B$6*RETORNOS!C67+OPTIMIZACION!$B$7*RETORNOS!D67+OPTIMIZACION!$B$8*RETORNOS!E67+OPTIMIZACION!$B$9*RETORNOS!F67+OPTIMIZACION!$B$10*RETORNOS!G67)</f>
        <v>0.0150070716</v>
      </c>
      <c r="C67" s="7">
        <f>IF(RETORNOS!H67="","",RETORNOS!H67)</f>
        <v>0.01303987184</v>
      </c>
      <c r="D67" s="7">
        <f>IF(RETORNOS!I67="","",RETORNOS!I67)</f>
        <v>0.009464250912</v>
      </c>
      <c r="E67" s="7">
        <f t="shared" si="2"/>
        <v>0.01125206137</v>
      </c>
      <c r="F67" s="7">
        <f t="shared" si="3"/>
        <v>0.00196719976</v>
      </c>
      <c r="G67" s="7">
        <f t="shared" si="4"/>
        <v>0.003755010223</v>
      </c>
      <c r="H67" s="5">
        <f t="shared" ref="H67:K67" si="67">IF(B67="","",H66*(1+B67))</f>
        <v>107.9842015</v>
      </c>
      <c r="I67" s="5">
        <f t="shared" si="67"/>
        <v>120.8063617</v>
      </c>
      <c r="J67" s="5">
        <f t="shared" si="67"/>
        <v>100.4460306</v>
      </c>
      <c r="K67" s="5">
        <f t="shared" si="67"/>
        <v>110.4780991</v>
      </c>
      <c r="L67" s="7">
        <f t="shared" si="6"/>
        <v>-0.002453857098</v>
      </c>
    </row>
    <row r="68" ht="15.75" customHeight="1">
      <c r="A68" s="4">
        <f>IF(RETORNOS!A68="","",RETORNOS!A68)</f>
        <v>44508</v>
      </c>
      <c r="B68" s="7">
        <f>IF(RETORNOS!B68="","",OPTIMIZACION!$B$5*RETORNOS!B68+OPTIMIZACION!$B$6*RETORNOS!C68+OPTIMIZACION!$B$7*RETORNOS!D68+OPTIMIZACION!$B$8*RETORNOS!E68+OPTIMIZACION!$B$9*RETORNOS!F68+OPTIMIZACION!$B$10*RETORNOS!G68)</f>
        <v>0.001517503944</v>
      </c>
      <c r="C68" s="7">
        <f>IF(RETORNOS!H68="","",RETORNOS!H68)</f>
        <v>0.00909510526</v>
      </c>
      <c r="D68" s="7">
        <f>IF(RETORNOS!I68="","",RETORNOS!I68)</f>
        <v>-0.01487279711</v>
      </c>
      <c r="E68" s="7">
        <f t="shared" si="2"/>
        <v>-0.002888845924</v>
      </c>
      <c r="F68" s="7">
        <f t="shared" si="3"/>
        <v>-0.007577601316</v>
      </c>
      <c r="G68" s="7">
        <f t="shared" si="4"/>
        <v>0.004406349868</v>
      </c>
      <c r="H68" s="5">
        <f t="shared" ref="H68:K68" si="68">IF(B68="","",H67*(1+B68))</f>
        <v>108.148068</v>
      </c>
      <c r="I68" s="5">
        <f t="shared" si="68"/>
        <v>121.9051083</v>
      </c>
      <c r="J68" s="5">
        <f t="shared" si="68"/>
        <v>98.9521172</v>
      </c>
      <c r="K68" s="5">
        <f t="shared" si="68"/>
        <v>110.1589449</v>
      </c>
      <c r="L68" s="7">
        <f t="shared" si="6"/>
        <v>-0.0009400768921</v>
      </c>
    </row>
    <row r="69" ht="15.75" customHeight="1">
      <c r="A69" s="4">
        <f>IF(RETORNOS!A69="","",RETORNOS!A69)</f>
        <v>44509</v>
      </c>
      <c r="B69" s="7">
        <f>IF(RETORNOS!B69="","",OPTIMIZACION!$B$5*RETORNOS!B69+OPTIMIZACION!$B$6*RETORNOS!C69+OPTIMIZACION!$B$7*RETORNOS!D69+OPTIMIZACION!$B$8*RETORNOS!E69+OPTIMIZACION!$B$9*RETORNOS!F69+OPTIMIZACION!$B$10*RETORNOS!G69)</f>
        <v>0.00928218438</v>
      </c>
      <c r="C69" s="7">
        <f>IF(RETORNOS!H69="","",RETORNOS!H69)</f>
        <v>0.004080967022</v>
      </c>
      <c r="D69" s="7">
        <f>IF(RETORNOS!I69="","",RETORNOS!I69)</f>
        <v>0.00513673903</v>
      </c>
      <c r="E69" s="7">
        <f t="shared" si="2"/>
        <v>0.004608853026</v>
      </c>
      <c r="F69" s="7">
        <f t="shared" si="3"/>
        <v>0.005201217358</v>
      </c>
      <c r="G69" s="7">
        <f t="shared" si="4"/>
        <v>0.004673331354</v>
      </c>
      <c r="H69" s="5">
        <f t="shared" ref="H69:K69" si="69">IF(B69="","",H68*(1+B69))</f>
        <v>109.1519183</v>
      </c>
      <c r="I69" s="5">
        <f t="shared" si="69"/>
        <v>122.402599</v>
      </c>
      <c r="J69" s="5">
        <f t="shared" si="69"/>
        <v>99.4604084</v>
      </c>
      <c r="K69" s="5">
        <f t="shared" si="69"/>
        <v>110.6666513</v>
      </c>
      <c r="L69" s="7">
        <f t="shared" si="6"/>
        <v>0</v>
      </c>
    </row>
    <row r="70" ht="15.75" customHeight="1">
      <c r="A70" s="4">
        <f>IF(RETORNOS!A70="","",RETORNOS!A70)</f>
        <v>44510</v>
      </c>
      <c r="B70" s="7">
        <f>IF(RETORNOS!B70="","",OPTIMIZACION!$B$5*RETORNOS!B70+OPTIMIZACION!$B$6*RETORNOS!C70+OPTIMIZACION!$B$7*RETORNOS!D70+OPTIMIZACION!$B$8*RETORNOS!E70+OPTIMIZACION!$B$9*RETORNOS!F70+OPTIMIZACION!$B$10*RETORNOS!G70)</f>
        <v>-0.009730358038</v>
      </c>
      <c r="C70" s="7">
        <f>IF(RETORNOS!H70="","",RETORNOS!H70)</f>
        <v>-0.02643827965</v>
      </c>
      <c r="D70" s="7">
        <f>IF(RETORNOS!I70="","",RETORNOS!I70)</f>
        <v>0.008110419375</v>
      </c>
      <c r="E70" s="7">
        <f t="shared" si="2"/>
        <v>-0.009163930138</v>
      </c>
      <c r="F70" s="7">
        <f t="shared" si="3"/>
        <v>0.01670792161</v>
      </c>
      <c r="G70" s="7">
        <f t="shared" si="4"/>
        <v>-0.0005664279004</v>
      </c>
      <c r="H70" s="5">
        <f t="shared" ref="H70:K70" si="70">IF(B70="","",H69*(1+B70))</f>
        <v>108.089831</v>
      </c>
      <c r="I70" s="5">
        <f t="shared" si="70"/>
        <v>119.1664848</v>
      </c>
      <c r="J70" s="5">
        <f t="shared" si="70"/>
        <v>100.267074</v>
      </c>
      <c r="K70" s="5">
        <f t="shared" si="70"/>
        <v>109.6525098</v>
      </c>
      <c r="L70" s="7">
        <f t="shared" si="6"/>
        <v>-0.009730358038</v>
      </c>
    </row>
    <row r="71" ht="15.75" customHeight="1">
      <c r="A71" s="4">
        <f>IF(RETORNOS!A71="","",RETORNOS!A71)</f>
        <v>44511</v>
      </c>
      <c r="B71" s="7">
        <f>IF(RETORNOS!B71="","",OPTIMIZACION!$B$5*RETORNOS!B71+OPTIMIZACION!$B$6*RETORNOS!C71+OPTIMIZACION!$B$7*RETORNOS!D71+OPTIMIZACION!$B$8*RETORNOS!E71+OPTIMIZACION!$B$9*RETORNOS!F71+OPTIMIZACION!$B$10*RETORNOS!G71)</f>
        <v>-0.00003551495643</v>
      </c>
      <c r="C71" s="7">
        <f>IF(RETORNOS!H71="","",RETORNOS!H71)</f>
        <v>0.003828892063</v>
      </c>
      <c r="D71" s="7">
        <f>IF(RETORNOS!I71="","",RETORNOS!I71)</f>
        <v>-0.006111071524</v>
      </c>
      <c r="E71" s="7">
        <f t="shared" si="2"/>
        <v>-0.001141089731</v>
      </c>
      <c r="F71" s="7">
        <f t="shared" si="3"/>
        <v>-0.003864407019</v>
      </c>
      <c r="G71" s="7">
        <f t="shared" si="4"/>
        <v>0.001105574774</v>
      </c>
      <c r="H71" s="5">
        <f t="shared" ref="H71:K71" si="71">IF(B71="","",H70*(1+B71))</f>
        <v>108.0859922</v>
      </c>
      <c r="I71" s="5">
        <f t="shared" si="71"/>
        <v>119.6227604</v>
      </c>
      <c r="J71" s="5">
        <f t="shared" si="71"/>
        <v>99.65433476</v>
      </c>
      <c r="K71" s="5">
        <f t="shared" si="71"/>
        <v>109.5273865</v>
      </c>
      <c r="L71" s="7">
        <f t="shared" si="6"/>
        <v>-0.009765527421</v>
      </c>
    </row>
    <row r="72" ht="15.75" customHeight="1">
      <c r="A72" s="4">
        <f>IF(RETORNOS!A72="","",RETORNOS!A72)</f>
        <v>44512</v>
      </c>
      <c r="B72" s="7">
        <f>IF(RETORNOS!B72="","",OPTIMIZACION!$B$5*RETORNOS!B72+OPTIMIZACION!$B$6*RETORNOS!C72+OPTIMIZACION!$B$7*RETORNOS!D72+OPTIMIZACION!$B$8*RETORNOS!E72+OPTIMIZACION!$B$9*RETORNOS!F72+OPTIMIZACION!$B$10*RETORNOS!G72)</f>
        <v>-0.004270959877</v>
      </c>
      <c r="C72" s="7">
        <f>IF(RETORNOS!H72="","",RETORNOS!H72)</f>
        <v>-0.002411797133</v>
      </c>
      <c r="D72" s="7">
        <f>IF(RETORNOS!I72="","",RETORNOS!I72)</f>
        <v>-0.0006111092144</v>
      </c>
      <c r="E72" s="7">
        <f t="shared" si="2"/>
        <v>-0.001511453174</v>
      </c>
      <c r="F72" s="7">
        <f t="shared" si="3"/>
        <v>-0.001859162744</v>
      </c>
      <c r="G72" s="7">
        <f t="shared" si="4"/>
        <v>-0.002759506703</v>
      </c>
      <c r="H72" s="5">
        <f t="shared" ref="H72:K72" si="72">IF(B72="","",H71*(1+B72))</f>
        <v>107.6243613</v>
      </c>
      <c r="I72" s="5">
        <f t="shared" si="72"/>
        <v>119.3342546</v>
      </c>
      <c r="J72" s="5">
        <f t="shared" si="72"/>
        <v>99.59343508</v>
      </c>
      <c r="K72" s="5">
        <f t="shared" si="72"/>
        <v>109.361841</v>
      </c>
      <c r="L72" s="7">
        <f t="shared" si="6"/>
        <v>-0.01399477912</v>
      </c>
    </row>
    <row r="73" ht="15.75" customHeight="1">
      <c r="A73" s="4">
        <f>IF(RETORNOS!A73="","",RETORNOS!A73)</f>
        <v>44515</v>
      </c>
      <c r="B73" s="7">
        <f>IF(RETORNOS!B73="","",OPTIMIZACION!$B$5*RETORNOS!B73+OPTIMIZACION!$B$6*RETORNOS!C73+OPTIMIZACION!$B$7*RETORNOS!D73+OPTIMIZACION!$B$8*RETORNOS!E73+OPTIMIZACION!$B$9*RETORNOS!F73+OPTIMIZACION!$B$10*RETORNOS!G73)</f>
        <v>0.006698648353</v>
      </c>
      <c r="C73" s="7">
        <f>IF(RETORNOS!H73="","",RETORNOS!H73)</f>
        <v>0.008333705797</v>
      </c>
      <c r="D73" s="7">
        <f>IF(RETORNOS!I73="","",RETORNOS!I73)</f>
        <v>0.01319641582</v>
      </c>
      <c r="E73" s="7">
        <f t="shared" si="2"/>
        <v>0.01076506081</v>
      </c>
      <c r="F73" s="7">
        <f t="shared" si="3"/>
        <v>-0.001635057444</v>
      </c>
      <c r="G73" s="7">
        <f t="shared" si="4"/>
        <v>-0.004066412456</v>
      </c>
      <c r="H73" s="5">
        <f t="shared" ref="H73:K73" si="73">IF(B73="","",H72*(1+B73))</f>
        <v>108.345299</v>
      </c>
      <c r="I73" s="5">
        <f t="shared" si="73"/>
        <v>120.3287512</v>
      </c>
      <c r="J73" s="5">
        <f t="shared" si="73"/>
        <v>100.9077115</v>
      </c>
      <c r="K73" s="5">
        <f t="shared" si="73"/>
        <v>110.5391278</v>
      </c>
      <c r="L73" s="7">
        <f t="shared" si="6"/>
        <v>-0.007389876874</v>
      </c>
    </row>
    <row r="74" ht="15.75" customHeight="1">
      <c r="A74" s="4">
        <f>IF(RETORNOS!A74="","",RETORNOS!A74)</f>
        <v>44516</v>
      </c>
      <c r="B74" s="7">
        <f>IF(RETORNOS!B74="","",OPTIMIZACION!$B$5*RETORNOS!B74+OPTIMIZACION!$B$6*RETORNOS!C74+OPTIMIZACION!$B$7*RETORNOS!D74+OPTIMIZACION!$B$8*RETORNOS!E74+OPTIMIZACION!$B$9*RETORNOS!F74+OPTIMIZACION!$B$10*RETORNOS!G74)</f>
        <v>-0.005905075532</v>
      </c>
      <c r="C74" s="7">
        <f>IF(RETORNOS!H74="","",RETORNOS!H74)</f>
        <v>0.00155141844</v>
      </c>
      <c r="D74" s="7">
        <f>IF(RETORNOS!I74="","",RETORNOS!I74)</f>
        <v>-0.004730372159</v>
      </c>
      <c r="E74" s="7">
        <f t="shared" si="2"/>
        <v>-0.001589476859</v>
      </c>
      <c r="F74" s="7">
        <f t="shared" si="3"/>
        <v>-0.007456493972</v>
      </c>
      <c r="G74" s="7">
        <f t="shared" si="4"/>
        <v>-0.004315598672</v>
      </c>
      <c r="H74" s="5">
        <f t="shared" ref="H74:K74" si="74">IF(B74="","",H73*(1+B74))</f>
        <v>107.7055118</v>
      </c>
      <c r="I74" s="5">
        <f t="shared" si="74"/>
        <v>120.5154314</v>
      </c>
      <c r="J74" s="5">
        <f t="shared" si="74"/>
        <v>100.4303804</v>
      </c>
      <c r="K74" s="5">
        <f t="shared" si="74"/>
        <v>110.3634284</v>
      </c>
      <c r="L74" s="7">
        <f t="shared" si="6"/>
        <v>-0.01325131462</v>
      </c>
    </row>
    <row r="75" ht="15.75" customHeight="1">
      <c r="A75" s="4">
        <f>IF(RETORNOS!A75="","",RETORNOS!A75)</f>
        <v>44517</v>
      </c>
      <c r="B75" s="7">
        <f>IF(RETORNOS!B75="","",OPTIMIZACION!$B$5*RETORNOS!B75+OPTIMIZACION!$B$6*RETORNOS!C75+OPTIMIZACION!$B$7*RETORNOS!D75+OPTIMIZACION!$B$8*RETORNOS!E75+OPTIMIZACION!$B$9*RETORNOS!F75+OPTIMIZACION!$B$10*RETORNOS!G75)</f>
        <v>-0.004919960293</v>
      </c>
      <c r="C75" s="7">
        <f>IF(RETORNOS!H75="","",RETORNOS!H75)</f>
        <v>-0.01530909896</v>
      </c>
      <c r="D75" s="7">
        <f>IF(RETORNOS!I75="","",RETORNOS!I75)</f>
        <v>0.0009112743952</v>
      </c>
      <c r="E75" s="7">
        <f t="shared" si="2"/>
        <v>-0.00719891228</v>
      </c>
      <c r="F75" s="7">
        <f t="shared" si="3"/>
        <v>0.01038913866</v>
      </c>
      <c r="G75" s="7">
        <f t="shared" si="4"/>
        <v>0.002278951987</v>
      </c>
      <c r="H75" s="5">
        <f t="shared" ref="H75:K75" si="75">IF(B75="","",H74*(1+B75))</f>
        <v>107.175605</v>
      </c>
      <c r="I75" s="5">
        <f t="shared" si="75"/>
        <v>118.6704488</v>
      </c>
      <c r="J75" s="5">
        <f t="shared" si="75"/>
        <v>100.5219001</v>
      </c>
      <c r="K75" s="5">
        <f t="shared" si="75"/>
        <v>109.5689318</v>
      </c>
      <c r="L75" s="7">
        <f t="shared" si="6"/>
        <v>-0.01810607898</v>
      </c>
    </row>
    <row r="76" ht="15.75" customHeight="1">
      <c r="A76" s="4">
        <f>IF(RETORNOS!A76="","",RETORNOS!A76)</f>
        <v>44518</v>
      </c>
      <c r="B76" s="7">
        <f>IF(RETORNOS!B76="","",OPTIMIZACION!$B$5*RETORNOS!B76+OPTIMIZACION!$B$6*RETORNOS!C76+OPTIMIZACION!$B$7*RETORNOS!D76+OPTIMIZACION!$B$8*RETORNOS!E76+OPTIMIZACION!$B$9*RETORNOS!F76+OPTIMIZACION!$B$10*RETORNOS!G76)</f>
        <v>-0.003450703993</v>
      </c>
      <c r="C76" s="7">
        <f>IF(RETORNOS!H76="","",RETORNOS!H76)</f>
        <v>-0.005932826673</v>
      </c>
      <c r="D76" s="7">
        <f>IF(RETORNOS!I76="","",RETORNOS!I76)</f>
        <v>-0.005218980573</v>
      </c>
      <c r="E76" s="7">
        <f t="shared" si="2"/>
        <v>-0.005575903623</v>
      </c>
      <c r="F76" s="7">
        <f t="shared" si="3"/>
        <v>0.00248212268</v>
      </c>
      <c r="G76" s="7">
        <f t="shared" si="4"/>
        <v>0.002125199629</v>
      </c>
      <c r="H76" s="5">
        <f t="shared" ref="H76:K76" si="76">IF(B76="","",H75*(1+B76))</f>
        <v>106.8057737</v>
      </c>
      <c r="I76" s="5">
        <f t="shared" si="76"/>
        <v>117.9663976</v>
      </c>
      <c r="J76" s="5">
        <f t="shared" si="76"/>
        <v>99.99727823</v>
      </c>
      <c r="K76" s="5">
        <f t="shared" si="76"/>
        <v>108.957986</v>
      </c>
      <c r="L76" s="7">
        <f t="shared" si="6"/>
        <v>-0.02149430425</v>
      </c>
    </row>
    <row r="77" ht="15.75" customHeight="1">
      <c r="A77" s="4">
        <f>IF(RETORNOS!A77="","",RETORNOS!A77)</f>
        <v>44519</v>
      </c>
      <c r="B77" s="7">
        <f>IF(RETORNOS!B77="","",OPTIMIZACION!$B$5*RETORNOS!B77+OPTIMIZACION!$B$6*RETORNOS!C77+OPTIMIZACION!$B$7*RETORNOS!D77+OPTIMIZACION!$B$8*RETORNOS!E77+OPTIMIZACION!$B$9*RETORNOS!F77+OPTIMIZACION!$B$10*RETORNOS!G77)</f>
        <v>-0.01796371256</v>
      </c>
      <c r="C77" s="7">
        <f>IF(RETORNOS!H77="","",RETORNOS!H77)</f>
        <v>-0.03902781888</v>
      </c>
      <c r="D77" s="7">
        <f>IF(RETORNOS!I77="","",RETORNOS!I77)</f>
        <v>0.005681856844</v>
      </c>
      <c r="E77" s="7">
        <f t="shared" si="2"/>
        <v>-0.01667298102</v>
      </c>
      <c r="F77" s="7">
        <f t="shared" si="3"/>
        <v>0.02106410632</v>
      </c>
      <c r="G77" s="7">
        <f t="shared" si="4"/>
        <v>-0.001290731541</v>
      </c>
      <c r="H77" s="5">
        <f t="shared" ref="H77:K77" si="77">IF(B77="","",H76*(1+B77))</f>
        <v>104.8871455</v>
      </c>
      <c r="I77" s="5">
        <f t="shared" si="77"/>
        <v>113.3624264</v>
      </c>
      <c r="J77" s="5">
        <f t="shared" si="77"/>
        <v>100.5654484</v>
      </c>
      <c r="K77" s="5">
        <f t="shared" si="77"/>
        <v>107.1413316</v>
      </c>
      <c r="L77" s="7">
        <f t="shared" si="6"/>
        <v>-0.03907189931</v>
      </c>
    </row>
    <row r="78" ht="15.75" customHeight="1">
      <c r="A78" s="4">
        <f>IF(RETORNOS!A78="","",RETORNOS!A78)</f>
        <v>44522</v>
      </c>
      <c r="B78" s="7">
        <f>IF(RETORNOS!B78="","",OPTIMIZACION!$B$5*RETORNOS!B78+OPTIMIZACION!$B$6*RETORNOS!C78+OPTIMIZACION!$B$7*RETORNOS!D78+OPTIMIZACION!$B$8*RETORNOS!E78+OPTIMIZACION!$B$9*RETORNOS!F78+OPTIMIZACION!$B$10*RETORNOS!G78)</f>
        <v>0.004888196895</v>
      </c>
      <c r="C78" s="7">
        <f>IF(RETORNOS!H78="","",RETORNOS!H78)</f>
        <v>0.01775502261</v>
      </c>
      <c r="D78" s="7">
        <f>IF(RETORNOS!I78="","",RETORNOS!I78)</f>
        <v>0.006092940173</v>
      </c>
      <c r="E78" s="7">
        <f t="shared" si="2"/>
        <v>0.01192398139</v>
      </c>
      <c r="F78" s="7">
        <f t="shared" si="3"/>
        <v>-0.01286682571</v>
      </c>
      <c r="G78" s="7">
        <f t="shared" si="4"/>
        <v>-0.007035784495</v>
      </c>
      <c r="H78" s="5">
        <f t="shared" ref="H78:K78" si="78">IF(B78="","",H77*(1+B78))</f>
        <v>105.3998545</v>
      </c>
      <c r="I78" s="5">
        <f t="shared" si="78"/>
        <v>115.3751788</v>
      </c>
      <c r="J78" s="5">
        <f t="shared" si="78"/>
        <v>101.1781877</v>
      </c>
      <c r="K78" s="5">
        <f t="shared" si="78"/>
        <v>108.4188828</v>
      </c>
      <c r="L78" s="7">
        <f t="shared" si="6"/>
        <v>-0.03437469355</v>
      </c>
    </row>
    <row r="79" ht="15.75" customHeight="1">
      <c r="A79" s="4">
        <f>IF(RETORNOS!A79="","",RETORNOS!A79)</f>
        <v>44523</v>
      </c>
      <c r="B79" s="7">
        <f>IF(RETORNOS!B79="","",OPTIMIZACION!$B$5*RETORNOS!B79+OPTIMIZACION!$B$6*RETORNOS!C79+OPTIMIZACION!$B$7*RETORNOS!D79+OPTIMIZACION!$B$8*RETORNOS!E79+OPTIMIZACION!$B$9*RETORNOS!F79+OPTIMIZACION!$B$10*RETORNOS!G79)</f>
        <v>0.01197341309</v>
      </c>
      <c r="C79" s="7">
        <f>IF(RETORNOS!H79="","",RETORNOS!H79)</f>
        <v>0.03072991964</v>
      </c>
      <c r="D79" s="7">
        <f>IF(RETORNOS!I79="","",RETORNOS!I79)</f>
        <v>0.001045768337</v>
      </c>
      <c r="E79" s="7">
        <f t="shared" si="2"/>
        <v>0.01588784399</v>
      </c>
      <c r="F79" s="7">
        <f t="shared" si="3"/>
        <v>-0.01875650656</v>
      </c>
      <c r="G79" s="7">
        <f t="shared" si="4"/>
        <v>-0.003914430905</v>
      </c>
      <c r="H79" s="5">
        <f t="shared" ref="H79:K79" si="79">IF(B79="","",H78*(1+B79))</f>
        <v>106.6618505</v>
      </c>
      <c r="I79" s="5">
        <f t="shared" si="79"/>
        <v>118.9206488</v>
      </c>
      <c r="J79" s="5">
        <f t="shared" si="79"/>
        <v>101.2839967</v>
      </c>
      <c r="K79" s="5">
        <f t="shared" si="79"/>
        <v>110.1414251</v>
      </c>
      <c r="L79" s="7">
        <f t="shared" si="6"/>
        <v>-0.02281286287</v>
      </c>
    </row>
    <row r="80" ht="15.75" customHeight="1">
      <c r="A80" s="4">
        <f>IF(RETORNOS!A80="","",RETORNOS!A80)</f>
        <v>44524</v>
      </c>
      <c r="B80" s="7">
        <f>IF(RETORNOS!B80="","",OPTIMIZACION!$B$5*RETORNOS!B80+OPTIMIZACION!$B$6*RETORNOS!C80+OPTIMIZACION!$B$7*RETORNOS!D80+OPTIMIZACION!$B$8*RETORNOS!E80+OPTIMIZACION!$B$9*RETORNOS!F80+OPTIMIZACION!$B$10*RETORNOS!G80)</f>
        <v>0.0007200748086</v>
      </c>
      <c r="C80" s="7">
        <f>IF(RETORNOS!H80="","",RETORNOS!H80)</f>
        <v>0.00973676485</v>
      </c>
      <c r="D80" s="7">
        <f>IF(RETORNOS!I80="","",RETORNOS!I80)</f>
        <v>0.0005710446758</v>
      </c>
      <c r="E80" s="7">
        <f t="shared" si="2"/>
        <v>0.005153904763</v>
      </c>
      <c r="F80" s="7">
        <f t="shared" si="3"/>
        <v>-0.009016690041</v>
      </c>
      <c r="G80" s="7">
        <f t="shared" si="4"/>
        <v>-0.004433829954</v>
      </c>
      <c r="H80" s="5">
        <f t="shared" ref="H80:K80" si="80">IF(B80="","",H79*(1+B80))</f>
        <v>106.738655</v>
      </c>
      <c r="I80" s="5">
        <f t="shared" si="80"/>
        <v>120.0785512</v>
      </c>
      <c r="J80" s="5">
        <f t="shared" si="80"/>
        <v>101.3418343</v>
      </c>
      <c r="K80" s="5">
        <f t="shared" si="80"/>
        <v>110.7090835</v>
      </c>
      <c r="L80" s="7">
        <f t="shared" si="6"/>
        <v>-0.02210921503</v>
      </c>
    </row>
    <row r="81" ht="15.75" customHeight="1">
      <c r="A81" s="4">
        <f>IF(RETORNOS!A81="","",RETORNOS!A81)</f>
        <v>44526</v>
      </c>
      <c r="B81" s="7">
        <f>IF(RETORNOS!B81="","",OPTIMIZACION!$B$5*RETORNOS!B81+OPTIMIZACION!$B$6*RETORNOS!C81+OPTIMIZACION!$B$7*RETORNOS!D81+OPTIMIZACION!$B$8*RETORNOS!E81+OPTIMIZACION!$B$9*RETORNOS!F81+OPTIMIZACION!$B$10*RETORNOS!G81)</f>
        <v>-0.02543215378</v>
      </c>
      <c r="C81" s="7">
        <f>IF(RETORNOS!H81="","",RETORNOS!H81)</f>
        <v>-0.0402351763</v>
      </c>
      <c r="D81" s="7">
        <f>IF(RETORNOS!I81="","",RETORNOS!I81)</f>
        <v>-0.01561755128</v>
      </c>
      <c r="E81" s="7">
        <f t="shared" si="2"/>
        <v>-0.02792636379</v>
      </c>
      <c r="F81" s="7">
        <f t="shared" si="3"/>
        <v>0.01480302252</v>
      </c>
      <c r="G81" s="7">
        <f t="shared" si="4"/>
        <v>0.002494210013</v>
      </c>
      <c r="H81" s="5">
        <f t="shared" ref="H81:K81" si="81">IF(B81="","",H80*(1+B81))</f>
        <v>104.0240611</v>
      </c>
      <c r="I81" s="5">
        <f t="shared" si="81"/>
        <v>115.2471695</v>
      </c>
      <c r="J81" s="5">
        <f t="shared" si="81"/>
        <v>99.75912304</v>
      </c>
      <c r="K81" s="5">
        <f t="shared" si="81"/>
        <v>107.6173814</v>
      </c>
      <c r="L81" s="7">
        <f t="shared" si="6"/>
        <v>-0.04697908385</v>
      </c>
    </row>
    <row r="82" ht="15.75" customHeight="1">
      <c r="A82" s="4">
        <f>IF(RETORNOS!A82="","",RETORNOS!A82)</f>
        <v>44529</v>
      </c>
      <c r="B82" s="7">
        <f>IF(RETORNOS!B82="","",OPTIMIZACION!$B$5*RETORNOS!B82+OPTIMIZACION!$B$6*RETORNOS!C82+OPTIMIZACION!$B$7*RETORNOS!D82+OPTIMIZACION!$B$8*RETORNOS!E82+OPTIMIZACION!$B$9*RETORNOS!F82+OPTIMIZACION!$B$10*RETORNOS!G82)</f>
        <v>0.001323821238</v>
      </c>
      <c r="C82" s="7">
        <f>IF(RETORNOS!H82="","",RETORNOS!H82)</f>
        <v>0.005764052508</v>
      </c>
      <c r="D82" s="7">
        <f>IF(RETORNOS!I82="","",RETORNOS!I82)</f>
        <v>0.01483196802</v>
      </c>
      <c r="E82" s="7">
        <f t="shared" si="2"/>
        <v>0.01029801027</v>
      </c>
      <c r="F82" s="7">
        <f t="shared" si="3"/>
        <v>-0.00444023127</v>
      </c>
      <c r="G82" s="7">
        <f t="shared" si="4"/>
        <v>-0.008974189028</v>
      </c>
      <c r="H82" s="5">
        <f t="shared" ref="H82:K82" si="82">IF(B82="","",H81*(1+B82))</f>
        <v>104.1617704</v>
      </c>
      <c r="I82" s="5">
        <f t="shared" si="82"/>
        <v>115.9114602</v>
      </c>
      <c r="J82" s="5">
        <f t="shared" si="82"/>
        <v>101.2387472</v>
      </c>
      <c r="K82" s="5">
        <f t="shared" si="82"/>
        <v>108.7256263</v>
      </c>
      <c r="L82" s="7">
        <f t="shared" si="6"/>
        <v>-0.04571745452</v>
      </c>
    </row>
    <row r="83" ht="15.75" customHeight="1">
      <c r="A83" s="4">
        <f>IF(RETORNOS!A83="","",RETORNOS!A83)</f>
        <v>44530</v>
      </c>
      <c r="B83" s="7">
        <f>IF(RETORNOS!B83="","",OPTIMIZACION!$B$5*RETORNOS!B83+OPTIMIZACION!$B$6*RETORNOS!C83+OPTIMIZACION!$B$7*RETORNOS!D83+OPTIMIZACION!$B$8*RETORNOS!E83+OPTIMIZACION!$B$9*RETORNOS!F83+OPTIMIZACION!$B$10*RETORNOS!G83)</f>
        <v>-0.02128140177</v>
      </c>
      <c r="C83" s="7">
        <f>IF(RETORNOS!H83="","",RETORNOS!H83)</f>
        <v>-0.02344279439</v>
      </c>
      <c r="D83" s="7">
        <f>IF(RETORNOS!I83="","",RETORNOS!I83)</f>
        <v>-0.02923711299</v>
      </c>
      <c r="E83" s="7">
        <f t="shared" si="2"/>
        <v>-0.02633995369</v>
      </c>
      <c r="F83" s="7">
        <f t="shared" si="3"/>
        <v>0.002161392622</v>
      </c>
      <c r="G83" s="7">
        <f t="shared" si="4"/>
        <v>0.005058551918</v>
      </c>
      <c r="H83" s="5">
        <f t="shared" ref="H83:K83" si="83">IF(B83="","",H82*(1+B83))</f>
        <v>101.9450619</v>
      </c>
      <c r="I83" s="5">
        <f t="shared" si="83"/>
        <v>113.1941717</v>
      </c>
      <c r="J83" s="5">
        <f t="shared" si="83"/>
        <v>98.27881848</v>
      </c>
      <c r="K83" s="5">
        <f t="shared" si="83"/>
        <v>105.8617983</v>
      </c>
      <c r="L83" s="7">
        <f t="shared" si="6"/>
        <v>-0.06602592478</v>
      </c>
    </row>
    <row r="84" ht="15.75" customHeight="1">
      <c r="A84" s="4">
        <f>IF(RETORNOS!A84="","",RETORNOS!A84)</f>
        <v>44531</v>
      </c>
      <c r="B84" s="7">
        <f>IF(RETORNOS!B84="","",OPTIMIZACION!$B$5*RETORNOS!B84+OPTIMIZACION!$B$6*RETORNOS!C84+OPTIMIZACION!$B$7*RETORNOS!D84+OPTIMIZACION!$B$8*RETORNOS!E84+OPTIMIZACION!$B$9*RETORNOS!F84+OPTIMIZACION!$B$10*RETORNOS!G84)</f>
        <v>0.004351782644</v>
      </c>
      <c r="C84" s="7">
        <f>IF(RETORNOS!H84="","",RETORNOS!H84)</f>
        <v>-0.01060202359</v>
      </c>
      <c r="D84" s="7">
        <f>IF(RETORNOS!I84="","",RETORNOS!I84)</f>
        <v>0.001824369</v>
      </c>
      <c r="E84" s="7">
        <f t="shared" si="2"/>
        <v>-0.004388827297</v>
      </c>
      <c r="F84" s="7">
        <f t="shared" si="3"/>
        <v>0.01495380624</v>
      </c>
      <c r="G84" s="7">
        <f t="shared" si="4"/>
        <v>0.008740609941</v>
      </c>
      <c r="H84" s="5">
        <f t="shared" ref="H84:K84" si="84">IF(B84="","",H83*(1+B84))</f>
        <v>102.3887047</v>
      </c>
      <c r="I84" s="5">
        <f t="shared" si="84"/>
        <v>111.9940844</v>
      </c>
      <c r="J84" s="5">
        <f t="shared" si="84"/>
        <v>98.45811531</v>
      </c>
      <c r="K84" s="5">
        <f t="shared" si="84"/>
        <v>105.3971892</v>
      </c>
      <c r="L84" s="7">
        <f t="shared" si="6"/>
        <v>-0.0619614726</v>
      </c>
    </row>
    <row r="85" ht="15.75" customHeight="1">
      <c r="A85" s="4">
        <f>IF(RETORNOS!A85="","",RETORNOS!A85)</f>
        <v>44532</v>
      </c>
      <c r="B85" s="7">
        <f>IF(RETORNOS!B85="","",OPTIMIZACION!$B$5*RETORNOS!B85+OPTIMIZACION!$B$6*RETORNOS!C85+OPTIMIZACION!$B$7*RETORNOS!D85+OPTIMIZACION!$B$8*RETORNOS!E85+OPTIMIZACION!$B$9*RETORNOS!F85+OPTIMIZACION!$B$10*RETORNOS!G85)</f>
        <v>0.02745906161</v>
      </c>
      <c r="C85" s="7">
        <f>IF(RETORNOS!H85="","",RETORNOS!H85)</f>
        <v>0.02904693663</v>
      </c>
      <c r="D85" s="7">
        <f>IF(RETORNOS!I85="","",RETORNOS!I85)</f>
        <v>0.01276806015</v>
      </c>
      <c r="E85" s="7">
        <f t="shared" si="2"/>
        <v>0.02090749839</v>
      </c>
      <c r="F85" s="7">
        <f t="shared" si="3"/>
        <v>-0.001587875016</v>
      </c>
      <c r="G85" s="7">
        <f t="shared" si="4"/>
        <v>0.006551563222</v>
      </c>
      <c r="H85" s="5">
        <f t="shared" ref="H85:K85" si="85">IF(B85="","",H84*(1+B85))</f>
        <v>105.2002024</v>
      </c>
      <c r="I85" s="5">
        <f t="shared" si="85"/>
        <v>115.2471695</v>
      </c>
      <c r="J85" s="5">
        <f t="shared" si="85"/>
        <v>99.71523445</v>
      </c>
      <c r="K85" s="5">
        <f t="shared" si="85"/>
        <v>107.6007807</v>
      </c>
      <c r="L85" s="7">
        <f t="shared" si="6"/>
        <v>-0.03620381489</v>
      </c>
    </row>
    <row r="86" ht="15.75" customHeight="1">
      <c r="A86" s="4">
        <f>IF(RETORNOS!A86="","",RETORNOS!A86)</f>
        <v>44533</v>
      </c>
      <c r="B86" s="7">
        <f>IF(RETORNOS!B86="","",OPTIMIZACION!$B$5*RETORNOS!B86+OPTIMIZACION!$B$6*RETORNOS!C86+OPTIMIZACION!$B$7*RETORNOS!D86+OPTIMIZACION!$B$8*RETORNOS!E86+OPTIMIZACION!$B$9*RETORNOS!F86+OPTIMIZACION!$B$10*RETORNOS!G86)</f>
        <v>-0.004151500997</v>
      </c>
      <c r="C86" s="7">
        <f>IF(RETORNOS!H86="","",RETORNOS!H86)</f>
        <v>-0.007901380007</v>
      </c>
      <c r="D86" s="7">
        <f>IF(RETORNOS!I86="","",RETORNOS!I86)</f>
        <v>0.01003108271</v>
      </c>
      <c r="E86" s="7">
        <f t="shared" si="2"/>
        <v>0.001064851351</v>
      </c>
      <c r="F86" s="7">
        <f t="shared" si="3"/>
        <v>0.00374987901</v>
      </c>
      <c r="G86" s="7">
        <f t="shared" si="4"/>
        <v>-0.005216352348</v>
      </c>
      <c r="H86" s="5">
        <f t="shared" ref="H86:K86" si="86">IF(B86="","",H85*(1+B86))</f>
        <v>104.7634637</v>
      </c>
      <c r="I86" s="5">
        <f t="shared" si="86"/>
        <v>114.3365578</v>
      </c>
      <c r="J86" s="5">
        <f t="shared" si="86"/>
        <v>100.7154862</v>
      </c>
      <c r="K86" s="5">
        <f t="shared" si="86"/>
        <v>107.7153596</v>
      </c>
      <c r="L86" s="7">
        <f t="shared" si="6"/>
        <v>-0.04020501571</v>
      </c>
    </row>
    <row r="87" ht="15.75" customHeight="1">
      <c r="A87" s="4">
        <f>IF(RETORNOS!A87="","",RETORNOS!A87)</f>
        <v>44536</v>
      </c>
      <c r="B87" s="7">
        <f>IF(RETORNOS!B87="","",OPTIMIZACION!$B$5*RETORNOS!B87+OPTIMIZACION!$B$6*RETORNOS!C87+OPTIMIZACION!$B$7*RETORNOS!D87+OPTIMIZACION!$B$8*RETORNOS!E87+OPTIMIZACION!$B$9*RETORNOS!F87+OPTIMIZACION!$B$10*RETORNOS!G87)</f>
        <v>0.01916408976</v>
      </c>
      <c r="C87" s="7">
        <f>IF(RETORNOS!H87="","",RETORNOS!H87)</f>
        <v>0.01488536993</v>
      </c>
      <c r="D87" s="7">
        <f>IF(RETORNOS!I87="","",RETORNOS!I87)</f>
        <v>0.01526877434</v>
      </c>
      <c r="E87" s="7">
        <f t="shared" si="2"/>
        <v>0.01507707214</v>
      </c>
      <c r="F87" s="7">
        <f t="shared" si="3"/>
        <v>0.004278719833</v>
      </c>
      <c r="G87" s="7">
        <f t="shared" si="4"/>
        <v>0.004087017626</v>
      </c>
      <c r="H87" s="5">
        <f t="shared" ref="H87:K87" si="87">IF(B87="","",H86*(1+B87))</f>
        <v>106.7711601</v>
      </c>
      <c r="I87" s="5">
        <f t="shared" si="87"/>
        <v>116.0384998</v>
      </c>
      <c r="J87" s="5">
        <f t="shared" si="87"/>
        <v>102.2532882</v>
      </c>
      <c r="K87" s="5">
        <f t="shared" si="87"/>
        <v>109.3393918</v>
      </c>
      <c r="L87" s="7">
        <f t="shared" si="6"/>
        <v>-0.02181141848</v>
      </c>
    </row>
    <row r="88" ht="15.75" customHeight="1">
      <c r="A88" s="4">
        <f>IF(RETORNOS!A88="","",RETORNOS!A88)</f>
        <v>44537</v>
      </c>
      <c r="B88" s="7">
        <f>IF(RETORNOS!B88="","",OPTIMIZACION!$B$5*RETORNOS!B88+OPTIMIZACION!$B$6*RETORNOS!C88+OPTIMIZACION!$B$7*RETORNOS!D88+OPTIMIZACION!$B$8*RETORNOS!E88+OPTIMIZACION!$B$9*RETORNOS!F88+OPTIMIZACION!$B$10*RETORNOS!G88)</f>
        <v>0.01078419211</v>
      </c>
      <c r="C88" s="7">
        <f>IF(RETORNOS!H88="","",RETORNOS!H88)</f>
        <v>0.02339623588</v>
      </c>
      <c r="D88" s="7">
        <f>IF(RETORNOS!I88="","",RETORNOS!I88)</f>
        <v>0.007453027626</v>
      </c>
      <c r="E88" s="7">
        <f t="shared" si="2"/>
        <v>0.01542463175</v>
      </c>
      <c r="F88" s="7">
        <f t="shared" si="3"/>
        <v>-0.01261204377</v>
      </c>
      <c r="G88" s="7">
        <f t="shared" si="4"/>
        <v>-0.004640439643</v>
      </c>
      <c r="H88" s="5">
        <f t="shared" ref="H88:K88" si="88">IF(B88="","",H87*(1+B88))</f>
        <v>107.9226008</v>
      </c>
      <c r="I88" s="5">
        <f t="shared" si="88"/>
        <v>118.7533639</v>
      </c>
      <c r="J88" s="5">
        <f t="shared" si="88"/>
        <v>103.0153848</v>
      </c>
      <c r="K88" s="5">
        <f t="shared" si="88"/>
        <v>111.0259117</v>
      </c>
      <c r="L88" s="7">
        <f t="shared" si="6"/>
        <v>-0.0112624449</v>
      </c>
    </row>
    <row r="89" ht="15.75" customHeight="1">
      <c r="A89" s="4">
        <f>IF(RETORNOS!A89="","",RETORNOS!A89)</f>
        <v>44538</v>
      </c>
      <c r="B89" s="7">
        <f>IF(RETORNOS!B89="","",OPTIMIZACION!$B$5*RETORNOS!B89+OPTIMIZACION!$B$6*RETORNOS!C89+OPTIMIZACION!$B$7*RETORNOS!D89+OPTIMIZACION!$B$8*RETORNOS!E89+OPTIMIZACION!$B$9*RETORNOS!F89+OPTIMIZACION!$B$10*RETORNOS!G89)</f>
        <v>0.001420893303</v>
      </c>
      <c r="C89" s="7">
        <f>IF(RETORNOS!H89="","",RETORNOS!H89)</f>
        <v>-0.000175573984</v>
      </c>
      <c r="D89" s="7">
        <f>IF(RETORNOS!I89="","",RETORNOS!I89)</f>
        <v>-0.001013907374</v>
      </c>
      <c r="E89" s="7">
        <f t="shared" si="2"/>
        <v>-0.0005947406792</v>
      </c>
      <c r="F89" s="7">
        <f t="shared" si="3"/>
        <v>0.001596467287</v>
      </c>
      <c r="G89" s="7">
        <f t="shared" si="4"/>
        <v>0.002015633982</v>
      </c>
      <c r="H89" s="5">
        <f t="shared" ref="H89:K89" si="89">IF(B89="","",H88*(1+B89))</f>
        <v>108.0759473</v>
      </c>
      <c r="I89" s="5">
        <f t="shared" si="89"/>
        <v>118.7325139</v>
      </c>
      <c r="J89" s="5">
        <f t="shared" si="89"/>
        <v>102.9109368</v>
      </c>
      <c r="K89" s="5">
        <f t="shared" si="89"/>
        <v>110.95988</v>
      </c>
      <c r="L89" s="7">
        <f t="shared" si="6"/>
        <v>-0.009857554325</v>
      </c>
    </row>
    <row r="90" ht="15.75" customHeight="1">
      <c r="A90" s="4">
        <f>IF(RETORNOS!A90="","",RETORNOS!A90)</f>
        <v>44539</v>
      </c>
      <c r="B90" s="7">
        <f>IF(RETORNOS!B90="","",OPTIMIZACION!$B$5*RETORNOS!B90+OPTIMIZACION!$B$6*RETORNOS!C90+OPTIMIZACION!$B$7*RETORNOS!D90+OPTIMIZACION!$B$8*RETORNOS!E90+OPTIMIZACION!$B$9*RETORNOS!F90+OPTIMIZACION!$B$10*RETORNOS!G90)</f>
        <v>-0.009223764722</v>
      </c>
      <c r="C90" s="7">
        <f>IF(RETORNOS!H90="","",RETORNOS!H90)</f>
        <v>-0.007681689727</v>
      </c>
      <c r="D90" s="7">
        <f>IF(RETORNOS!I90="","",RETORNOS!I90)</f>
        <v>-0.001295944883</v>
      </c>
      <c r="E90" s="7">
        <f t="shared" si="2"/>
        <v>-0.004488817305</v>
      </c>
      <c r="F90" s="7">
        <f t="shared" si="3"/>
        <v>-0.001542074995</v>
      </c>
      <c r="G90" s="7">
        <f t="shared" si="4"/>
        <v>-0.004734947417</v>
      </c>
      <c r="H90" s="5">
        <f t="shared" ref="H90:K90" si="90">IF(B90="","",H89*(1+B90))</f>
        <v>107.0790802</v>
      </c>
      <c r="I90" s="5">
        <f t="shared" si="90"/>
        <v>117.8204475</v>
      </c>
      <c r="J90" s="5">
        <f t="shared" si="90"/>
        <v>102.7775699</v>
      </c>
      <c r="K90" s="5">
        <f t="shared" si="90"/>
        <v>110.4618014</v>
      </c>
      <c r="L90" s="7">
        <f t="shared" si="6"/>
        <v>-0.01899039529</v>
      </c>
    </row>
    <row r="91" ht="15.75" customHeight="1">
      <c r="A91" s="4">
        <f>IF(RETORNOS!A91="","",RETORNOS!A91)</f>
        <v>44540</v>
      </c>
      <c r="B91" s="7">
        <f>IF(RETORNOS!B91="","",OPTIMIZACION!$B$5*RETORNOS!B91+OPTIMIZACION!$B$6*RETORNOS!C91+OPTIMIZACION!$B$7*RETORNOS!D91+OPTIMIZACION!$B$8*RETORNOS!E91+OPTIMIZACION!$B$9*RETORNOS!F91+OPTIMIZACION!$B$10*RETORNOS!G91)</f>
        <v>0.003487659523</v>
      </c>
      <c r="C91" s="7">
        <f>IF(RETORNOS!H91="","",RETORNOS!H91)</f>
        <v>0.00739545737</v>
      </c>
      <c r="D91" s="7">
        <f>IF(RETORNOS!I91="","",RETORNOS!I91)</f>
        <v>0.005385812175</v>
      </c>
      <c r="E91" s="7">
        <f t="shared" si="2"/>
        <v>0.006390634773</v>
      </c>
      <c r="F91" s="7">
        <f t="shared" si="3"/>
        <v>-0.003907797847</v>
      </c>
      <c r="G91" s="7">
        <f t="shared" si="4"/>
        <v>-0.002902975249</v>
      </c>
      <c r="H91" s="5">
        <f t="shared" ref="H91:K91" si="91">IF(B91="","",H90*(1+B91))</f>
        <v>107.4525356</v>
      </c>
      <c r="I91" s="5">
        <f t="shared" si="91"/>
        <v>118.6917836</v>
      </c>
      <c r="J91" s="5">
        <f t="shared" si="91"/>
        <v>103.3311106</v>
      </c>
      <c r="K91" s="5">
        <f t="shared" si="91"/>
        <v>111.1677224</v>
      </c>
      <c r="L91" s="7">
        <f t="shared" si="6"/>
        <v>-0.01556896779</v>
      </c>
    </row>
    <row r="92" ht="15.75" customHeight="1">
      <c r="A92" s="4">
        <f>IF(RETORNOS!A92="","",RETORNOS!A92)</f>
        <v>44543</v>
      </c>
      <c r="B92" s="7">
        <f>IF(RETORNOS!B92="","",OPTIMIZACION!$B$5*RETORNOS!B92+OPTIMIZACION!$B$6*RETORNOS!C92+OPTIMIZACION!$B$7*RETORNOS!D92+OPTIMIZACION!$B$8*RETORNOS!E92+OPTIMIZACION!$B$9*RETORNOS!F92+OPTIMIZACION!$B$10*RETORNOS!G92)</f>
        <v>-0.008833812565</v>
      </c>
      <c r="C92" s="7">
        <f>IF(RETORNOS!H92="","",RETORNOS!H92)</f>
        <v>-0.0277632525</v>
      </c>
      <c r="D92" s="7">
        <f>IF(RETORNOS!I92="","",RETORNOS!I92)</f>
        <v>0.0122778771</v>
      </c>
      <c r="E92" s="7">
        <f t="shared" si="2"/>
        <v>-0.007742687699</v>
      </c>
      <c r="F92" s="7">
        <f t="shared" si="3"/>
        <v>0.01892943994</v>
      </c>
      <c r="G92" s="7">
        <f t="shared" si="4"/>
        <v>-0.001091124866</v>
      </c>
      <c r="H92" s="5">
        <f t="shared" ref="H92:K92" si="92">IF(B92="","",H91*(1+B92))</f>
        <v>106.50332</v>
      </c>
      <c r="I92" s="5">
        <f t="shared" si="92"/>
        <v>115.3965137</v>
      </c>
      <c r="J92" s="5">
        <f t="shared" si="92"/>
        <v>104.5997972</v>
      </c>
      <c r="K92" s="5">
        <f t="shared" si="92"/>
        <v>110.3069855</v>
      </c>
      <c r="L92" s="7">
        <f t="shared" si="6"/>
        <v>-0.02426524702</v>
      </c>
    </row>
    <row r="93" ht="15.75" customHeight="1">
      <c r="A93" s="4">
        <f>IF(RETORNOS!A93="","",RETORNOS!A93)</f>
        <v>44544</v>
      </c>
      <c r="B93" s="7">
        <f>IF(RETORNOS!B93="","",OPTIMIZACION!$B$5*RETORNOS!B93+OPTIMIZACION!$B$6*RETORNOS!C93+OPTIMIZACION!$B$7*RETORNOS!D93+OPTIMIZACION!$B$8*RETORNOS!E93+OPTIMIZACION!$B$9*RETORNOS!F93+OPTIMIZACION!$B$10*RETORNOS!G93)</f>
        <v>-0.008377383864</v>
      </c>
      <c r="C93" s="7">
        <f>IF(RETORNOS!H93="","",RETORNOS!H93)</f>
        <v>-0.004155671715</v>
      </c>
      <c r="D93" s="7">
        <f>IF(RETORNOS!I93="","",RETORNOS!I93)</f>
        <v>-0.005994548636</v>
      </c>
      <c r="E93" s="7">
        <f t="shared" si="2"/>
        <v>-0.005075110175</v>
      </c>
      <c r="F93" s="7">
        <f t="shared" si="3"/>
        <v>-0.00422171215</v>
      </c>
      <c r="G93" s="7">
        <f t="shared" si="4"/>
        <v>-0.003302273689</v>
      </c>
      <c r="H93" s="5">
        <f t="shared" ref="H93:K93" si="93">IF(B93="","",H92*(1+B93))</f>
        <v>105.6111008</v>
      </c>
      <c r="I93" s="5">
        <f t="shared" si="93"/>
        <v>114.9169637</v>
      </c>
      <c r="J93" s="5">
        <f t="shared" si="93"/>
        <v>103.9727687</v>
      </c>
      <c r="K93" s="5">
        <f t="shared" si="93"/>
        <v>109.7471654</v>
      </c>
      <c r="L93" s="7">
        <f t="shared" si="6"/>
        <v>-0.03243935159</v>
      </c>
    </row>
    <row r="94" ht="15.75" customHeight="1">
      <c r="A94" s="4">
        <f>IF(RETORNOS!A94="","",RETORNOS!A94)</f>
        <v>44545</v>
      </c>
      <c r="B94" s="7">
        <f>IF(RETORNOS!B94="","",OPTIMIZACION!$B$5*RETORNOS!B94+OPTIMIZACION!$B$6*RETORNOS!C94+OPTIMIZACION!$B$7*RETORNOS!D94+OPTIMIZACION!$B$8*RETORNOS!E94+OPTIMIZACION!$B$9*RETORNOS!F94+OPTIMIZACION!$B$10*RETORNOS!G94)</f>
        <v>0.005960106757</v>
      </c>
      <c r="C94" s="7">
        <f>IF(RETORNOS!H94="","",RETORNOS!H94)</f>
        <v>-0.004873438285</v>
      </c>
      <c r="D94" s="7">
        <f>IF(RETORNOS!I94="","",RETORNOS!I94)</f>
        <v>0.01637418481</v>
      </c>
      <c r="E94" s="7">
        <f t="shared" si="2"/>
        <v>0.005750373262</v>
      </c>
      <c r="F94" s="7">
        <f t="shared" si="3"/>
        <v>0.01083354504</v>
      </c>
      <c r="G94" s="7">
        <f t="shared" si="4"/>
        <v>0.0002097334946</v>
      </c>
      <c r="H94" s="5">
        <f t="shared" ref="H94:K94" si="94">IF(B94="","",H93*(1+B94))</f>
        <v>106.2405542</v>
      </c>
      <c r="I94" s="5">
        <f t="shared" si="94"/>
        <v>114.3569229</v>
      </c>
      <c r="J94" s="5">
        <f t="shared" si="94"/>
        <v>105.675238</v>
      </c>
      <c r="K94" s="5">
        <f t="shared" si="94"/>
        <v>110.3782525</v>
      </c>
      <c r="L94" s="7">
        <f t="shared" si="6"/>
        <v>-0.02667258683</v>
      </c>
    </row>
    <row r="95" ht="15.75" customHeight="1">
      <c r="A95" s="4">
        <f>IF(RETORNOS!A95="","",RETORNOS!A95)</f>
        <v>44546</v>
      </c>
      <c r="B95" s="7">
        <f>IF(RETORNOS!B95="","",OPTIMIZACION!$B$5*RETORNOS!B95+OPTIMIZACION!$B$6*RETORNOS!C95+OPTIMIZACION!$B$7*RETORNOS!D95+OPTIMIZACION!$B$8*RETORNOS!E95+OPTIMIZACION!$B$9*RETORNOS!F95+OPTIMIZACION!$B$10*RETORNOS!G95)</f>
        <v>0.007830354408</v>
      </c>
      <c r="C95" s="7">
        <f>IF(RETORNOS!H95="","",RETORNOS!H95)</f>
        <v>0.006343175998</v>
      </c>
      <c r="D95" s="7">
        <f>IF(RETORNOS!I95="","",RETORNOS!I95)</f>
        <v>0.005109350401</v>
      </c>
      <c r="E95" s="7">
        <f t="shared" si="2"/>
        <v>0.005726263199</v>
      </c>
      <c r="F95" s="7">
        <f t="shared" si="3"/>
        <v>0.001487178411</v>
      </c>
      <c r="G95" s="7">
        <f t="shared" si="4"/>
        <v>0.002104091209</v>
      </c>
      <c r="H95" s="5">
        <f t="shared" ref="H95:K95" si="95">IF(B95="","",H94*(1+B95))</f>
        <v>107.0724554</v>
      </c>
      <c r="I95" s="5">
        <f t="shared" si="95"/>
        <v>115.082309</v>
      </c>
      <c r="J95" s="5">
        <f t="shared" si="95"/>
        <v>106.2151698</v>
      </c>
      <c r="K95" s="5">
        <f t="shared" si="95"/>
        <v>111.0103075</v>
      </c>
      <c r="L95" s="7">
        <f t="shared" si="6"/>
        <v>-0.01905108823</v>
      </c>
    </row>
    <row r="96" ht="15.75" customHeight="1">
      <c r="A96" s="4">
        <f>IF(RETORNOS!A96="","",RETORNOS!A96)</f>
        <v>44547</v>
      </c>
      <c r="B96" s="7">
        <f>IF(RETORNOS!B96="","",OPTIMIZACION!$B$5*RETORNOS!B96+OPTIMIZACION!$B$6*RETORNOS!C96+OPTIMIZACION!$B$7*RETORNOS!D96+OPTIMIZACION!$B$8*RETORNOS!E96+OPTIMIZACION!$B$9*RETORNOS!F96+OPTIMIZACION!$B$10*RETORNOS!G96)</f>
        <v>-0.01409269815</v>
      </c>
      <c r="C96" s="7">
        <f>IF(RETORNOS!H96="","",RETORNOS!H96)</f>
        <v>-0.02036740541</v>
      </c>
      <c r="D96" s="7">
        <f>IF(RETORNOS!I96="","",RETORNOS!I96)</f>
        <v>-0.01505794474</v>
      </c>
      <c r="E96" s="7">
        <f t="shared" si="2"/>
        <v>-0.01771267507</v>
      </c>
      <c r="F96" s="7">
        <f t="shared" si="3"/>
        <v>0.006274707257</v>
      </c>
      <c r="G96" s="7">
        <f t="shared" si="4"/>
        <v>0.003619976922</v>
      </c>
      <c r="H96" s="5">
        <f t="shared" ref="H96:K96" si="96">IF(B96="","",H95*(1+B96))</f>
        <v>105.5635156</v>
      </c>
      <c r="I96" s="5">
        <f t="shared" si="96"/>
        <v>112.738381</v>
      </c>
      <c r="J96" s="5">
        <f t="shared" si="96"/>
        <v>104.6157876</v>
      </c>
      <c r="K96" s="5">
        <f t="shared" si="96"/>
        <v>109.044018</v>
      </c>
      <c r="L96" s="7">
        <f t="shared" si="6"/>
        <v>-0.03287530515</v>
      </c>
    </row>
    <row r="97" ht="15.75" customHeight="1">
      <c r="A97" s="4">
        <f>IF(RETORNOS!A97="","",RETORNOS!A97)</f>
        <v>44550</v>
      </c>
      <c r="B97" s="7">
        <f>IF(RETORNOS!B97="","",OPTIMIZACION!$B$5*RETORNOS!B97+OPTIMIZACION!$B$6*RETORNOS!C97+OPTIMIZACION!$B$7*RETORNOS!D97+OPTIMIZACION!$B$8*RETORNOS!E97+OPTIMIZACION!$B$9*RETORNOS!F97+OPTIMIZACION!$B$10*RETORNOS!G97)</f>
        <v>-0.008841176568</v>
      </c>
      <c r="C97" s="7">
        <f>IF(RETORNOS!H97="","",RETORNOS!H97)</f>
        <v>-0.01228355397</v>
      </c>
      <c r="D97" s="7">
        <f>IF(RETORNOS!I97="","",RETORNOS!I97)</f>
        <v>0.0009951446049</v>
      </c>
      <c r="E97" s="7">
        <f t="shared" si="2"/>
        <v>-0.005644204684</v>
      </c>
      <c r="F97" s="7">
        <f t="shared" si="3"/>
        <v>0.003442377404</v>
      </c>
      <c r="G97" s="7">
        <f t="shared" si="4"/>
        <v>-0.003196971884</v>
      </c>
      <c r="H97" s="5">
        <f t="shared" ref="H97:K97" si="97">IF(B97="","",H96*(1+B97))</f>
        <v>104.63021</v>
      </c>
      <c r="I97" s="5">
        <f t="shared" si="97"/>
        <v>111.353553</v>
      </c>
      <c r="J97" s="5">
        <f t="shared" si="97"/>
        <v>104.7198955</v>
      </c>
      <c r="K97" s="5">
        <f t="shared" si="97"/>
        <v>108.4285512</v>
      </c>
      <c r="L97" s="7">
        <f t="shared" si="6"/>
        <v>-0.04142582534</v>
      </c>
    </row>
    <row r="98" ht="15.75" customHeight="1">
      <c r="A98" s="4">
        <f>IF(RETORNOS!A98="","",RETORNOS!A98)</f>
        <v>44551</v>
      </c>
      <c r="B98" s="7">
        <f>IF(RETORNOS!B98="","",OPTIMIZACION!$B$5*RETORNOS!B98+OPTIMIZACION!$B$6*RETORNOS!C98+OPTIMIZACION!$B$7*RETORNOS!D98+OPTIMIZACION!$B$8*RETORNOS!E98+OPTIMIZACION!$B$9*RETORNOS!F98+OPTIMIZACION!$B$10*RETORNOS!G98)</f>
        <v>0.0131474893</v>
      </c>
      <c r="C98" s="7">
        <f>IF(RETORNOS!H98="","",RETORNOS!H98)</f>
        <v>0.02847811888</v>
      </c>
      <c r="D98" s="7">
        <f>IF(RETORNOS!I98="","",RETORNOS!I98)</f>
        <v>-0.001432753193</v>
      </c>
      <c r="E98" s="7">
        <f t="shared" si="2"/>
        <v>0.01352268284</v>
      </c>
      <c r="F98" s="7">
        <f t="shared" si="3"/>
        <v>-0.01533062957</v>
      </c>
      <c r="G98" s="7">
        <f t="shared" si="4"/>
        <v>-0.0003751935376</v>
      </c>
      <c r="H98" s="5">
        <f t="shared" ref="H98:K98" si="98">IF(B98="","",H97*(1+B98))</f>
        <v>106.0058345</v>
      </c>
      <c r="I98" s="5">
        <f t="shared" si="98"/>
        <v>114.5246927</v>
      </c>
      <c r="J98" s="5">
        <f t="shared" si="98"/>
        <v>104.5698577</v>
      </c>
      <c r="K98" s="5">
        <f t="shared" si="98"/>
        <v>109.8947961</v>
      </c>
      <c r="L98" s="7">
        <f t="shared" si="6"/>
        <v>-0.02882298163</v>
      </c>
    </row>
    <row r="99" ht="15.75" customHeight="1">
      <c r="A99" s="4">
        <f>IF(RETORNOS!A99="","",RETORNOS!A99)</f>
        <v>44552</v>
      </c>
      <c r="B99" s="7">
        <f>IF(RETORNOS!B99="","",OPTIMIZACION!$B$5*RETORNOS!B99+OPTIMIZACION!$B$6*RETORNOS!C99+OPTIMIZACION!$B$7*RETORNOS!D99+OPTIMIZACION!$B$8*RETORNOS!E99+OPTIMIZACION!$B$9*RETORNOS!F99+OPTIMIZACION!$B$10*RETORNOS!G99)</f>
        <v>0.006543184553</v>
      </c>
      <c r="C99" s="7">
        <f>IF(RETORNOS!H99="","",RETORNOS!H99)</f>
        <v>0.006427029087</v>
      </c>
      <c r="D99" s="7">
        <f>IF(RETORNOS!I99="","",RETORNOS!I99)</f>
        <v>0.0043174409</v>
      </c>
      <c r="E99" s="7">
        <f t="shared" si="2"/>
        <v>0.005372234993</v>
      </c>
      <c r="F99" s="7">
        <f t="shared" si="3"/>
        <v>0.0001161554658</v>
      </c>
      <c r="G99" s="7">
        <f t="shared" si="4"/>
        <v>0.001170949559</v>
      </c>
      <c r="H99" s="5">
        <f t="shared" ref="H99:K99" si="99">IF(B99="","",H98*(1+B99))</f>
        <v>106.6994503</v>
      </c>
      <c r="I99" s="5">
        <f t="shared" si="99"/>
        <v>115.2607462</v>
      </c>
      <c r="J99" s="5">
        <f t="shared" si="99"/>
        <v>105.0213319</v>
      </c>
      <c r="K99" s="5">
        <f t="shared" si="99"/>
        <v>110.4851768</v>
      </c>
      <c r="L99" s="7">
        <f t="shared" si="6"/>
        <v>-0.02246839117</v>
      </c>
    </row>
    <row r="100" ht="15.75" customHeight="1">
      <c r="A100" s="4">
        <f>IF(RETORNOS!A100="","",RETORNOS!A100)</f>
        <v>44553</v>
      </c>
      <c r="B100" s="7">
        <f>IF(RETORNOS!B100="","",OPTIMIZACION!$B$5*RETORNOS!B100+OPTIMIZACION!$B$6*RETORNOS!C100+OPTIMIZACION!$B$7*RETORNOS!D100+OPTIMIZACION!$B$8*RETORNOS!E100+OPTIMIZACION!$B$9*RETORNOS!F100+OPTIMIZACION!$B$10*RETORNOS!G100)</f>
        <v>0.001247703081</v>
      </c>
      <c r="C100" s="7">
        <f>IF(RETORNOS!H100="","",RETORNOS!H100)</f>
        <v>0.000546889461</v>
      </c>
      <c r="D100" s="7">
        <f>IF(RETORNOS!I100="","",RETORNOS!I100)</f>
        <v>-0.0001393005815</v>
      </c>
      <c r="E100" s="7">
        <f t="shared" si="2"/>
        <v>0.0002037944398</v>
      </c>
      <c r="F100" s="7">
        <f t="shared" si="3"/>
        <v>0.0007008136201</v>
      </c>
      <c r="G100" s="7">
        <f t="shared" si="4"/>
        <v>0.001043908641</v>
      </c>
      <c r="H100" s="5">
        <f t="shared" ref="H100:K100" si="100">IF(B100="","",H99*(1+B100))</f>
        <v>106.8325795</v>
      </c>
      <c r="I100" s="5">
        <f t="shared" si="100"/>
        <v>115.3237811</v>
      </c>
      <c r="J100" s="5">
        <f t="shared" si="100"/>
        <v>105.0067024</v>
      </c>
      <c r="K100" s="5">
        <f t="shared" si="100"/>
        <v>110.5076931</v>
      </c>
      <c r="L100" s="7">
        <f t="shared" si="6"/>
        <v>-0.02124872197</v>
      </c>
    </row>
    <row r="101" ht="15.75" customHeight="1">
      <c r="A101" s="4">
        <f>IF(RETORNOS!A101="","",RETORNOS!A101)</f>
        <v>44557</v>
      </c>
      <c r="B101" s="7">
        <f>IF(RETORNOS!B101="","",OPTIMIZACION!$B$5*RETORNOS!B101+OPTIMIZACION!$B$6*RETORNOS!C101+OPTIMIZACION!$B$7*RETORNOS!D101+OPTIMIZACION!$B$8*RETORNOS!E101+OPTIMIZACION!$B$9*RETORNOS!F101+OPTIMIZACION!$B$10*RETORNOS!G101)</f>
        <v>0.01443314587</v>
      </c>
      <c r="C101" s="7">
        <f>IF(RETORNOS!H101="","",RETORNOS!H101)</f>
        <v>0.02184680329</v>
      </c>
      <c r="D101" s="7">
        <f>IF(RETORNOS!I101="","",RETORNOS!I101)</f>
        <v>0.00487943961</v>
      </c>
      <c r="E101" s="7">
        <f t="shared" si="2"/>
        <v>0.01336312145</v>
      </c>
      <c r="F101" s="7">
        <f t="shared" si="3"/>
        <v>-0.007413657415</v>
      </c>
      <c r="G101" s="7">
        <f t="shared" si="4"/>
        <v>0.001070024423</v>
      </c>
      <c r="H101" s="5">
        <f t="shared" ref="H101:K101" si="101">IF(B101="","",H100*(1+B101))</f>
        <v>108.3745097</v>
      </c>
      <c r="I101" s="5">
        <f t="shared" si="101"/>
        <v>117.8432371</v>
      </c>
      <c r="J101" s="5">
        <f t="shared" si="101"/>
        <v>105.5190762</v>
      </c>
      <c r="K101" s="5">
        <f t="shared" si="101"/>
        <v>111.9844208</v>
      </c>
      <c r="L101" s="7">
        <f t="shared" si="6"/>
        <v>-0.007122262001</v>
      </c>
    </row>
    <row r="102" ht="15.75" customHeight="1">
      <c r="A102" s="4">
        <f>IF(RETORNOS!A102="","",RETORNOS!A102)</f>
        <v>44558</v>
      </c>
      <c r="B102" s="7">
        <f>IF(RETORNOS!B102="","",OPTIMIZACION!$B$5*RETORNOS!B102+OPTIMIZACION!$B$6*RETORNOS!C102+OPTIMIZACION!$B$7*RETORNOS!D102+OPTIMIZACION!$B$8*RETORNOS!E102+OPTIMIZACION!$B$9*RETORNOS!F102+OPTIMIZACION!$B$10*RETORNOS!G102)</f>
        <v>0.0009850783152</v>
      </c>
      <c r="C102" s="7">
        <f>IF(RETORNOS!H102="","",RETORNOS!H102)</f>
        <v>-0.0006994906063</v>
      </c>
      <c r="D102" s="7">
        <f>IF(RETORNOS!I102="","",RETORNOS!I102)</f>
        <v>0.008992481009</v>
      </c>
      <c r="E102" s="7">
        <f t="shared" si="2"/>
        <v>0.004146495201</v>
      </c>
      <c r="F102" s="7">
        <f t="shared" si="3"/>
        <v>0.001684568921</v>
      </c>
      <c r="G102" s="7">
        <f t="shared" si="4"/>
        <v>-0.003161416886</v>
      </c>
      <c r="H102" s="5">
        <f t="shared" ref="H102:K102" si="102">IF(B102="","",H101*(1+B102))</f>
        <v>108.4812671</v>
      </c>
      <c r="I102" s="5">
        <f t="shared" si="102"/>
        <v>117.7608068</v>
      </c>
      <c r="J102" s="5">
        <f t="shared" si="102"/>
        <v>106.4679545</v>
      </c>
      <c r="K102" s="5">
        <f t="shared" si="102"/>
        <v>112.4487636</v>
      </c>
      <c r="L102" s="7">
        <f t="shared" si="6"/>
        <v>-0.006144199671</v>
      </c>
    </row>
    <row r="103" ht="15.75" customHeight="1">
      <c r="A103" s="4">
        <f>IF(RETORNOS!A103="","",RETORNOS!A103)</f>
        <v>44559</v>
      </c>
      <c r="B103" s="7">
        <f>IF(RETORNOS!B103="","",OPTIMIZACION!$B$5*RETORNOS!B103+OPTIMIZACION!$B$6*RETORNOS!C103+OPTIMIZACION!$B$7*RETORNOS!D103+OPTIMIZACION!$B$8*RETORNOS!E103+OPTIMIZACION!$B$9*RETORNOS!F103+OPTIMIZACION!$B$10*RETORNOS!G103)</f>
        <v>-0.004336507434</v>
      </c>
      <c r="C103" s="7">
        <f>IF(RETORNOS!H103="","",RETORNOS!H103)</f>
        <v>-0.006431583108</v>
      </c>
      <c r="D103" s="7">
        <f>IF(RETORNOS!I103="","",RETORNOS!I103)</f>
        <v>0.0053684927</v>
      </c>
      <c r="E103" s="7">
        <f t="shared" si="2"/>
        <v>-0.0005315452042</v>
      </c>
      <c r="F103" s="7">
        <f t="shared" si="3"/>
        <v>0.002095075675</v>
      </c>
      <c r="G103" s="7">
        <f t="shared" si="4"/>
        <v>-0.003804962229</v>
      </c>
      <c r="H103" s="5">
        <f t="shared" ref="H103:K103" si="103">IF(B103="","",H102*(1+B103))</f>
        <v>108.0108373</v>
      </c>
      <c r="I103" s="5">
        <f t="shared" si="103"/>
        <v>117.0034184</v>
      </c>
      <c r="J103" s="5">
        <f t="shared" si="103"/>
        <v>107.039527</v>
      </c>
      <c r="K103" s="5">
        <f t="shared" si="103"/>
        <v>112.388992</v>
      </c>
      <c r="L103" s="7">
        <f t="shared" si="6"/>
        <v>-0.01045406274</v>
      </c>
    </row>
    <row r="104" ht="15.75" customHeight="1">
      <c r="A104" s="4">
        <f>IF(RETORNOS!A104="","",RETORNOS!A104)</f>
        <v>44560</v>
      </c>
      <c r="B104" s="7">
        <f>IF(RETORNOS!B104="","",OPTIMIZACION!$B$5*RETORNOS!B104+OPTIMIZACION!$B$6*RETORNOS!C104+OPTIMIZACION!$B$7*RETORNOS!D104+OPTIMIZACION!$B$8*RETORNOS!E104+OPTIMIZACION!$B$9*RETORNOS!F104+OPTIMIZACION!$B$10*RETORNOS!G104)</f>
        <v>-0.001126282233</v>
      </c>
      <c r="C104" s="7">
        <f>IF(RETORNOS!H104="","",RETORNOS!H104)</f>
        <v>-0.006104383718</v>
      </c>
      <c r="D104" s="7">
        <f>IF(RETORNOS!I104="","",RETORNOS!I104)</f>
        <v>0.003667951827</v>
      </c>
      <c r="E104" s="7">
        <f t="shared" si="2"/>
        <v>-0.001218215946</v>
      </c>
      <c r="F104" s="7">
        <f t="shared" si="3"/>
        <v>0.004978101485</v>
      </c>
      <c r="G104" s="7">
        <f t="shared" si="4"/>
        <v>0.00009193371209</v>
      </c>
      <c r="H104" s="5">
        <f t="shared" ref="H104:K104" si="104">IF(B104="","",H103*(1+B104))</f>
        <v>107.8891866</v>
      </c>
      <c r="I104" s="5">
        <f t="shared" si="104"/>
        <v>116.2891847</v>
      </c>
      <c r="J104" s="5">
        <f t="shared" si="104"/>
        <v>107.4321428</v>
      </c>
      <c r="K104" s="5">
        <f t="shared" si="104"/>
        <v>112.252078</v>
      </c>
      <c r="L104" s="7">
        <f t="shared" si="6"/>
        <v>-0.01156857075</v>
      </c>
    </row>
    <row r="105" ht="15.75" customHeight="1">
      <c r="A105" s="4">
        <f>IF(RETORNOS!A105="","",RETORNOS!A105)</f>
        <v>44561</v>
      </c>
      <c r="B105" s="7">
        <f>IF(RETORNOS!B105="","",OPTIMIZACION!$B$5*RETORNOS!B105+OPTIMIZACION!$B$6*RETORNOS!C105+OPTIMIZACION!$B$7*RETORNOS!D105+OPTIMIZACION!$B$8*RETORNOS!E105+OPTIMIZACION!$B$9*RETORNOS!F105+OPTIMIZACION!$B$10*RETORNOS!G105)</f>
        <v>0.003580307709</v>
      </c>
      <c r="C105" s="7">
        <f>IF(RETORNOS!H105="","",RETORNOS!H105)</f>
        <v>0.002530969983</v>
      </c>
      <c r="D105" s="7">
        <f>IF(RETORNOS!I105="","",RETORNOS!I105)</f>
        <v>0.00349937138</v>
      </c>
      <c r="E105" s="7">
        <f t="shared" si="2"/>
        <v>0.003015170681</v>
      </c>
      <c r="F105" s="7">
        <f t="shared" si="3"/>
        <v>0.001049337726</v>
      </c>
      <c r="G105" s="7">
        <f t="shared" si="4"/>
        <v>0.0005651370275</v>
      </c>
      <c r="H105" s="5">
        <f t="shared" ref="H105:K105" si="105">IF(B105="","",H104*(1+B105))</f>
        <v>108.2754631</v>
      </c>
      <c r="I105" s="5">
        <f t="shared" si="105"/>
        <v>116.5835091</v>
      </c>
      <c r="J105" s="5">
        <f t="shared" si="105"/>
        <v>107.8080877</v>
      </c>
      <c r="K105" s="5">
        <f t="shared" si="105"/>
        <v>112.5905372</v>
      </c>
      <c r="L105" s="7">
        <f t="shared" si="6"/>
        <v>-0.00802968208</v>
      </c>
    </row>
    <row r="106" ht="15.75" customHeight="1">
      <c r="A106" s="4">
        <f>IF(RETORNOS!A106="","",RETORNOS!A106)</f>
        <v>44564</v>
      </c>
      <c r="B106" s="7">
        <f>IF(RETORNOS!B106="","",OPTIMIZACION!$B$5*RETORNOS!B106+OPTIMIZACION!$B$6*RETORNOS!C106+OPTIMIZACION!$B$7*RETORNOS!D106+OPTIMIZACION!$B$8*RETORNOS!E106+OPTIMIZACION!$B$9*RETORNOS!F106+OPTIMIZACION!$B$10*RETORNOS!G106)</f>
        <v>0.014858914</v>
      </c>
      <c r="C106" s="7">
        <f>IF(RETORNOS!H106="","",RETORNOS!H106)</f>
        <v>0.0309978539</v>
      </c>
      <c r="D106" s="7">
        <f>IF(RETORNOS!I106="","",RETORNOS!I106)</f>
        <v>-0.009912394754</v>
      </c>
      <c r="E106" s="7">
        <f t="shared" si="2"/>
        <v>0.01054272957</v>
      </c>
      <c r="F106" s="7">
        <f t="shared" si="3"/>
        <v>-0.0161389399</v>
      </c>
      <c r="G106" s="7">
        <f t="shared" si="4"/>
        <v>0.004316184427</v>
      </c>
      <c r="H106" s="5">
        <f t="shared" ref="H106:K106" si="106">IF(B106="","",H105*(1+B106))</f>
        <v>109.8843189</v>
      </c>
      <c r="I106" s="5">
        <f t="shared" si="106"/>
        <v>120.1973477</v>
      </c>
      <c r="J106" s="5">
        <f t="shared" si="106"/>
        <v>106.7394514</v>
      </c>
      <c r="K106" s="5">
        <f t="shared" si="106"/>
        <v>113.7775487</v>
      </c>
      <c r="L106" s="7">
        <f t="shared" si="6"/>
        <v>0</v>
      </c>
    </row>
    <row r="107" ht="15.75" customHeight="1">
      <c r="A107" s="4">
        <f>IF(RETORNOS!A107="","",RETORNOS!A107)</f>
        <v>44565</v>
      </c>
      <c r="B107" s="7">
        <f>IF(RETORNOS!B107="","",OPTIMIZACION!$B$5*RETORNOS!B107+OPTIMIZACION!$B$6*RETORNOS!C107+OPTIMIZACION!$B$7*RETORNOS!D107+OPTIMIZACION!$B$8*RETORNOS!E107+OPTIMIZACION!$B$9*RETORNOS!F107+OPTIMIZACION!$B$10*RETORNOS!G107)</f>
        <v>0.01488486806</v>
      </c>
      <c r="C107" s="7">
        <f>IF(RETORNOS!H107="","",RETORNOS!H107)</f>
        <v>0.03460016378</v>
      </c>
      <c r="D107" s="7">
        <f>IF(RETORNOS!I107="","",RETORNOS!I107)</f>
        <v>-0.003114093104</v>
      </c>
      <c r="E107" s="7">
        <f t="shared" si="2"/>
        <v>0.01574303534</v>
      </c>
      <c r="F107" s="7">
        <f t="shared" si="3"/>
        <v>-0.01971529572</v>
      </c>
      <c r="G107" s="7">
        <f t="shared" si="4"/>
        <v>-0.0008581672794</v>
      </c>
      <c r="H107" s="5">
        <f t="shared" ref="H107:K107" si="107">IF(B107="","",H106*(1+B107))</f>
        <v>111.5199324</v>
      </c>
      <c r="I107" s="5">
        <f t="shared" si="107"/>
        <v>124.3561956</v>
      </c>
      <c r="J107" s="5">
        <f t="shared" si="107"/>
        <v>106.4070548</v>
      </c>
      <c r="K107" s="5">
        <f t="shared" si="107"/>
        <v>115.5687527</v>
      </c>
      <c r="L107" s="7">
        <f t="shared" si="6"/>
        <v>0</v>
      </c>
    </row>
    <row r="108" ht="15.75" customHeight="1">
      <c r="A108" s="4">
        <f>IF(RETORNOS!A108="","",RETORNOS!A108)</f>
        <v>44566</v>
      </c>
      <c r="B108" s="7">
        <f>IF(RETORNOS!B108="","",OPTIMIZACION!$B$5*RETORNOS!B108+OPTIMIZACION!$B$6*RETORNOS!C108+OPTIMIZACION!$B$7*RETORNOS!D108+OPTIMIZACION!$B$8*RETORNOS!E108+OPTIMIZACION!$B$9*RETORNOS!F108+OPTIMIZACION!$B$10*RETORNOS!G108)</f>
        <v>-0.003479752735</v>
      </c>
      <c r="C108" s="7">
        <f>IF(RETORNOS!H108="","",RETORNOS!H108)</f>
        <v>-0.0001715627023</v>
      </c>
      <c r="D108" s="7">
        <f>IF(RETORNOS!I108="","",RETORNOS!I108)</f>
        <v>-0.0005659327659</v>
      </c>
      <c r="E108" s="7">
        <f t="shared" si="2"/>
        <v>-0.0003687477341</v>
      </c>
      <c r="F108" s="7">
        <f t="shared" si="3"/>
        <v>-0.003308190033</v>
      </c>
      <c r="G108" s="7">
        <f t="shared" si="4"/>
        <v>-0.003111005001</v>
      </c>
      <c r="H108" s="5">
        <f t="shared" ref="H108:K108" si="108">IF(B108="","",H107*(1+B108))</f>
        <v>111.1318706</v>
      </c>
      <c r="I108" s="5">
        <f t="shared" si="108"/>
        <v>124.3348607</v>
      </c>
      <c r="J108" s="5">
        <f t="shared" si="108"/>
        <v>106.3468356</v>
      </c>
      <c r="K108" s="5">
        <f t="shared" si="108"/>
        <v>115.526137</v>
      </c>
      <c r="L108" s="7">
        <f t="shared" si="6"/>
        <v>-0.003479752735</v>
      </c>
    </row>
    <row r="109" ht="15.75" customHeight="1">
      <c r="A109" s="4">
        <f>IF(RETORNOS!A109="","",RETORNOS!A109)</f>
        <v>44567</v>
      </c>
      <c r="B109" s="7">
        <f>IF(RETORNOS!B109="","",OPTIMIZACION!$B$5*RETORNOS!B109+OPTIMIZACION!$B$6*RETORNOS!C109+OPTIMIZACION!$B$7*RETORNOS!D109+OPTIMIZACION!$B$8*RETORNOS!E109+OPTIMIZACION!$B$9*RETORNOS!F109+OPTIMIZACION!$B$10*RETORNOS!G109)</f>
        <v>0.01054631005</v>
      </c>
      <c r="C109" s="7">
        <f>IF(RETORNOS!H109="","",RETORNOS!H109)</f>
        <v>0.02230697834</v>
      </c>
      <c r="D109" s="7">
        <f>IF(RETORNOS!I109="","",RETORNOS!I109)</f>
        <v>-0.01033971994</v>
      </c>
      <c r="E109" s="7">
        <f t="shared" si="2"/>
        <v>0.005983629198</v>
      </c>
      <c r="F109" s="7">
        <f t="shared" si="3"/>
        <v>-0.01176066829</v>
      </c>
      <c r="G109" s="7">
        <f t="shared" si="4"/>
        <v>0.004562680852</v>
      </c>
      <c r="H109" s="5">
        <f t="shared" ref="H109:K109" si="109">IF(B109="","",H108*(1+B109))</f>
        <v>112.3039018</v>
      </c>
      <c r="I109" s="5">
        <f t="shared" si="109"/>
        <v>127.1083958</v>
      </c>
      <c r="J109" s="5">
        <f t="shared" si="109"/>
        <v>105.2472391</v>
      </c>
      <c r="K109" s="5">
        <f t="shared" si="109"/>
        <v>116.2174026</v>
      </c>
      <c r="L109" s="7">
        <f t="shared" si="6"/>
        <v>0</v>
      </c>
    </row>
    <row r="110" ht="15.75" customHeight="1">
      <c r="A110" s="4">
        <f>IF(RETORNOS!A110="","",RETORNOS!A110)</f>
        <v>44568</v>
      </c>
      <c r="B110" s="7">
        <f>IF(RETORNOS!B110="","",OPTIMIZACION!$B$5*RETORNOS!B110+OPTIMIZACION!$B$6*RETORNOS!C110+OPTIMIZACION!$B$7*RETORNOS!D110+OPTIMIZACION!$B$8*RETORNOS!E110+OPTIMIZACION!$B$9*RETORNOS!F110+OPTIMIZACION!$B$10*RETORNOS!G110)</f>
        <v>0.01078369564</v>
      </c>
      <c r="C110" s="7">
        <f>IF(RETORNOS!H110="","",RETORNOS!H110)</f>
        <v>0.01372157075</v>
      </c>
      <c r="D110" s="7">
        <f>IF(RETORNOS!I110="","",RETORNOS!I110)</f>
        <v>0.007596598017</v>
      </c>
      <c r="E110" s="7">
        <f t="shared" si="2"/>
        <v>0.01065908438</v>
      </c>
      <c r="F110" s="7">
        <f t="shared" si="3"/>
        <v>-0.002937875114</v>
      </c>
      <c r="G110" s="7">
        <f t="shared" si="4"/>
        <v>0.0001246112528</v>
      </c>
      <c r="H110" s="5">
        <f t="shared" ref="H110:K110" si="110">IF(B110="","",H109*(1+B110))</f>
        <v>113.5149529</v>
      </c>
      <c r="I110" s="5">
        <f t="shared" si="110"/>
        <v>128.8525226</v>
      </c>
      <c r="J110" s="5">
        <f t="shared" si="110"/>
        <v>106.0467601</v>
      </c>
      <c r="K110" s="5">
        <f t="shared" si="110"/>
        <v>117.4561737</v>
      </c>
      <c r="L110" s="7">
        <f t="shared" si="6"/>
        <v>0</v>
      </c>
    </row>
    <row r="111" ht="15.75" customHeight="1">
      <c r="A111" s="4">
        <f>IF(RETORNOS!A111="","",RETORNOS!A111)</f>
        <v>44571</v>
      </c>
      <c r="B111" s="7">
        <f>IF(RETORNOS!B111="","",OPTIMIZACION!$B$5*RETORNOS!B111+OPTIMIZACION!$B$6*RETORNOS!C111+OPTIMIZACION!$B$7*RETORNOS!D111+OPTIMIZACION!$B$8*RETORNOS!E111+OPTIMIZACION!$B$9*RETORNOS!F111+OPTIMIZACION!$B$10*RETORNOS!G111)</f>
        <v>-0.007254162309</v>
      </c>
      <c r="C111" s="7">
        <f>IF(RETORNOS!H111="","",RETORNOS!H111)</f>
        <v>-0.003097023771</v>
      </c>
      <c r="D111" s="7">
        <f>IF(RETORNOS!I111="","",RETORNOS!I111)</f>
        <v>-0.006531942675</v>
      </c>
      <c r="E111" s="7">
        <f t="shared" si="2"/>
        <v>-0.004814483223</v>
      </c>
      <c r="F111" s="7">
        <f t="shared" si="3"/>
        <v>-0.004157138538</v>
      </c>
      <c r="G111" s="7">
        <f t="shared" si="4"/>
        <v>-0.002439679086</v>
      </c>
      <c r="H111" s="5">
        <f t="shared" ref="H111:K111" si="111">IF(B111="","",H110*(1+B111))</f>
        <v>112.691497</v>
      </c>
      <c r="I111" s="5">
        <f t="shared" si="111"/>
        <v>128.4534633</v>
      </c>
      <c r="J111" s="5">
        <f t="shared" si="111"/>
        <v>105.3540687</v>
      </c>
      <c r="K111" s="5">
        <f t="shared" si="111"/>
        <v>116.8906829</v>
      </c>
      <c r="L111" s="7">
        <f t="shared" si="6"/>
        <v>-0.007254162309</v>
      </c>
    </row>
    <row r="112" ht="15.75" customHeight="1">
      <c r="A112" s="4">
        <f>IF(RETORNOS!A112="","",RETORNOS!A112)</f>
        <v>44572</v>
      </c>
      <c r="B112" s="7">
        <f>IF(RETORNOS!B112="","",OPTIMIZACION!$B$5*RETORNOS!B112+OPTIMIZACION!$B$6*RETORNOS!C112+OPTIMIZACION!$B$7*RETORNOS!D112+OPTIMIZACION!$B$8*RETORNOS!E112+OPTIMIZACION!$B$9*RETORNOS!F112+OPTIMIZACION!$B$10*RETORNOS!G112)</f>
        <v>0.01951683039</v>
      </c>
      <c r="C112" s="7">
        <f>IF(RETORNOS!H112="","",RETORNOS!H112)</f>
        <v>0.03401078078</v>
      </c>
      <c r="D112" s="7">
        <f>IF(RETORNOS!I112="","",RETORNOS!I112)</f>
        <v>-0.009016253153</v>
      </c>
      <c r="E112" s="7">
        <f t="shared" si="2"/>
        <v>0.01249726381</v>
      </c>
      <c r="F112" s="7">
        <f t="shared" si="3"/>
        <v>-0.01449395038</v>
      </c>
      <c r="G112" s="7">
        <f t="shared" si="4"/>
        <v>0.007019566582</v>
      </c>
      <c r="H112" s="5">
        <f t="shared" ref="H112:K112" si="112">IF(B112="","",H111*(1+B112))</f>
        <v>114.8908779</v>
      </c>
      <c r="I112" s="5">
        <f t="shared" si="112"/>
        <v>132.8222659</v>
      </c>
      <c r="J112" s="5">
        <f t="shared" si="112"/>
        <v>104.4041698</v>
      </c>
      <c r="K112" s="5">
        <f t="shared" si="112"/>
        <v>118.3514966</v>
      </c>
      <c r="L112" s="7">
        <f t="shared" si="6"/>
        <v>0</v>
      </c>
    </row>
    <row r="113" ht="15.75" customHeight="1">
      <c r="A113" s="4">
        <f>IF(RETORNOS!A113="","",RETORNOS!A113)</f>
        <v>44573</v>
      </c>
      <c r="B113" s="7">
        <f>IF(RETORNOS!B113="","",OPTIMIZACION!$B$5*RETORNOS!B113+OPTIMIZACION!$B$6*RETORNOS!C113+OPTIMIZACION!$B$7*RETORNOS!D113+OPTIMIZACION!$B$8*RETORNOS!E113+OPTIMIZACION!$B$9*RETORNOS!F113+OPTIMIZACION!$B$10*RETORNOS!G113)</f>
        <v>0.007573521143</v>
      </c>
      <c r="C113" s="7">
        <f>IF(RETORNOS!H113="","",RETORNOS!H113)</f>
        <v>0.001898322905</v>
      </c>
      <c r="D113" s="7">
        <f>IF(RETORNOS!I113="","",RETORNOS!I113)</f>
        <v>0.003170713427</v>
      </c>
      <c r="E113" s="7">
        <f t="shared" si="2"/>
        <v>0.002534518166</v>
      </c>
      <c r="F113" s="7">
        <f t="shared" si="3"/>
        <v>0.005675198239</v>
      </c>
      <c r="G113" s="7">
        <f t="shared" si="4"/>
        <v>0.005039002978</v>
      </c>
      <c r="H113" s="5">
        <f t="shared" ref="H113:K113" si="113">IF(B113="","",H112*(1+B113))</f>
        <v>115.7610063</v>
      </c>
      <c r="I113" s="5">
        <f t="shared" si="113"/>
        <v>133.0744054</v>
      </c>
      <c r="J113" s="5">
        <f t="shared" si="113"/>
        <v>104.7352055</v>
      </c>
      <c r="K113" s="5">
        <f t="shared" si="113"/>
        <v>118.6514606</v>
      </c>
      <c r="L113" s="7">
        <f t="shared" si="6"/>
        <v>0</v>
      </c>
    </row>
    <row r="114" ht="15.75" customHeight="1">
      <c r="A114" s="4">
        <f>IF(RETORNOS!A114="","",RETORNOS!A114)</f>
        <v>44574</v>
      </c>
      <c r="B114" s="7">
        <f>IF(RETORNOS!B114="","",OPTIMIZACION!$B$5*RETORNOS!B114+OPTIMIZACION!$B$6*RETORNOS!C114+OPTIMIZACION!$B$7*RETORNOS!D114+OPTIMIZACION!$B$8*RETORNOS!E114+OPTIMIZACION!$B$9*RETORNOS!F114+OPTIMIZACION!$B$10*RETORNOS!G114)</f>
        <v>-0.001891943625</v>
      </c>
      <c r="C114" s="7">
        <f>IF(RETORNOS!H114="","",RETORNOS!H114)</f>
        <v>-0.005050173805</v>
      </c>
      <c r="D114" s="7">
        <f>IF(RETORNOS!I114="","",RETORNOS!I114)</f>
        <v>0.004888839802</v>
      </c>
      <c r="E114" s="7">
        <f t="shared" si="2"/>
        <v>-0.00008066700135</v>
      </c>
      <c r="F114" s="7">
        <f t="shared" si="3"/>
        <v>0.00315823018</v>
      </c>
      <c r="G114" s="7">
        <f t="shared" si="4"/>
        <v>-0.001811276624</v>
      </c>
      <c r="H114" s="5">
        <f t="shared" ref="H114:K114" si="114">IF(B114="","",H113*(1+B114))</f>
        <v>115.541993</v>
      </c>
      <c r="I114" s="5">
        <f t="shared" si="114"/>
        <v>132.4023565</v>
      </c>
      <c r="J114" s="5">
        <f t="shared" si="114"/>
        <v>105.2472391</v>
      </c>
      <c r="K114" s="5">
        <f t="shared" si="114"/>
        <v>118.6418893</v>
      </c>
      <c r="L114" s="7">
        <f t="shared" si="6"/>
        <v>-0.001891943625</v>
      </c>
    </row>
    <row r="115" ht="15.75" customHeight="1">
      <c r="A115" s="4">
        <f>IF(RETORNOS!A115="","",RETORNOS!A115)</f>
        <v>44575</v>
      </c>
      <c r="B115" s="7">
        <f>IF(RETORNOS!B115="","",OPTIMIZACION!$B$5*RETORNOS!B115+OPTIMIZACION!$B$6*RETORNOS!C115+OPTIMIZACION!$B$7*RETORNOS!D115+OPTIMIZACION!$B$8*RETORNOS!E115+OPTIMIZACION!$B$9*RETORNOS!F115+OPTIMIZACION!$B$10*RETORNOS!G115)</f>
        <v>0.01157948207</v>
      </c>
      <c r="C115" s="7">
        <f>IF(RETORNOS!H115="","",RETORNOS!H115)</f>
        <v>0.0234820186</v>
      </c>
      <c r="D115" s="7">
        <f>IF(RETORNOS!I115="","",RETORNOS!I115)</f>
        <v>-0.006872496759</v>
      </c>
      <c r="E115" s="7">
        <f t="shared" si="2"/>
        <v>0.008304760922</v>
      </c>
      <c r="F115" s="7">
        <f t="shared" si="3"/>
        <v>-0.01190253653</v>
      </c>
      <c r="G115" s="7">
        <f t="shared" si="4"/>
        <v>0.003274721152</v>
      </c>
      <c r="H115" s="5">
        <f t="shared" ref="H115:K115" si="115">IF(B115="","",H114*(1+B115))</f>
        <v>116.8799095</v>
      </c>
      <c r="I115" s="5">
        <f t="shared" si="115"/>
        <v>135.5114311</v>
      </c>
      <c r="J115" s="5">
        <f t="shared" si="115"/>
        <v>104.5239278</v>
      </c>
      <c r="K115" s="5">
        <f t="shared" si="115"/>
        <v>119.6271819</v>
      </c>
      <c r="L115" s="7">
        <f t="shared" si="6"/>
        <v>0</v>
      </c>
    </row>
    <row r="116" ht="15.75" customHeight="1">
      <c r="A116" s="4">
        <f>IF(RETORNOS!A116="","",RETORNOS!A116)</f>
        <v>44579</v>
      </c>
      <c r="B116" s="7">
        <f>IF(RETORNOS!B116="","",OPTIMIZACION!$B$5*RETORNOS!B116+OPTIMIZACION!$B$6*RETORNOS!C116+OPTIMIZACION!$B$7*RETORNOS!D116+OPTIMIZACION!$B$8*RETORNOS!E116+OPTIMIZACION!$B$9*RETORNOS!F116+OPTIMIZACION!$B$10*RETORNOS!G116)</f>
        <v>-0.003644849596</v>
      </c>
      <c r="C116" s="7">
        <f>IF(RETORNOS!H116="","",RETORNOS!H116)</f>
        <v>0.004021869812</v>
      </c>
      <c r="D116" s="7">
        <f>IF(RETORNOS!I116="","",RETORNOS!I116)</f>
        <v>-0.01194897517</v>
      </c>
      <c r="E116" s="7">
        <f t="shared" si="2"/>
        <v>-0.003963552681</v>
      </c>
      <c r="F116" s="7">
        <f t="shared" si="3"/>
        <v>-0.007666719408</v>
      </c>
      <c r="G116" s="7">
        <f t="shared" si="4"/>
        <v>0.0003187030849</v>
      </c>
      <c r="H116" s="5">
        <f t="shared" ref="H116:K116" si="116">IF(B116="","",H115*(1+B116))</f>
        <v>116.4538998</v>
      </c>
      <c r="I116" s="5">
        <f t="shared" si="116"/>
        <v>136.0564405</v>
      </c>
      <c r="J116" s="5">
        <f t="shared" si="116"/>
        <v>103.274974</v>
      </c>
      <c r="K116" s="5">
        <f t="shared" si="116"/>
        <v>119.1530332</v>
      </c>
      <c r="L116" s="7">
        <f t="shared" si="6"/>
        <v>-0.003644849596</v>
      </c>
    </row>
    <row r="117" ht="15.75" customHeight="1">
      <c r="A117" s="4">
        <f>IF(RETORNOS!A117="","",RETORNOS!A117)</f>
        <v>44580</v>
      </c>
      <c r="B117" s="7">
        <f>IF(RETORNOS!B117="","",OPTIMIZACION!$B$5*RETORNOS!B117+OPTIMIZACION!$B$6*RETORNOS!C117+OPTIMIZACION!$B$7*RETORNOS!D117+OPTIMIZACION!$B$8*RETORNOS!E117+OPTIMIZACION!$B$9*RETORNOS!F117+OPTIMIZACION!$B$10*RETORNOS!G117)</f>
        <v>-0.006195785303</v>
      </c>
      <c r="C117" s="7">
        <f>IF(RETORNOS!H117="","",RETORNOS!H117)</f>
        <v>-0.007252419849</v>
      </c>
      <c r="D117" s="7">
        <f>IF(RETORNOS!I117="","",RETORNOS!I117)</f>
        <v>0.00451981868</v>
      </c>
      <c r="E117" s="7">
        <f t="shared" si="2"/>
        <v>-0.001366300585</v>
      </c>
      <c r="F117" s="7">
        <f t="shared" si="3"/>
        <v>0.001056634546</v>
      </c>
      <c r="G117" s="7">
        <f t="shared" si="4"/>
        <v>-0.004829484719</v>
      </c>
      <c r="H117" s="5">
        <f t="shared" ref="H117:K117" si="117">IF(B117="","",H116*(1+B117))</f>
        <v>115.7323764</v>
      </c>
      <c r="I117" s="5">
        <f t="shared" si="117"/>
        <v>135.069702</v>
      </c>
      <c r="J117" s="5">
        <f t="shared" si="117"/>
        <v>103.7417581</v>
      </c>
      <c r="K117" s="5">
        <f t="shared" si="117"/>
        <v>118.9902344</v>
      </c>
      <c r="L117" s="7">
        <f t="shared" si="6"/>
        <v>-0.009818052194</v>
      </c>
    </row>
    <row r="118" ht="15.75" customHeight="1">
      <c r="A118" s="4">
        <f>IF(RETORNOS!A118="","",RETORNOS!A118)</f>
        <v>44581</v>
      </c>
      <c r="B118" s="7">
        <f>IF(RETORNOS!B118="","",OPTIMIZACION!$B$5*RETORNOS!B118+OPTIMIZACION!$B$6*RETORNOS!C118+OPTIMIZACION!$B$7*RETORNOS!D118+OPTIMIZACION!$B$8*RETORNOS!E118+OPTIMIZACION!$B$9*RETORNOS!F118+OPTIMIZACION!$B$10*RETORNOS!G118)</f>
        <v>-0.01032844252</v>
      </c>
      <c r="C118" s="7">
        <f>IF(RETORNOS!H118="","",RETORNOS!H118)</f>
        <v>-0.009182907873</v>
      </c>
      <c r="D118" s="7">
        <f>IF(RETORNOS!I118="","",RETORNOS!I118)</f>
        <v>0.001301963768</v>
      </c>
      <c r="E118" s="7">
        <f t="shared" si="2"/>
        <v>-0.003940472052</v>
      </c>
      <c r="F118" s="7">
        <f t="shared" si="3"/>
        <v>-0.001145534649</v>
      </c>
      <c r="G118" s="7">
        <f t="shared" si="4"/>
        <v>-0.00638797047</v>
      </c>
      <c r="H118" s="5">
        <f t="shared" ref="H118:K118" si="118">IF(B118="","",H117*(1+B118))</f>
        <v>114.5370412</v>
      </c>
      <c r="I118" s="5">
        <f t="shared" si="118"/>
        <v>133.8293694</v>
      </c>
      <c r="J118" s="5">
        <f t="shared" si="118"/>
        <v>103.8768261</v>
      </c>
      <c r="K118" s="5">
        <f t="shared" si="118"/>
        <v>118.5213567</v>
      </c>
      <c r="L118" s="7">
        <f t="shared" si="6"/>
        <v>-0.02004508953</v>
      </c>
    </row>
    <row r="119" ht="15.75" customHeight="1">
      <c r="A119" s="4">
        <f>IF(RETORNOS!A119="","",RETORNOS!A119)</f>
        <v>44582</v>
      </c>
      <c r="B119" s="7">
        <f>IF(RETORNOS!B119="","",OPTIMIZACION!$B$5*RETORNOS!B119+OPTIMIZACION!$B$6*RETORNOS!C119+OPTIMIZACION!$B$7*RETORNOS!D119+OPTIMIZACION!$B$8*RETORNOS!E119+OPTIMIZACION!$B$9*RETORNOS!F119+OPTIMIZACION!$B$10*RETORNOS!G119)</f>
        <v>-0.008223868847</v>
      </c>
      <c r="C119" s="7">
        <f>IF(RETORNOS!H119="","",RETORNOS!H119)</f>
        <v>-0.01977877052</v>
      </c>
      <c r="D119" s="7">
        <f>IF(RETORNOS!I119="","",RETORNOS!I119)</f>
        <v>-0.001883263844</v>
      </c>
      <c r="E119" s="7">
        <f t="shared" si="2"/>
        <v>-0.01083101718</v>
      </c>
      <c r="F119" s="7">
        <f t="shared" si="3"/>
        <v>0.01155490167</v>
      </c>
      <c r="G119" s="7">
        <f t="shared" si="4"/>
        <v>0.002607148335</v>
      </c>
      <c r="H119" s="5">
        <f t="shared" ref="H119:K119" si="119">IF(B119="","",H118*(1+B119))</f>
        <v>113.5951036</v>
      </c>
      <c r="I119" s="5">
        <f t="shared" si="119"/>
        <v>131.182389</v>
      </c>
      <c r="J119" s="5">
        <f t="shared" si="119"/>
        <v>103.6811987</v>
      </c>
      <c r="K119" s="5">
        <f t="shared" si="119"/>
        <v>117.2376498</v>
      </c>
      <c r="L119" s="7">
        <f t="shared" si="6"/>
        <v>-0.02810411019</v>
      </c>
    </row>
    <row r="120" ht="15.75" customHeight="1">
      <c r="A120" s="4">
        <f>IF(RETORNOS!A120="","",RETORNOS!A120)</f>
        <v>44585</v>
      </c>
      <c r="B120" s="7">
        <f>IF(RETORNOS!B120="","",OPTIMIZACION!$B$5*RETORNOS!B120+OPTIMIZACION!$B$6*RETORNOS!C120+OPTIMIZACION!$B$7*RETORNOS!D120+OPTIMIZACION!$B$8*RETORNOS!E120+OPTIMIZACION!$B$9*RETORNOS!F120+OPTIMIZACION!$B$10*RETORNOS!G120)</f>
        <v>-0.003233351751</v>
      </c>
      <c r="C120" s="7">
        <f>IF(RETORNOS!H120="","",RETORNOS!H120)</f>
        <v>0.006734579218</v>
      </c>
      <c r="D120" s="7">
        <f>IF(RETORNOS!I120="","",RETORNOS!I120)</f>
        <v>-0.009591594311</v>
      </c>
      <c r="E120" s="7">
        <f t="shared" si="2"/>
        <v>-0.001428507547</v>
      </c>
      <c r="F120" s="7">
        <f t="shared" si="3"/>
        <v>-0.009967930969</v>
      </c>
      <c r="G120" s="7">
        <f t="shared" si="4"/>
        <v>-0.001804844205</v>
      </c>
      <c r="H120" s="5">
        <f t="shared" ref="H120:K120" si="120">IF(B120="","",H119*(1+B120))</f>
        <v>113.2278107</v>
      </c>
      <c r="I120" s="5">
        <f t="shared" si="120"/>
        <v>132.0658472</v>
      </c>
      <c r="J120" s="5">
        <f t="shared" si="120"/>
        <v>102.6867307</v>
      </c>
      <c r="K120" s="5">
        <f t="shared" si="120"/>
        <v>117.070175</v>
      </c>
      <c r="L120" s="7">
        <f t="shared" si="6"/>
        <v>-0.03124659147</v>
      </c>
    </row>
    <row r="121" ht="15.75" customHeight="1">
      <c r="A121" s="4">
        <f>IF(RETORNOS!A121="","",RETORNOS!A121)</f>
        <v>44586</v>
      </c>
      <c r="B121" s="7">
        <f>IF(RETORNOS!B121="","",OPTIMIZACION!$B$5*RETORNOS!B121+OPTIMIZACION!$B$6*RETORNOS!C121+OPTIMIZACION!$B$7*RETORNOS!D121+OPTIMIZACION!$B$8*RETORNOS!E121+OPTIMIZACION!$B$9*RETORNOS!F121+OPTIMIZACION!$B$10*RETORNOS!G121)</f>
        <v>0.01273649205</v>
      </c>
      <c r="C121" s="7">
        <f>IF(RETORNOS!H121="","",RETORNOS!H121)</f>
        <v>0.0388044029</v>
      </c>
      <c r="D121" s="7">
        <f>IF(RETORNOS!I121="","",RETORNOS!I121)</f>
        <v>-0.01568137617</v>
      </c>
      <c r="E121" s="7">
        <f t="shared" si="2"/>
        <v>0.01156151336</v>
      </c>
      <c r="F121" s="7">
        <f t="shared" si="3"/>
        <v>-0.02606791085</v>
      </c>
      <c r="G121" s="7">
        <f t="shared" si="4"/>
        <v>0.001174978682</v>
      </c>
      <c r="H121" s="5">
        <f t="shared" ref="H121:K121" si="121">IF(B121="","",H120*(1+B121))</f>
        <v>114.6699358</v>
      </c>
      <c r="I121" s="5">
        <f t="shared" si="121"/>
        <v>137.1905836</v>
      </c>
      <c r="J121" s="5">
        <f t="shared" si="121"/>
        <v>101.0764614</v>
      </c>
      <c r="K121" s="5">
        <f t="shared" si="121"/>
        <v>118.4236834</v>
      </c>
      <c r="L121" s="7">
        <f t="shared" si="6"/>
        <v>-0.01890807138</v>
      </c>
    </row>
    <row r="122" ht="15.75" customHeight="1">
      <c r="A122" s="4">
        <f>IF(RETORNOS!A122="","",RETORNOS!A122)</f>
        <v>44587</v>
      </c>
      <c r="B122" s="7">
        <f>IF(RETORNOS!B122="","",OPTIMIZACION!$B$5*RETORNOS!B122+OPTIMIZACION!$B$6*RETORNOS!C122+OPTIMIZACION!$B$7*RETORNOS!D122+OPTIMIZACION!$B$8*RETORNOS!E122+OPTIMIZACION!$B$9*RETORNOS!F122+OPTIMIZACION!$B$10*RETORNOS!G122)</f>
        <v>-0.00135831176</v>
      </c>
      <c r="C122" s="7">
        <f>IF(RETORNOS!H122="","",RETORNOS!H122)</f>
        <v>-0.001682365208</v>
      </c>
      <c r="D122" s="7">
        <f>IF(RETORNOS!I122="","",RETORNOS!I122)</f>
        <v>-0.008202901478</v>
      </c>
      <c r="E122" s="7">
        <f t="shared" si="2"/>
        <v>-0.004942633343</v>
      </c>
      <c r="F122" s="7">
        <f t="shared" si="3"/>
        <v>0.0003240534479</v>
      </c>
      <c r="G122" s="7">
        <f t="shared" si="4"/>
        <v>0.003584321583</v>
      </c>
      <c r="H122" s="5">
        <f t="shared" ref="H122:K122" si="122">IF(B122="","",H121*(1+B122))</f>
        <v>114.5141783</v>
      </c>
      <c r="I122" s="5">
        <f t="shared" si="122"/>
        <v>136.9597789</v>
      </c>
      <c r="J122" s="5">
        <f t="shared" si="122"/>
        <v>100.2473412</v>
      </c>
      <c r="K122" s="5">
        <f t="shared" si="122"/>
        <v>117.8383585</v>
      </c>
      <c r="L122" s="7">
        <f t="shared" si="6"/>
        <v>-0.02024070009</v>
      </c>
    </row>
    <row r="123" ht="15.75" customHeight="1">
      <c r="A123" s="4">
        <f>IF(RETORNOS!A123="","",RETORNOS!A123)</f>
        <v>44588</v>
      </c>
      <c r="B123" s="7">
        <f>IF(RETORNOS!B123="","",OPTIMIZACION!$B$5*RETORNOS!B123+OPTIMIZACION!$B$6*RETORNOS!C123+OPTIMIZACION!$B$7*RETORNOS!D123+OPTIMIZACION!$B$8*RETORNOS!E123+OPTIMIZACION!$B$9*RETORNOS!F123+OPTIMIZACION!$B$10*RETORNOS!G123)</f>
        <v>0.00576675297</v>
      </c>
      <c r="C123" s="7">
        <f>IF(RETORNOS!H123="","",RETORNOS!H123)</f>
        <v>0.01090069709</v>
      </c>
      <c r="D123" s="7">
        <f>IF(RETORNOS!I123="","",RETORNOS!I123)</f>
        <v>0.008857876892</v>
      </c>
      <c r="E123" s="7">
        <f t="shared" si="2"/>
        <v>0.009879286992</v>
      </c>
      <c r="F123" s="7">
        <f t="shared" si="3"/>
        <v>-0.005133944122</v>
      </c>
      <c r="G123" s="7">
        <f t="shared" si="4"/>
        <v>-0.004112534022</v>
      </c>
      <c r="H123" s="5">
        <f t="shared" ref="H123:K123" si="123">IF(B123="","",H122*(1+B123))</f>
        <v>115.1745533</v>
      </c>
      <c r="I123" s="5">
        <f t="shared" si="123"/>
        <v>138.452736</v>
      </c>
      <c r="J123" s="5">
        <f t="shared" si="123"/>
        <v>101.1353198</v>
      </c>
      <c r="K123" s="5">
        <f t="shared" si="123"/>
        <v>119.0025175</v>
      </c>
      <c r="L123" s="7">
        <f t="shared" si="6"/>
        <v>-0.01459067023</v>
      </c>
    </row>
    <row r="124" ht="15.75" customHeight="1">
      <c r="A124" s="4">
        <f>IF(RETORNOS!A124="","",RETORNOS!A124)</f>
        <v>44589</v>
      </c>
      <c r="B124" s="7">
        <f>IF(RETORNOS!B124="","",OPTIMIZACION!$B$5*RETORNOS!B124+OPTIMIZACION!$B$6*RETORNOS!C124+OPTIMIZACION!$B$7*RETORNOS!D124+OPTIMIZACION!$B$8*RETORNOS!E124+OPTIMIZACION!$B$9*RETORNOS!F124+OPTIMIZACION!$B$10*RETORNOS!G124)</f>
        <v>0.01549684367</v>
      </c>
      <c r="C124" s="7">
        <f>IF(RETORNOS!H124="","",RETORNOS!H124)</f>
        <v>-0.004265631895</v>
      </c>
      <c r="D124" s="7">
        <f>IF(RETORNOS!I124="","",RETORNOS!I124)</f>
        <v>0.01207348375</v>
      </c>
      <c r="E124" s="7">
        <f t="shared" si="2"/>
        <v>0.003903925928</v>
      </c>
      <c r="F124" s="7">
        <f t="shared" si="3"/>
        <v>0.01976247556</v>
      </c>
      <c r="G124" s="7">
        <f t="shared" si="4"/>
        <v>0.01159291774</v>
      </c>
      <c r="H124" s="5">
        <f t="shared" ref="H124:K124" si="124">IF(B124="","",H123*(1+B124))</f>
        <v>116.9593953</v>
      </c>
      <c r="I124" s="5">
        <f t="shared" si="124"/>
        <v>137.8621476</v>
      </c>
      <c r="J124" s="5">
        <f t="shared" si="124"/>
        <v>102.3563754</v>
      </c>
      <c r="K124" s="5">
        <f t="shared" si="124"/>
        <v>119.4670945</v>
      </c>
      <c r="L124" s="7">
        <f t="shared" si="6"/>
        <v>0</v>
      </c>
    </row>
    <row r="125" ht="15.75" customHeight="1">
      <c r="A125" s="4">
        <f>IF(RETORNOS!A125="","",RETORNOS!A125)</f>
        <v>44592</v>
      </c>
      <c r="B125" s="7">
        <f>IF(RETORNOS!B125="","",OPTIMIZACION!$B$5*RETORNOS!B125+OPTIMIZACION!$B$6*RETORNOS!C125+OPTIMIZACION!$B$7*RETORNOS!D125+OPTIMIZACION!$B$8*RETORNOS!E125+OPTIMIZACION!$B$9*RETORNOS!F125+OPTIMIZACION!$B$10*RETORNOS!G125)</f>
        <v>0.009457945118</v>
      </c>
      <c r="C125" s="7">
        <f>IF(RETORNOS!H125="","",RETORNOS!H125)</f>
        <v>0.004417557681</v>
      </c>
      <c r="D125" s="7">
        <f>IF(RETORNOS!I125="","",RETORNOS!I125)</f>
        <v>0.01897278396</v>
      </c>
      <c r="E125" s="7">
        <f t="shared" si="2"/>
        <v>0.01169517082</v>
      </c>
      <c r="F125" s="7">
        <f t="shared" si="3"/>
        <v>0.005040387436</v>
      </c>
      <c r="G125" s="7">
        <f t="shared" si="4"/>
        <v>-0.002237225703</v>
      </c>
      <c r="H125" s="5">
        <f t="shared" ref="H125:K125" si="125">IF(B125="","",H124*(1+B125))</f>
        <v>118.0655909</v>
      </c>
      <c r="I125" s="5">
        <f t="shared" si="125"/>
        <v>138.4711615</v>
      </c>
      <c r="J125" s="5">
        <f t="shared" si="125"/>
        <v>104.2983608</v>
      </c>
      <c r="K125" s="5">
        <f t="shared" si="125"/>
        <v>120.8642826</v>
      </c>
      <c r="L125" s="7">
        <f t="shared" si="6"/>
        <v>0</v>
      </c>
    </row>
    <row r="126" ht="15.75" customHeight="1">
      <c r="A126" s="4">
        <f>IF(RETORNOS!A126="","",RETORNOS!A126)</f>
        <v>44593</v>
      </c>
      <c r="B126" s="7">
        <f>IF(RETORNOS!B126="","",OPTIMIZACION!$B$5*RETORNOS!B126+OPTIMIZACION!$B$6*RETORNOS!C126+OPTIMIZACION!$B$7*RETORNOS!D126+OPTIMIZACION!$B$8*RETORNOS!E126+OPTIMIZACION!$B$9*RETORNOS!F126+OPTIMIZACION!$B$10*RETORNOS!G126)</f>
        <v>0.01553530886</v>
      </c>
      <c r="C126" s="7">
        <f>IF(RETORNOS!H126="","",RETORNOS!H126)</f>
        <v>0.03565775836</v>
      </c>
      <c r="D126" s="7">
        <f>IF(RETORNOS!I126="","",RETORNOS!I126)</f>
        <v>-0.01328614301</v>
      </c>
      <c r="E126" s="7">
        <f t="shared" si="2"/>
        <v>0.01118580767</v>
      </c>
      <c r="F126" s="7">
        <f t="shared" si="3"/>
        <v>-0.0201224495</v>
      </c>
      <c r="G126" s="7">
        <f t="shared" si="4"/>
        <v>0.004349501183</v>
      </c>
      <c r="H126" s="5">
        <f t="shared" ref="H126:K126" si="126">IF(B126="","",H125*(1+B126))</f>
        <v>119.8997763</v>
      </c>
      <c r="I126" s="5">
        <f t="shared" si="126"/>
        <v>143.4087328</v>
      </c>
      <c r="J126" s="5">
        <f t="shared" si="126"/>
        <v>102.9126379</v>
      </c>
      <c r="K126" s="5">
        <f t="shared" si="126"/>
        <v>122.2162472</v>
      </c>
      <c r="L126" s="7">
        <f t="shared" si="6"/>
        <v>0</v>
      </c>
    </row>
    <row r="127" ht="15.75" customHeight="1">
      <c r="A127" s="4">
        <f>IF(RETORNOS!A127="","",RETORNOS!A127)</f>
        <v>44594</v>
      </c>
      <c r="B127" s="7">
        <f>IF(RETORNOS!B127="","",OPTIMIZACION!$B$5*RETORNOS!B127+OPTIMIZACION!$B$6*RETORNOS!C127+OPTIMIZACION!$B$7*RETORNOS!D127+OPTIMIZACION!$B$8*RETORNOS!E127+OPTIMIZACION!$B$9*RETORNOS!F127+OPTIMIZACION!$B$10*RETORNOS!G127)</f>
        <v>0.006033386639</v>
      </c>
      <c r="C127" s="7">
        <f>IF(RETORNOS!H127="","",RETORNOS!H127)</f>
        <v>0.00322221809</v>
      </c>
      <c r="D127" s="7">
        <f>IF(RETORNOS!I127="","",RETORNOS!I127)</f>
        <v>0.01479071828</v>
      </c>
      <c r="E127" s="7">
        <f t="shared" si="2"/>
        <v>0.009006468184</v>
      </c>
      <c r="F127" s="7">
        <f t="shared" si="3"/>
        <v>0.002811168549</v>
      </c>
      <c r="G127" s="7">
        <f t="shared" si="4"/>
        <v>-0.002973081546</v>
      </c>
      <c r="H127" s="5">
        <f t="shared" ref="H127:K127" si="127">IF(B127="","",H126*(1+B127))</f>
        <v>120.623178</v>
      </c>
      <c r="I127" s="5">
        <f t="shared" si="127"/>
        <v>143.870827</v>
      </c>
      <c r="J127" s="5">
        <f t="shared" si="127"/>
        <v>104.4347897</v>
      </c>
      <c r="K127" s="5">
        <f t="shared" si="127"/>
        <v>123.3169839</v>
      </c>
      <c r="L127" s="7">
        <f t="shared" si="6"/>
        <v>0</v>
      </c>
    </row>
    <row r="128" ht="15.75" customHeight="1">
      <c r="A128" s="4">
        <f>IF(RETORNOS!A128="","",RETORNOS!A128)</f>
        <v>44595</v>
      </c>
      <c r="B128" s="7">
        <f>IF(RETORNOS!B128="","",OPTIMIZACION!$B$5*RETORNOS!B128+OPTIMIZACION!$B$6*RETORNOS!C128+OPTIMIZACION!$B$7*RETORNOS!D128+OPTIMIZACION!$B$8*RETORNOS!E128+OPTIMIZACION!$B$9*RETORNOS!F128+OPTIMIZACION!$B$10*RETORNOS!G128)</f>
        <v>-0.01179381248</v>
      </c>
      <c r="C128" s="7">
        <f>IF(RETORNOS!H128="","",RETORNOS!H128)</f>
        <v>-0.009494054841</v>
      </c>
      <c r="D128" s="7">
        <f>IF(RETORNOS!I128="","",RETORNOS!I128)</f>
        <v>-0.004469623177</v>
      </c>
      <c r="E128" s="7">
        <f t="shared" si="2"/>
        <v>-0.006981839009</v>
      </c>
      <c r="F128" s="7">
        <f t="shared" si="3"/>
        <v>-0.002299757642</v>
      </c>
      <c r="G128" s="7">
        <f t="shared" si="4"/>
        <v>-0.004811973474</v>
      </c>
      <c r="H128" s="5">
        <f t="shared" ref="H128:K128" si="128">IF(B128="","",H127*(1+B128))</f>
        <v>119.2005708</v>
      </c>
      <c r="I128" s="5">
        <f t="shared" si="128"/>
        <v>142.5049094</v>
      </c>
      <c r="J128" s="5">
        <f t="shared" si="128"/>
        <v>103.9680056</v>
      </c>
      <c r="K128" s="5">
        <f t="shared" si="128"/>
        <v>122.4560046</v>
      </c>
      <c r="L128" s="7">
        <f t="shared" si="6"/>
        <v>-0.01179381248</v>
      </c>
    </row>
    <row r="129" ht="15.75" customHeight="1">
      <c r="A129" s="4">
        <f>IF(RETORNOS!A129="","",RETORNOS!A129)</f>
        <v>44596</v>
      </c>
      <c r="B129" s="7">
        <f>IF(RETORNOS!B129="","",OPTIMIZACION!$B$5*RETORNOS!B129+OPTIMIZACION!$B$6*RETORNOS!C129+OPTIMIZACION!$B$7*RETORNOS!D129+OPTIMIZACION!$B$8*RETORNOS!E129+OPTIMIZACION!$B$9*RETORNOS!F129+OPTIMIZACION!$B$10*RETORNOS!G129)</f>
        <v>-0.00007061782448</v>
      </c>
      <c r="C129" s="7">
        <f>IF(RETORNOS!H129="","",RETORNOS!H129)</f>
        <v>0.01562462784</v>
      </c>
      <c r="D129" s="7">
        <f>IF(RETORNOS!I129="","",RETORNOS!I129)</f>
        <v>-0.007978035859</v>
      </c>
      <c r="E129" s="7">
        <f t="shared" si="2"/>
        <v>0.003823295992</v>
      </c>
      <c r="F129" s="7">
        <f t="shared" si="3"/>
        <v>-0.01569524567</v>
      </c>
      <c r="G129" s="7">
        <f t="shared" si="4"/>
        <v>-0.003893913817</v>
      </c>
      <c r="H129" s="5">
        <f t="shared" ref="H129:K129" si="129">IF(B129="","",H128*(1+B129))</f>
        <v>119.1921532</v>
      </c>
      <c r="I129" s="5">
        <f t="shared" si="129"/>
        <v>144.7314956</v>
      </c>
      <c r="J129" s="5">
        <f t="shared" si="129"/>
        <v>103.1385451</v>
      </c>
      <c r="K129" s="5">
        <f t="shared" si="129"/>
        <v>122.9241901</v>
      </c>
      <c r="L129" s="7">
        <f t="shared" si="6"/>
        <v>-0.01186359745</v>
      </c>
    </row>
    <row r="130" ht="15.75" customHeight="1">
      <c r="A130" s="4">
        <f>IF(RETORNOS!A130="","",RETORNOS!A130)</f>
        <v>44599</v>
      </c>
      <c r="B130" s="7">
        <f>IF(RETORNOS!B130="","",OPTIMIZACION!$B$5*RETORNOS!B130+OPTIMIZACION!$B$6*RETORNOS!C130+OPTIMIZACION!$B$7*RETORNOS!D130+OPTIMIZACION!$B$8*RETORNOS!E130+OPTIMIZACION!$B$9*RETORNOS!F130+OPTIMIZACION!$B$10*RETORNOS!G130)</f>
        <v>0.0009159212264</v>
      </c>
      <c r="C130" s="7">
        <f>IF(RETORNOS!H130="","",RETORNOS!H130)</f>
        <v>0.01278447638</v>
      </c>
      <c r="D130" s="7">
        <f>IF(RETORNOS!I130="","",RETORNOS!I130)</f>
        <v>-0.001454720585</v>
      </c>
      <c r="E130" s="7">
        <f t="shared" si="2"/>
        <v>0.005664877896</v>
      </c>
      <c r="F130" s="7">
        <f t="shared" si="3"/>
        <v>-0.01186855515</v>
      </c>
      <c r="G130" s="7">
        <f t="shared" si="4"/>
        <v>-0.004748956669</v>
      </c>
      <c r="H130" s="5">
        <f t="shared" ref="H130:K130" si="130">IF(B130="","",H129*(1+B130))</f>
        <v>119.3013238</v>
      </c>
      <c r="I130" s="5">
        <f t="shared" si="130"/>
        <v>146.581812</v>
      </c>
      <c r="J130" s="5">
        <f t="shared" si="130"/>
        <v>102.9885073</v>
      </c>
      <c r="K130" s="5">
        <f t="shared" si="130"/>
        <v>123.6205407</v>
      </c>
      <c r="L130" s="7">
        <f t="shared" si="6"/>
        <v>-0.01095854235</v>
      </c>
    </row>
    <row r="131" ht="15.75" customHeight="1">
      <c r="A131" s="4">
        <f>IF(RETORNOS!A131="","",RETORNOS!A131)</f>
        <v>44600</v>
      </c>
      <c r="B131" s="7">
        <f>IF(RETORNOS!B131="","",OPTIMIZACION!$B$5*RETORNOS!B131+OPTIMIZACION!$B$6*RETORNOS!C131+OPTIMIZACION!$B$7*RETORNOS!D131+OPTIMIZACION!$B$8*RETORNOS!E131+OPTIMIZACION!$B$9*RETORNOS!F131+OPTIMIZACION!$B$10*RETORNOS!G131)</f>
        <v>-0.007231715347</v>
      </c>
      <c r="C131" s="7">
        <f>IF(RETORNOS!H131="","",RETORNOS!H131)</f>
        <v>-0.02150822188</v>
      </c>
      <c r="D131" s="7">
        <f>IF(RETORNOS!I131="","",RETORNOS!I131)</f>
        <v>0.0007300716858</v>
      </c>
      <c r="E131" s="7">
        <f t="shared" si="2"/>
        <v>-0.0103890751</v>
      </c>
      <c r="F131" s="7">
        <f t="shared" si="3"/>
        <v>0.01427650654</v>
      </c>
      <c r="G131" s="7">
        <f t="shared" si="4"/>
        <v>0.003157359752</v>
      </c>
      <c r="H131" s="5">
        <f t="shared" ref="H131:K131" si="131">IF(B131="","",H130*(1+B131))</f>
        <v>118.4385706</v>
      </c>
      <c r="I131" s="5">
        <f t="shared" si="131"/>
        <v>143.4290979</v>
      </c>
      <c r="J131" s="5">
        <f t="shared" si="131"/>
        <v>103.0636963</v>
      </c>
      <c r="K131" s="5">
        <f t="shared" si="131"/>
        <v>122.3362376</v>
      </c>
      <c r="L131" s="7">
        <f t="shared" si="6"/>
        <v>-0.01811100864</v>
      </c>
    </row>
    <row r="132" ht="15.75" customHeight="1">
      <c r="A132" s="4">
        <f>IF(RETORNOS!A132="","",RETORNOS!A132)</f>
        <v>44601</v>
      </c>
      <c r="B132" s="7">
        <f>IF(RETORNOS!B132="","",OPTIMIZACION!$B$5*RETORNOS!B132+OPTIMIZACION!$B$6*RETORNOS!C132+OPTIMIZACION!$B$7*RETORNOS!D132+OPTIMIZACION!$B$8*RETORNOS!E132+OPTIMIZACION!$B$9*RETORNOS!F132+OPTIMIZACION!$B$10*RETORNOS!G132)</f>
        <v>0.004913429486</v>
      </c>
      <c r="C132" s="7">
        <f>IF(RETORNOS!H132="","",RETORNOS!H132)</f>
        <v>0.00835696972</v>
      </c>
      <c r="D132" s="7">
        <f>IF(RETORNOS!I132="","",RETORNOS!I132)</f>
        <v>0.004390438747</v>
      </c>
      <c r="E132" s="7">
        <f t="shared" si="2"/>
        <v>0.006373704233</v>
      </c>
      <c r="F132" s="7">
        <f t="shared" si="3"/>
        <v>-0.003443540233</v>
      </c>
      <c r="G132" s="7">
        <f t="shared" si="4"/>
        <v>-0.001460274747</v>
      </c>
      <c r="H132" s="5">
        <f t="shared" ref="H132:K132" si="132">IF(B132="","",H131*(1+B132))</f>
        <v>119.0205101</v>
      </c>
      <c r="I132" s="5">
        <f t="shared" si="132"/>
        <v>144.6277305</v>
      </c>
      <c r="J132" s="5">
        <f t="shared" si="132"/>
        <v>103.5161912</v>
      </c>
      <c r="K132" s="5">
        <f t="shared" si="132"/>
        <v>123.1159726</v>
      </c>
      <c r="L132" s="7">
        <f t="shared" si="6"/>
        <v>-0.01328656631</v>
      </c>
    </row>
    <row r="133" ht="15.75" customHeight="1">
      <c r="A133" s="4">
        <f>IF(RETORNOS!A133="","",RETORNOS!A133)</f>
        <v>44602</v>
      </c>
      <c r="B133" s="7">
        <f>IF(RETORNOS!B133="","",OPTIMIZACION!$B$5*RETORNOS!B133+OPTIMIZACION!$B$6*RETORNOS!C133+OPTIMIZACION!$B$7*RETORNOS!D133+OPTIMIZACION!$B$8*RETORNOS!E133+OPTIMIZACION!$B$9*RETORNOS!F133+OPTIMIZACION!$B$10*RETORNOS!G133)</f>
        <v>-0.01454501212</v>
      </c>
      <c r="C133" s="7">
        <f>IF(RETORNOS!H133="","",RETORNOS!H133)</f>
        <v>-0.006245955886</v>
      </c>
      <c r="D133" s="7">
        <f>IF(RETORNOS!I133="","",RETORNOS!I133)</f>
        <v>-0.0253269397</v>
      </c>
      <c r="E133" s="7">
        <f t="shared" si="2"/>
        <v>-0.01578644779</v>
      </c>
      <c r="F133" s="7">
        <f t="shared" si="3"/>
        <v>-0.008299056238</v>
      </c>
      <c r="G133" s="7">
        <f t="shared" si="4"/>
        <v>0.001241435669</v>
      </c>
      <c r="H133" s="5">
        <f t="shared" ref="H133:K133" si="133">IF(B133="","",H132*(1+B133))</f>
        <v>117.2893554</v>
      </c>
      <c r="I133" s="5">
        <f t="shared" si="133"/>
        <v>143.7243921</v>
      </c>
      <c r="J133" s="5">
        <f t="shared" si="133"/>
        <v>100.8944428</v>
      </c>
      <c r="K133" s="5">
        <f t="shared" si="133"/>
        <v>121.1724087</v>
      </c>
      <c r="L133" s="7">
        <f t="shared" si="6"/>
        <v>-0.02763832517</v>
      </c>
    </row>
    <row r="134" ht="15.75" customHeight="1">
      <c r="A134" s="4">
        <f>IF(RETORNOS!A134="","",RETORNOS!A134)</f>
        <v>44603</v>
      </c>
      <c r="B134" s="7">
        <f>IF(RETORNOS!B134="","",OPTIMIZACION!$B$5*RETORNOS!B134+OPTIMIZACION!$B$6*RETORNOS!C134+OPTIMIZACION!$B$7*RETORNOS!D134+OPTIMIZACION!$B$8*RETORNOS!E134+OPTIMIZACION!$B$9*RETORNOS!F134+OPTIMIZACION!$B$10*RETORNOS!G134)</f>
        <v>0.01131439329</v>
      </c>
      <c r="C134" s="7">
        <f>IF(RETORNOS!H134="","",RETORNOS!H134)</f>
        <v>0.02908134004</v>
      </c>
      <c r="D134" s="7">
        <f>IF(RETORNOS!I134="","",RETORNOS!I134)</f>
        <v>0.0006002259277</v>
      </c>
      <c r="E134" s="7">
        <f t="shared" si="2"/>
        <v>0.01484078298</v>
      </c>
      <c r="F134" s="7">
        <f t="shared" si="3"/>
        <v>-0.01776694675</v>
      </c>
      <c r="G134" s="7">
        <f t="shared" si="4"/>
        <v>-0.003526389694</v>
      </c>
      <c r="H134" s="5">
        <f t="shared" ref="H134:K134" si="134">IF(B134="","",H133*(1+B134))</f>
        <v>118.6164133</v>
      </c>
      <c r="I134" s="5">
        <f t="shared" si="134"/>
        <v>147.90409</v>
      </c>
      <c r="J134" s="5">
        <f t="shared" si="134"/>
        <v>100.9550023</v>
      </c>
      <c r="K134" s="5">
        <f t="shared" si="134"/>
        <v>122.9707021</v>
      </c>
      <c r="L134" s="7">
        <f t="shared" si="6"/>
        <v>-0.01663664276</v>
      </c>
    </row>
    <row r="135" ht="15.75" customHeight="1">
      <c r="A135" s="4">
        <f>IF(RETORNOS!A135="","",RETORNOS!A135)</f>
        <v>44606</v>
      </c>
      <c r="B135" s="7">
        <f>IF(RETORNOS!B135="","",OPTIMIZACION!$B$5*RETORNOS!B135+OPTIMIZACION!$B$6*RETORNOS!C135+OPTIMIZACION!$B$7*RETORNOS!D135+OPTIMIZACION!$B$8*RETORNOS!E135+OPTIMIZACION!$B$9*RETORNOS!F135+OPTIMIZACION!$B$10*RETORNOS!G135)</f>
        <v>-0.01380211222</v>
      </c>
      <c r="C135" s="7">
        <f>IF(RETORNOS!H135="","",RETORNOS!H135)</f>
        <v>-0.02357145199</v>
      </c>
      <c r="D135" s="7">
        <f>IF(RETORNOS!I135="","",RETORNOS!I135)</f>
        <v>-0.008495853174</v>
      </c>
      <c r="E135" s="7">
        <f t="shared" si="2"/>
        <v>-0.01603365258</v>
      </c>
      <c r="F135" s="7">
        <f t="shared" si="3"/>
        <v>0.009769339764</v>
      </c>
      <c r="G135" s="7">
        <f t="shared" si="4"/>
        <v>0.002231540357</v>
      </c>
      <c r="H135" s="5">
        <f t="shared" ref="H135:K135" si="135">IF(B135="","",H134*(1+B135))</f>
        <v>116.9792562</v>
      </c>
      <c r="I135" s="5">
        <f t="shared" si="135"/>
        <v>144.4177758</v>
      </c>
      <c r="J135" s="5">
        <f t="shared" si="135"/>
        <v>100.0973034</v>
      </c>
      <c r="K135" s="5">
        <f t="shared" si="135"/>
        <v>120.9990326</v>
      </c>
      <c r="L135" s="7">
        <f t="shared" si="6"/>
        <v>-0.03020913418</v>
      </c>
    </row>
    <row r="136" ht="15.75" customHeight="1">
      <c r="A136" s="4">
        <f>IF(RETORNOS!A136="","",RETORNOS!A136)</f>
        <v>44607</v>
      </c>
      <c r="B136" s="7">
        <f>IF(RETORNOS!B136="","",OPTIMIZACION!$B$5*RETORNOS!B136+OPTIMIZACION!$B$6*RETORNOS!C136+OPTIMIZACION!$B$7*RETORNOS!D136+OPTIMIZACION!$B$8*RETORNOS!E136+OPTIMIZACION!$B$9*RETORNOS!F136+OPTIMIZACION!$B$10*RETORNOS!G136)</f>
        <v>-0.003428869944</v>
      </c>
      <c r="C136" s="7">
        <f>IF(RETORNOS!H136="","",RETORNOS!H136)</f>
        <v>-0.01048213806</v>
      </c>
      <c r="D136" s="7">
        <f>IF(RETORNOS!I136="","",RETORNOS!I136)</f>
        <v>-0.004666702922</v>
      </c>
      <c r="E136" s="7">
        <f t="shared" si="2"/>
        <v>-0.007574420491</v>
      </c>
      <c r="F136" s="7">
        <f t="shared" si="3"/>
        <v>0.007053268117</v>
      </c>
      <c r="G136" s="7">
        <f t="shared" si="4"/>
        <v>0.004145550547</v>
      </c>
      <c r="H136" s="5">
        <f t="shared" ref="H136:K136" si="136">IF(B136="","",H135*(1+B136))</f>
        <v>116.5781496</v>
      </c>
      <c r="I136" s="5">
        <f t="shared" si="136"/>
        <v>142.9039688</v>
      </c>
      <c r="J136" s="5">
        <f t="shared" si="136"/>
        <v>99.63017902</v>
      </c>
      <c r="K136" s="5">
        <f t="shared" si="136"/>
        <v>120.0825351</v>
      </c>
      <c r="L136" s="7">
        <f t="shared" si="6"/>
        <v>-0.03353442093</v>
      </c>
    </row>
    <row r="137" ht="15.75" customHeight="1">
      <c r="A137" s="4">
        <f>IF(RETORNOS!A137="","",RETORNOS!A137)</f>
        <v>44608</v>
      </c>
      <c r="B137" s="7">
        <f>IF(RETORNOS!B137="","",OPTIMIZACION!$B$5*RETORNOS!B137+OPTIMIZACION!$B$6*RETORNOS!C137+OPTIMIZACION!$B$7*RETORNOS!D137+OPTIMIZACION!$B$8*RETORNOS!E137+OPTIMIZACION!$B$9*RETORNOS!F137+OPTIMIZACION!$B$10*RETORNOS!G137)</f>
        <v>0.008258663329</v>
      </c>
      <c r="C137" s="7">
        <f>IF(RETORNOS!H137="","",RETORNOS!H137)</f>
        <v>0.008089088552</v>
      </c>
      <c r="D137" s="7">
        <f>IF(RETORNOS!I137="","",RETORNOS!I137)</f>
        <v>0.002267457545</v>
      </c>
      <c r="E137" s="7">
        <f t="shared" si="2"/>
        <v>0.005178273049</v>
      </c>
      <c r="F137" s="7">
        <f t="shared" si="3"/>
        <v>0.0001695747764</v>
      </c>
      <c r="G137" s="7">
        <f t="shared" si="4"/>
        <v>0.00308039028</v>
      </c>
      <c r="H137" s="5">
        <f t="shared" ref="H137:K137" si="137">IF(B137="","",H136*(1+B137))</f>
        <v>117.5409292</v>
      </c>
      <c r="I137" s="5">
        <f t="shared" si="137"/>
        <v>144.0599316</v>
      </c>
      <c r="J137" s="5">
        <f t="shared" si="137"/>
        <v>99.85608623</v>
      </c>
      <c r="K137" s="5">
        <f t="shared" si="137"/>
        <v>120.7043552</v>
      </c>
      <c r="L137" s="7">
        <f t="shared" si="6"/>
        <v>-0.02555270709</v>
      </c>
    </row>
    <row r="138" ht="15.75" customHeight="1">
      <c r="A138" s="4">
        <f>IF(RETORNOS!A138="","",RETORNOS!A138)</f>
        <v>44609</v>
      </c>
      <c r="B138" s="7">
        <f>IF(RETORNOS!B138="","",OPTIMIZACION!$B$5*RETORNOS!B138+OPTIMIZACION!$B$6*RETORNOS!C138+OPTIMIZACION!$B$7*RETORNOS!D138+OPTIMIZACION!$B$8*RETORNOS!E138+OPTIMIZACION!$B$9*RETORNOS!F138+OPTIMIZACION!$B$10*RETORNOS!G138)</f>
        <v>-0.008428330106</v>
      </c>
      <c r="C138" s="7">
        <f>IF(RETORNOS!H138="","",RETORNOS!H138)</f>
        <v>-0.001605509219</v>
      </c>
      <c r="D138" s="7">
        <f>IF(RETORNOS!I138="","",RETORNOS!I138)</f>
        <v>0.0006064673956</v>
      </c>
      <c r="E138" s="7">
        <f t="shared" si="2"/>
        <v>-0.0004995209117</v>
      </c>
      <c r="F138" s="7">
        <f t="shared" si="3"/>
        <v>-0.006822820887</v>
      </c>
      <c r="G138" s="7">
        <f t="shared" si="4"/>
        <v>-0.007928809194</v>
      </c>
      <c r="H138" s="5">
        <f t="shared" ref="H138:K138" si="138">IF(B138="","",H137*(1+B138))</f>
        <v>116.5502555</v>
      </c>
      <c r="I138" s="5">
        <f t="shared" si="138"/>
        <v>143.8286421</v>
      </c>
      <c r="J138" s="5">
        <f t="shared" si="138"/>
        <v>99.91664569</v>
      </c>
      <c r="K138" s="5">
        <f t="shared" si="138"/>
        <v>120.6440609</v>
      </c>
      <c r="L138" s="7">
        <f t="shared" si="6"/>
        <v>-0.03376567055</v>
      </c>
    </row>
    <row r="139" ht="15.75" customHeight="1">
      <c r="A139" s="4">
        <f>IF(RETORNOS!A139="","",RETORNOS!A139)</f>
        <v>44610</v>
      </c>
      <c r="B139" s="7">
        <f>IF(RETORNOS!B139="","",OPTIMIZACION!$B$5*RETORNOS!B139+OPTIMIZACION!$B$6*RETORNOS!C139+OPTIMIZACION!$B$7*RETORNOS!D139+OPTIMIZACION!$B$8*RETORNOS!E139+OPTIMIZACION!$B$9*RETORNOS!F139+OPTIMIZACION!$B$10*RETORNOS!G139)</f>
        <v>-0.004903761635</v>
      </c>
      <c r="C139" s="7">
        <f>IF(RETORNOS!H139="","",RETORNOS!H139)</f>
        <v>-0.006135693215</v>
      </c>
      <c r="D139" s="7">
        <f>IF(RETORNOS!I139="","",RETORNOS!I139)</f>
        <v>-0.001821704503</v>
      </c>
      <c r="E139" s="7">
        <f t="shared" si="2"/>
        <v>-0.003978698859</v>
      </c>
      <c r="F139" s="7">
        <f t="shared" si="3"/>
        <v>0.00123193158</v>
      </c>
      <c r="G139" s="7">
        <f t="shared" si="4"/>
        <v>-0.0009250627762</v>
      </c>
      <c r="H139" s="5">
        <f t="shared" ref="H139:K139" si="139">IF(B139="","",H138*(1+B139))</f>
        <v>115.9787208</v>
      </c>
      <c r="I139" s="5">
        <f t="shared" si="139"/>
        <v>142.9461537</v>
      </c>
      <c r="J139" s="5">
        <f t="shared" si="139"/>
        <v>99.73462708</v>
      </c>
      <c r="K139" s="5">
        <f t="shared" si="139"/>
        <v>120.1640545</v>
      </c>
      <c r="L139" s="7">
        <f t="shared" si="6"/>
        <v>-0.03850385338</v>
      </c>
    </row>
    <row r="140" ht="15.75" customHeight="1">
      <c r="A140" s="4">
        <f>IF(RETORNOS!A140="","",RETORNOS!A140)</f>
        <v>44614</v>
      </c>
      <c r="B140" s="7">
        <f>IF(RETORNOS!B140="","",OPTIMIZACION!$B$5*RETORNOS!B140+OPTIMIZACION!$B$6*RETORNOS!C140+OPTIMIZACION!$B$7*RETORNOS!D140+OPTIMIZACION!$B$8*RETORNOS!E140+OPTIMIZACION!$B$9*RETORNOS!F140+OPTIMIZACION!$B$10*RETORNOS!G140)</f>
        <v>0.0001872570268</v>
      </c>
      <c r="C140" s="7">
        <f>IF(RETORNOS!H140="","",RETORNOS!H140)</f>
        <v>-0.01615983447</v>
      </c>
      <c r="D140" s="7">
        <f>IF(RETORNOS!I140="","",RETORNOS!I140)</f>
        <v>-0.001047259727</v>
      </c>
      <c r="E140" s="7">
        <f t="shared" si="2"/>
        <v>-0.008603547097</v>
      </c>
      <c r="F140" s="7">
        <f t="shared" si="3"/>
        <v>0.01634709149</v>
      </c>
      <c r="G140" s="7">
        <f t="shared" si="4"/>
        <v>0.008790804124</v>
      </c>
      <c r="H140" s="5">
        <f t="shared" ref="H140:K140" si="140">IF(B140="","",H139*(1+B140))</f>
        <v>116.0004387</v>
      </c>
      <c r="I140" s="5">
        <f t="shared" si="140"/>
        <v>140.6361675</v>
      </c>
      <c r="J140" s="5">
        <f t="shared" si="140"/>
        <v>99.63017902</v>
      </c>
      <c r="K140" s="5">
        <f t="shared" si="140"/>
        <v>119.1302174</v>
      </c>
      <c r="L140" s="7">
        <f t="shared" si="6"/>
        <v>-0.03832380647</v>
      </c>
    </row>
    <row r="141" ht="15.75" customHeight="1">
      <c r="A141" s="4">
        <f>IF(RETORNOS!A141="","",RETORNOS!A141)</f>
        <v>44615</v>
      </c>
      <c r="B141" s="7">
        <f>IF(RETORNOS!B141="","",OPTIMIZACION!$B$5*RETORNOS!B141+OPTIMIZACION!$B$6*RETORNOS!C141+OPTIMIZACION!$B$7*RETORNOS!D141+OPTIMIZACION!$B$8*RETORNOS!E141+OPTIMIZACION!$B$9*RETORNOS!F141+OPTIMIZACION!$B$10*RETORNOS!G141)</f>
        <v>-0.004441532859</v>
      </c>
      <c r="C141" s="7">
        <f>IF(RETORNOS!H141="","",RETORNOS!H141)</f>
        <v>0.01030543958</v>
      </c>
      <c r="D141" s="7">
        <f>IF(RETORNOS!I141="","",RETORNOS!I141)</f>
        <v>-0.01694104952</v>
      </c>
      <c r="E141" s="7">
        <f t="shared" si="2"/>
        <v>-0.003317804971</v>
      </c>
      <c r="F141" s="7">
        <f t="shared" si="3"/>
        <v>-0.01474697243</v>
      </c>
      <c r="G141" s="7">
        <f t="shared" si="4"/>
        <v>-0.001123727887</v>
      </c>
      <c r="H141" s="5">
        <f t="shared" ref="H141:K141" si="141">IF(B141="","",H140*(1+B141))</f>
        <v>115.4852189</v>
      </c>
      <c r="I141" s="5">
        <f t="shared" si="141"/>
        <v>142.085485</v>
      </c>
      <c r="J141" s="5">
        <f t="shared" si="141"/>
        <v>97.94233923</v>
      </c>
      <c r="K141" s="5">
        <f t="shared" si="141"/>
        <v>118.7349666</v>
      </c>
      <c r="L141" s="7">
        <f t="shared" si="6"/>
        <v>-0.04259512289</v>
      </c>
    </row>
    <row r="142" ht="15.75" customHeight="1">
      <c r="A142" s="4">
        <f>IF(RETORNOS!A142="","",RETORNOS!A142)</f>
        <v>44616</v>
      </c>
      <c r="B142" s="7">
        <f>IF(RETORNOS!B142="","",OPTIMIZACION!$B$5*RETORNOS!B142+OPTIMIZACION!$B$6*RETORNOS!C142+OPTIMIZACION!$B$7*RETORNOS!D142+OPTIMIZACION!$B$8*RETORNOS!E142+OPTIMIZACION!$B$9*RETORNOS!F142+OPTIMIZACION!$B$10*RETORNOS!G142)</f>
        <v>-0.002141120996</v>
      </c>
      <c r="C142" s="7">
        <f>IF(RETORNOS!H142="","",RETORNOS!H142)</f>
        <v>-0.007835375218</v>
      </c>
      <c r="D142" s="7">
        <f>IF(RETORNOS!I142="","",RETORNOS!I142)</f>
        <v>0.008006864019</v>
      </c>
      <c r="E142" s="7">
        <f t="shared" si="2"/>
        <v>0.00008574440062</v>
      </c>
      <c r="F142" s="7">
        <f t="shared" si="3"/>
        <v>0.005694254222</v>
      </c>
      <c r="G142" s="7">
        <f t="shared" si="4"/>
        <v>-0.002226865396</v>
      </c>
      <c r="H142" s="5">
        <f t="shared" ref="H142:K142" si="142">IF(B142="","",H141*(1+B142))</f>
        <v>115.2379511</v>
      </c>
      <c r="I142" s="5">
        <f t="shared" si="142"/>
        <v>140.9721919</v>
      </c>
      <c r="J142" s="5">
        <f t="shared" si="142"/>
        <v>98.72655022</v>
      </c>
      <c r="K142" s="5">
        <f t="shared" si="142"/>
        <v>118.7451474</v>
      </c>
      <c r="L142" s="7">
        <f t="shared" si="6"/>
        <v>-0.04464504257</v>
      </c>
    </row>
    <row r="143" ht="15.75" customHeight="1">
      <c r="A143" s="4">
        <f>IF(RETORNOS!A143="","",RETORNOS!A143)</f>
        <v>44617</v>
      </c>
      <c r="B143" s="7">
        <f>IF(RETORNOS!B143="","",OPTIMIZACION!$B$5*RETORNOS!B143+OPTIMIZACION!$B$6*RETORNOS!C143+OPTIMIZACION!$B$7*RETORNOS!D143+OPTIMIZACION!$B$8*RETORNOS!E143+OPTIMIZACION!$B$9*RETORNOS!F143+OPTIMIZACION!$B$10*RETORNOS!G143)</f>
        <v>0.02536490028</v>
      </c>
      <c r="C143" s="7">
        <f>IF(RETORNOS!H143="","",RETORNOS!H143)</f>
        <v>0.02637118466</v>
      </c>
      <c r="D143" s="7">
        <f>IF(RETORNOS!I143="","",RETORNOS!I143)</f>
        <v>0.03095977366</v>
      </c>
      <c r="E143" s="7">
        <f t="shared" si="2"/>
        <v>0.02866547916</v>
      </c>
      <c r="F143" s="7">
        <f t="shared" si="3"/>
        <v>-0.001006284379</v>
      </c>
      <c r="G143" s="7">
        <f t="shared" si="4"/>
        <v>-0.003300578881</v>
      </c>
      <c r="H143" s="5">
        <f t="shared" ref="H143:K143" si="143">IF(B143="","",H142*(1+B143))</f>
        <v>118.1609502</v>
      </c>
      <c r="I143" s="5">
        <f t="shared" si="143"/>
        <v>144.6897956</v>
      </c>
      <c r="J143" s="5">
        <f t="shared" si="143"/>
        <v>101.7831019</v>
      </c>
      <c r="K143" s="5">
        <f t="shared" si="143"/>
        <v>122.149034</v>
      </c>
      <c r="L143" s="7">
        <f t="shared" si="6"/>
        <v>-0.02041255934</v>
      </c>
    </row>
    <row r="144" ht="15.75" customHeight="1">
      <c r="A144" s="4">
        <f>IF(RETORNOS!A144="","",RETORNOS!A144)</f>
        <v>44620</v>
      </c>
      <c r="B144" s="7">
        <f>IF(RETORNOS!B144="","",OPTIMIZACION!$B$5*RETORNOS!B144+OPTIMIZACION!$B$6*RETORNOS!C144+OPTIMIZACION!$B$7*RETORNOS!D144+OPTIMIZACION!$B$8*RETORNOS!E144+OPTIMIZACION!$B$9*RETORNOS!F144+OPTIMIZACION!$B$10*RETORNOS!G144)</f>
        <v>0.004870142476</v>
      </c>
      <c r="C144" s="7">
        <f>IF(RETORNOS!H144="","",RETORNOS!H144)</f>
        <v>0.02467820148</v>
      </c>
      <c r="D144" s="7">
        <f>IF(RETORNOS!I144="","",RETORNOS!I144)</f>
        <v>0.005184395338</v>
      </c>
      <c r="E144" s="7">
        <f t="shared" si="2"/>
        <v>0.01493129841</v>
      </c>
      <c r="F144" s="7">
        <f t="shared" si="3"/>
        <v>-0.019808059</v>
      </c>
      <c r="G144" s="7">
        <f t="shared" si="4"/>
        <v>-0.01006115593</v>
      </c>
      <c r="H144" s="5">
        <f t="shared" ref="H144:K144" si="144">IF(B144="","",H143*(1+B144))</f>
        <v>118.7364109</v>
      </c>
      <c r="I144" s="5">
        <f t="shared" si="144"/>
        <v>148.2604796</v>
      </c>
      <c r="J144" s="5">
        <f t="shared" si="144"/>
        <v>102.3107857</v>
      </c>
      <c r="K144" s="5">
        <f t="shared" si="144"/>
        <v>123.9728776</v>
      </c>
      <c r="L144" s="7">
        <f t="shared" si="6"/>
        <v>-0.01564182894</v>
      </c>
    </row>
    <row r="145" ht="15.75" customHeight="1">
      <c r="A145" s="4">
        <f>IF(RETORNOS!A145="","",RETORNOS!A145)</f>
        <v>44621</v>
      </c>
      <c r="B145" s="7">
        <f>IF(RETORNOS!B145="","",OPTIMIZACION!$B$5*RETORNOS!B145+OPTIMIZACION!$B$6*RETORNOS!C145+OPTIMIZACION!$B$7*RETORNOS!D145+OPTIMIZACION!$B$8*RETORNOS!E145+OPTIMIZACION!$B$9*RETORNOS!F145+OPTIMIZACION!$B$10*RETORNOS!G145)</f>
        <v>-0.003109938606</v>
      </c>
      <c r="C145" s="7">
        <f>IF(RETORNOS!H145="","",RETORNOS!H145)</f>
        <v>0.01007309535</v>
      </c>
      <c r="D145" s="7">
        <f>IF(RETORNOS!I145="","",RETORNOS!I145)</f>
        <v>-0.008689203839</v>
      </c>
      <c r="E145" s="7">
        <f t="shared" si="2"/>
        <v>0.0006919457561</v>
      </c>
      <c r="F145" s="7">
        <f t="shared" si="3"/>
        <v>-0.01318303396</v>
      </c>
      <c r="G145" s="7">
        <f t="shared" si="4"/>
        <v>-0.003801884362</v>
      </c>
      <c r="H145" s="5">
        <f t="shared" ref="H145:K145" si="145">IF(B145="","",H144*(1+B145))</f>
        <v>118.3671479</v>
      </c>
      <c r="I145" s="5">
        <f t="shared" si="145"/>
        <v>149.7539215</v>
      </c>
      <c r="J145" s="5">
        <f t="shared" si="145"/>
        <v>101.4217864</v>
      </c>
      <c r="K145" s="5">
        <f t="shared" si="145"/>
        <v>124.0586601</v>
      </c>
      <c r="L145" s="7">
        <f t="shared" si="6"/>
        <v>-0.01870312242</v>
      </c>
    </row>
    <row r="146" ht="15.75" customHeight="1">
      <c r="A146" s="4">
        <f>IF(RETORNOS!A146="","",RETORNOS!A146)</f>
        <v>44622</v>
      </c>
      <c r="B146" s="7">
        <f>IF(RETORNOS!B146="","",OPTIMIZACION!$B$5*RETORNOS!B146+OPTIMIZACION!$B$6*RETORNOS!C146+OPTIMIZACION!$B$7*RETORNOS!D146+OPTIMIZACION!$B$8*RETORNOS!E146+OPTIMIZACION!$B$9*RETORNOS!F146+OPTIMIZACION!$B$10*RETORNOS!G146)</f>
        <v>0.02538126061</v>
      </c>
      <c r="C146" s="7">
        <f>IF(RETORNOS!H146="","",RETORNOS!H146)</f>
        <v>0.02285288737</v>
      </c>
      <c r="D146" s="7">
        <f>IF(RETORNOS!I146="","",RETORNOS!I146)</f>
        <v>0.01219033562</v>
      </c>
      <c r="E146" s="7">
        <f t="shared" si="2"/>
        <v>0.0175216115</v>
      </c>
      <c r="F146" s="7">
        <f t="shared" si="3"/>
        <v>0.002528373237</v>
      </c>
      <c r="G146" s="7">
        <f t="shared" si="4"/>
        <v>0.007859649113</v>
      </c>
      <c r="H146" s="5">
        <f t="shared" ref="H146:K146" si="146">IF(B146="","",H145*(1+B146))</f>
        <v>121.3714553</v>
      </c>
      <c r="I146" s="5">
        <f t="shared" si="146"/>
        <v>153.176231</v>
      </c>
      <c r="J146" s="5">
        <f t="shared" si="146"/>
        <v>102.6581521</v>
      </c>
      <c r="K146" s="5">
        <f t="shared" si="146"/>
        <v>126.2323678</v>
      </c>
      <c r="L146" s="7">
        <f t="shared" si="6"/>
        <v>0</v>
      </c>
    </row>
    <row r="147" ht="15.75" customHeight="1">
      <c r="A147" s="4">
        <f>IF(RETORNOS!A147="","",RETORNOS!A147)</f>
        <v>44623</v>
      </c>
      <c r="B147" s="7">
        <f>IF(RETORNOS!B147="","",OPTIMIZACION!$B$5*RETORNOS!B147+OPTIMIZACION!$B$6*RETORNOS!C147+OPTIMIZACION!$B$7*RETORNOS!D147+OPTIMIZACION!$B$8*RETORNOS!E147+OPTIMIZACION!$B$9*RETORNOS!F147+OPTIMIZACION!$B$10*RETORNOS!G147)</f>
        <v>0.007324613784</v>
      </c>
      <c r="C147" s="7">
        <f>IF(RETORNOS!H147="","",RETORNOS!H147)</f>
        <v>0.002747678876</v>
      </c>
      <c r="D147" s="7">
        <f>IF(RETORNOS!I147="","",RETORNOS!I147)</f>
        <v>0.01760130444</v>
      </c>
      <c r="E147" s="7">
        <f t="shared" si="2"/>
        <v>0.01017449166</v>
      </c>
      <c r="F147" s="7">
        <f t="shared" si="3"/>
        <v>0.004576934908</v>
      </c>
      <c r="G147" s="7">
        <f t="shared" si="4"/>
        <v>-0.002849877874</v>
      </c>
      <c r="H147" s="5">
        <f t="shared" ref="H147:K147" si="147">IF(B147="","",H146*(1+B147))</f>
        <v>122.2604544</v>
      </c>
      <c r="I147" s="5">
        <f t="shared" si="147"/>
        <v>153.5971101</v>
      </c>
      <c r="J147" s="5">
        <f t="shared" si="147"/>
        <v>104.4650694</v>
      </c>
      <c r="K147" s="5">
        <f t="shared" si="147"/>
        <v>127.516718</v>
      </c>
      <c r="L147" s="7">
        <f t="shared" si="6"/>
        <v>0</v>
      </c>
    </row>
    <row r="148" ht="15.75" customHeight="1">
      <c r="A148" s="4">
        <f>IF(RETORNOS!A148="","",RETORNOS!A148)</f>
        <v>44624</v>
      </c>
      <c r="B148" s="7">
        <f>IF(RETORNOS!B148="","",OPTIMIZACION!$B$5*RETORNOS!B148+OPTIMIZACION!$B$6*RETORNOS!C148+OPTIMIZACION!$B$7*RETORNOS!D148+OPTIMIZACION!$B$8*RETORNOS!E148+OPTIMIZACION!$B$9*RETORNOS!F148+OPTIMIZACION!$B$10*RETORNOS!G148)</f>
        <v>0.01238464715</v>
      </c>
      <c r="C148" s="7">
        <f>IF(RETORNOS!H148="","",RETORNOS!H148)</f>
        <v>0.02885049452</v>
      </c>
      <c r="D148" s="7">
        <f>IF(RETORNOS!I148="","",RETORNOS!I148)</f>
        <v>0.0220452695</v>
      </c>
      <c r="E148" s="7">
        <f t="shared" si="2"/>
        <v>0.02544788201</v>
      </c>
      <c r="F148" s="7">
        <f t="shared" si="3"/>
        <v>-0.01646584737</v>
      </c>
      <c r="G148" s="7">
        <f t="shared" si="4"/>
        <v>-0.01306323486</v>
      </c>
      <c r="H148" s="5">
        <f t="shared" ref="H148:K148" si="148">IF(B148="","",H147*(1+B148))</f>
        <v>123.774607</v>
      </c>
      <c r="I148" s="5">
        <f t="shared" si="148"/>
        <v>158.0284627</v>
      </c>
      <c r="J148" s="5">
        <f t="shared" si="148"/>
        <v>106.76803</v>
      </c>
      <c r="K148" s="5">
        <f t="shared" si="148"/>
        <v>130.7617484</v>
      </c>
      <c r="L148" s="7">
        <f t="shared" si="6"/>
        <v>0</v>
      </c>
    </row>
    <row r="149" ht="15.75" customHeight="1">
      <c r="A149" s="4">
        <f>IF(RETORNOS!A149="","",RETORNOS!A149)</f>
        <v>44627</v>
      </c>
      <c r="B149" s="7">
        <f>IF(RETORNOS!B149="","",OPTIMIZACION!$B$5*RETORNOS!B149+OPTIMIZACION!$B$6*RETORNOS!C149+OPTIMIZACION!$B$7*RETORNOS!D149+OPTIMIZACION!$B$8*RETORNOS!E149+OPTIMIZACION!$B$9*RETORNOS!F149+OPTIMIZACION!$B$10*RETORNOS!G149)</f>
        <v>0.005370228668</v>
      </c>
      <c r="C149" s="7">
        <f>IF(RETORNOS!H149="","",RETORNOS!H149)</f>
        <v>0.01476481237</v>
      </c>
      <c r="D149" s="7">
        <f>IF(RETORNOS!I149="","",RETORNOS!I149)</f>
        <v>0.01298200555</v>
      </c>
      <c r="E149" s="7">
        <f t="shared" si="2"/>
        <v>0.01387340896</v>
      </c>
      <c r="F149" s="7">
        <f t="shared" si="3"/>
        <v>-0.009394583704</v>
      </c>
      <c r="G149" s="7">
        <f t="shared" si="4"/>
        <v>-0.008503180293</v>
      </c>
      <c r="H149" s="5">
        <f t="shared" ref="H149:K149" si="149">IF(B149="","",H148*(1+B149))</f>
        <v>124.4393049</v>
      </c>
      <c r="I149" s="5">
        <f t="shared" si="149"/>
        <v>160.3617233</v>
      </c>
      <c r="J149" s="5">
        <f t="shared" si="149"/>
        <v>108.1540932</v>
      </c>
      <c r="K149" s="5">
        <f t="shared" si="149"/>
        <v>132.5758596</v>
      </c>
      <c r="L149" s="7">
        <f t="shared" si="6"/>
        <v>0</v>
      </c>
    </row>
    <row r="150" ht="15.75" customHeight="1">
      <c r="A150" s="4">
        <f>IF(RETORNOS!A150="","",RETORNOS!A150)</f>
        <v>44628</v>
      </c>
      <c r="B150" s="7">
        <f>IF(RETORNOS!B150="","",OPTIMIZACION!$B$5*RETORNOS!B150+OPTIMIZACION!$B$6*RETORNOS!C150+OPTIMIZACION!$B$7*RETORNOS!D150+OPTIMIZACION!$B$8*RETORNOS!E150+OPTIMIZACION!$B$9*RETORNOS!F150+OPTIMIZACION!$B$10*RETORNOS!G150)</f>
        <v>0.002503834255</v>
      </c>
      <c r="C150" s="7">
        <f>IF(RETORNOS!H150="","",RETORNOS!H150)</f>
        <v>0.01570805692</v>
      </c>
      <c r="D150" s="7">
        <f>IF(RETORNOS!I150="","",RETORNOS!I150)</f>
        <v>-0.01544859434</v>
      </c>
      <c r="E150" s="7">
        <f t="shared" si="2"/>
        <v>0.0001297312898</v>
      </c>
      <c r="F150" s="7">
        <f t="shared" si="3"/>
        <v>-0.01320422266</v>
      </c>
      <c r="G150" s="7">
        <f t="shared" si="4"/>
        <v>0.002374102965</v>
      </c>
      <c r="H150" s="5">
        <f t="shared" ref="H150:K150" si="150">IF(B150="","",H149*(1+B150))</f>
        <v>124.7508803</v>
      </c>
      <c r="I150" s="5">
        <f t="shared" si="150"/>
        <v>162.8806944</v>
      </c>
      <c r="J150" s="5">
        <f t="shared" si="150"/>
        <v>106.4832645</v>
      </c>
      <c r="K150" s="5">
        <f t="shared" si="150"/>
        <v>132.5930588</v>
      </c>
      <c r="L150" s="7">
        <f t="shared" si="6"/>
        <v>0</v>
      </c>
    </row>
    <row r="151" ht="15.75" customHeight="1">
      <c r="A151" s="4">
        <f>IF(RETORNOS!A151="","",RETORNOS!A151)</f>
        <v>44629</v>
      </c>
      <c r="B151" s="7">
        <f>IF(RETORNOS!B151="","",OPTIMIZACION!$B$5*RETORNOS!B151+OPTIMIZACION!$B$6*RETORNOS!C151+OPTIMIZACION!$B$7*RETORNOS!D151+OPTIMIZACION!$B$8*RETORNOS!E151+OPTIMIZACION!$B$9*RETORNOS!F151+OPTIMIZACION!$B$10*RETORNOS!G151)</f>
        <v>-0.01042777977</v>
      </c>
      <c r="C151" s="7">
        <f>IF(RETORNOS!H151="","",RETORNOS!H151)</f>
        <v>-0.03055218998</v>
      </c>
      <c r="D151" s="7">
        <f>IF(RETORNOS!I151="","",RETORNOS!I151)</f>
        <v>-0.007077084305</v>
      </c>
      <c r="E151" s="7">
        <f t="shared" si="2"/>
        <v>-0.01881463714</v>
      </c>
      <c r="F151" s="7">
        <f t="shared" si="3"/>
        <v>0.0201244102</v>
      </c>
      <c r="G151" s="7">
        <f t="shared" si="4"/>
        <v>0.008386857368</v>
      </c>
      <c r="H151" s="5">
        <f t="shared" ref="H151:K151" si="151">IF(B151="","",H150*(1+B151))</f>
        <v>123.4500056</v>
      </c>
      <c r="I151" s="5">
        <f t="shared" si="151"/>
        <v>157.9043324</v>
      </c>
      <c r="J151" s="5">
        <f t="shared" si="151"/>
        <v>105.7296735</v>
      </c>
      <c r="K151" s="5">
        <f t="shared" si="151"/>
        <v>130.0983685</v>
      </c>
      <c r="L151" s="7">
        <f t="shared" si="6"/>
        <v>-0.01042777977</v>
      </c>
    </row>
    <row r="152" ht="15.75" customHeight="1">
      <c r="A152" s="4">
        <f>IF(RETORNOS!A152="","",RETORNOS!A152)</f>
        <v>44630</v>
      </c>
      <c r="B152" s="7">
        <f>IF(RETORNOS!B152="","",OPTIMIZACION!$B$5*RETORNOS!B152+OPTIMIZACION!$B$6*RETORNOS!C152+OPTIMIZACION!$B$7*RETORNOS!D152+OPTIMIZACION!$B$8*RETORNOS!E152+OPTIMIZACION!$B$9*RETORNOS!F152+OPTIMIZACION!$B$10*RETORNOS!G152)</f>
        <v>0.01908481123</v>
      </c>
      <c r="C152" s="7">
        <f>IF(RETORNOS!H152="","",RETORNOS!H152)</f>
        <v>0.03058767895</v>
      </c>
      <c r="D152" s="7">
        <f>IF(RETORNOS!I152="","",RETORNOS!I152)</f>
        <v>0.006699553041</v>
      </c>
      <c r="E152" s="7">
        <f t="shared" si="2"/>
        <v>0.01864361599</v>
      </c>
      <c r="F152" s="7">
        <f t="shared" si="3"/>
        <v>-0.01150286772</v>
      </c>
      <c r="G152" s="7">
        <f t="shared" si="4"/>
        <v>0.0004411952344</v>
      </c>
      <c r="H152" s="5">
        <f t="shared" ref="H152:K152" si="152">IF(B152="","",H151*(1+B152))</f>
        <v>125.8060257</v>
      </c>
      <c r="I152" s="5">
        <f t="shared" si="152"/>
        <v>162.7342595</v>
      </c>
      <c r="J152" s="5">
        <f t="shared" si="152"/>
        <v>106.438015</v>
      </c>
      <c r="K152" s="5">
        <f t="shared" si="152"/>
        <v>132.5238725</v>
      </c>
      <c r="L152" s="7">
        <f t="shared" si="6"/>
        <v>0</v>
      </c>
    </row>
    <row r="153" ht="15.75" customHeight="1">
      <c r="A153" s="4">
        <f>IF(RETORNOS!A153="","",RETORNOS!A153)</f>
        <v>44631</v>
      </c>
      <c r="B153" s="7">
        <f>IF(RETORNOS!B153="","",OPTIMIZACION!$B$5*RETORNOS!B153+OPTIMIZACION!$B$6*RETORNOS!C153+OPTIMIZACION!$B$7*RETORNOS!D153+OPTIMIZACION!$B$8*RETORNOS!E153+OPTIMIZACION!$B$9*RETORNOS!F153+OPTIMIZACION!$B$10*RETORNOS!G153)</f>
        <v>-0.009780545002</v>
      </c>
      <c r="C153" s="7">
        <f>IF(RETORNOS!H153="","",RETORNOS!H153)</f>
        <v>-0.008000238368</v>
      </c>
      <c r="D153" s="7">
        <f>IF(RETORNOS!I153="","",RETORNOS!I153)</f>
        <v>-0.003391412471</v>
      </c>
      <c r="E153" s="7">
        <f t="shared" si="2"/>
        <v>-0.005695825419</v>
      </c>
      <c r="F153" s="7">
        <f t="shared" si="3"/>
        <v>-0.001780306633</v>
      </c>
      <c r="G153" s="7">
        <f t="shared" si="4"/>
        <v>-0.004084719582</v>
      </c>
      <c r="H153" s="5">
        <f t="shared" ref="H153:K153" si="153">IF(B153="","",H152*(1+B153))</f>
        <v>124.5755742</v>
      </c>
      <c r="I153" s="5">
        <f t="shared" si="153"/>
        <v>161.4323466</v>
      </c>
      <c r="J153" s="5">
        <f t="shared" si="153"/>
        <v>106.0770398</v>
      </c>
      <c r="K153" s="5">
        <f t="shared" si="153"/>
        <v>131.7690397</v>
      </c>
      <c r="L153" s="7">
        <f t="shared" si="6"/>
        <v>-0.009780545002</v>
      </c>
    </row>
    <row r="154" ht="15.75" customHeight="1">
      <c r="A154" s="4">
        <f>IF(RETORNOS!A154="","",RETORNOS!A154)</f>
        <v>44634</v>
      </c>
      <c r="B154" s="7">
        <f>IF(RETORNOS!B154="","",OPTIMIZACION!$B$5*RETORNOS!B154+OPTIMIZACION!$B$6*RETORNOS!C154+OPTIMIZACION!$B$7*RETORNOS!D154+OPTIMIZACION!$B$8*RETORNOS!E154+OPTIMIZACION!$B$9*RETORNOS!F154+OPTIMIZACION!$B$10*RETORNOS!G154)</f>
        <v>-0.01669380872</v>
      </c>
      <c r="C154" s="7">
        <f>IF(RETORNOS!H154="","",RETORNOS!H154)</f>
        <v>-0.0299252095</v>
      </c>
      <c r="D154" s="7">
        <f>IF(RETORNOS!I154="","",RETORNOS!I154)</f>
        <v>-0.001148216096</v>
      </c>
      <c r="E154" s="7">
        <f t="shared" si="2"/>
        <v>-0.0155367128</v>
      </c>
      <c r="F154" s="7">
        <f t="shared" si="3"/>
        <v>0.01323140078</v>
      </c>
      <c r="G154" s="7">
        <f t="shared" si="4"/>
        <v>-0.001157095923</v>
      </c>
      <c r="H154" s="5">
        <f t="shared" ref="H154:K154" si="154">IF(B154="","",H153*(1+B154))</f>
        <v>122.4959334</v>
      </c>
      <c r="I154" s="5">
        <f t="shared" si="154"/>
        <v>156.6014498</v>
      </c>
      <c r="J154" s="5">
        <f t="shared" si="154"/>
        <v>105.9552404</v>
      </c>
      <c r="K154" s="5">
        <f t="shared" si="154"/>
        <v>129.721782</v>
      </c>
      <c r="L154" s="7">
        <f t="shared" si="6"/>
        <v>-0.02631107918</v>
      </c>
    </row>
    <row r="155" ht="15.75" customHeight="1">
      <c r="A155" s="4">
        <f>IF(RETORNOS!A155="","",RETORNOS!A155)</f>
        <v>44635</v>
      </c>
      <c r="B155" s="7">
        <f>IF(RETORNOS!B155="","",OPTIMIZACION!$B$5*RETORNOS!B155+OPTIMIZACION!$B$6*RETORNOS!C155+OPTIMIZACION!$B$7*RETORNOS!D155+OPTIMIZACION!$B$8*RETORNOS!E155+OPTIMIZACION!$B$9*RETORNOS!F155+OPTIMIZACION!$B$10*RETORNOS!G155)</f>
        <v>-0.01715751479</v>
      </c>
      <c r="C155" s="7">
        <f>IF(RETORNOS!H155="","",RETORNOS!H155)</f>
        <v>-0.03661364783</v>
      </c>
      <c r="D155" s="7">
        <f>IF(RETORNOS!I155="","",RETORNOS!I155)</f>
        <v>0.01279581286</v>
      </c>
      <c r="E155" s="7">
        <f t="shared" si="2"/>
        <v>-0.01190891749</v>
      </c>
      <c r="F155" s="7">
        <f t="shared" si="3"/>
        <v>0.01945613304</v>
      </c>
      <c r="G155" s="7">
        <f t="shared" si="4"/>
        <v>-0.005248597305</v>
      </c>
      <c r="H155" s="5">
        <f t="shared" ref="H155:K155" si="155">IF(B155="","",H154*(1+B155))</f>
        <v>120.3942076</v>
      </c>
      <c r="I155" s="5">
        <f t="shared" si="155"/>
        <v>150.8676995</v>
      </c>
      <c r="J155" s="5">
        <f t="shared" si="155"/>
        <v>107.3110239</v>
      </c>
      <c r="K155" s="5">
        <f t="shared" si="155"/>
        <v>128.176936</v>
      </c>
      <c r="L155" s="7">
        <f t="shared" si="6"/>
        <v>-0.04301716124</v>
      </c>
    </row>
    <row r="156" ht="15.75" customHeight="1">
      <c r="A156" s="4">
        <f>IF(RETORNOS!A156="","",RETORNOS!A156)</f>
        <v>44636</v>
      </c>
      <c r="B156" s="7">
        <f>IF(RETORNOS!B156="","",OPTIMIZACION!$B$5*RETORNOS!B156+OPTIMIZACION!$B$6*RETORNOS!C156+OPTIMIZACION!$B$7*RETORNOS!D156+OPTIMIZACION!$B$8*RETORNOS!E156+OPTIMIZACION!$B$9*RETORNOS!F156+OPTIMIZACION!$B$10*RETORNOS!G156)</f>
        <v>0.002484168519</v>
      </c>
      <c r="C156" s="7">
        <f>IF(RETORNOS!H156="","",RETORNOS!H156)</f>
        <v>-0.004595972257</v>
      </c>
      <c r="D156" s="7">
        <f>IF(RETORNOS!I156="","",RETORNOS!I156)</f>
        <v>-0.001822995102</v>
      </c>
      <c r="E156" s="7">
        <f t="shared" si="2"/>
        <v>-0.003209483679</v>
      </c>
      <c r="F156" s="7">
        <f t="shared" si="3"/>
        <v>0.007080140776</v>
      </c>
      <c r="G156" s="7">
        <f t="shared" si="4"/>
        <v>0.005693652198</v>
      </c>
      <c r="H156" s="5">
        <f t="shared" ref="H156:K156" si="156">IF(B156="","",H155*(1+B156))</f>
        <v>120.6932871</v>
      </c>
      <c r="I156" s="5">
        <f t="shared" si="156"/>
        <v>150.1743157</v>
      </c>
      <c r="J156" s="5">
        <f t="shared" si="156"/>
        <v>107.1153964</v>
      </c>
      <c r="K156" s="5">
        <f t="shared" si="156"/>
        <v>127.7655542</v>
      </c>
      <c r="L156" s="7">
        <f t="shared" si="6"/>
        <v>-0.0406398546</v>
      </c>
    </row>
    <row r="157" ht="15.75" customHeight="1">
      <c r="A157" s="4">
        <f>IF(RETORNOS!A157="","",RETORNOS!A157)</f>
        <v>44637</v>
      </c>
      <c r="B157" s="7">
        <f>IF(RETORNOS!B157="","",OPTIMIZACION!$B$5*RETORNOS!B157+OPTIMIZACION!$B$6*RETORNOS!C157+OPTIMIZACION!$B$7*RETORNOS!D157+OPTIMIZACION!$B$8*RETORNOS!E157+OPTIMIZACION!$B$9*RETORNOS!F157+OPTIMIZACION!$B$10*RETORNOS!G157)</f>
        <v>0.0115727108</v>
      </c>
      <c r="C157" s="7">
        <f>IF(RETORNOS!H157="","",RETORNOS!H157)</f>
        <v>0.03439647156</v>
      </c>
      <c r="D157" s="7">
        <f>IF(RETORNOS!I157="","",RETORNOS!I157)</f>
        <v>0.004224367933</v>
      </c>
      <c r="E157" s="7">
        <f t="shared" si="2"/>
        <v>0.01931041975</v>
      </c>
      <c r="F157" s="7">
        <f t="shared" si="3"/>
        <v>-0.02282376076</v>
      </c>
      <c r="G157" s="7">
        <f t="shared" si="4"/>
        <v>-0.007737708944</v>
      </c>
      <c r="H157" s="5">
        <f t="shared" ref="H157:K157" si="157">IF(B157="","",H156*(1+B157))</f>
        <v>122.0900356</v>
      </c>
      <c r="I157" s="5">
        <f t="shared" si="157"/>
        <v>155.3397823</v>
      </c>
      <c r="J157" s="5">
        <f t="shared" si="157"/>
        <v>107.5678912</v>
      </c>
      <c r="K157" s="5">
        <f t="shared" si="157"/>
        <v>130.2327607</v>
      </c>
      <c r="L157" s="7">
        <f t="shared" si="6"/>
        <v>-0.02953745708</v>
      </c>
    </row>
    <row r="158" ht="15.75" customHeight="1">
      <c r="A158" s="4">
        <f>IF(RETORNOS!A158="","",RETORNOS!A158)</f>
        <v>44638</v>
      </c>
      <c r="B158" s="7">
        <f>IF(RETORNOS!B158="","",OPTIMIZACION!$B$5*RETORNOS!B158+OPTIMIZACION!$B$6*RETORNOS!C158+OPTIMIZACION!$B$7*RETORNOS!D158+OPTIMIZACION!$B$8*RETORNOS!E158+OPTIMIZACION!$B$9*RETORNOS!F158+OPTIMIZACION!$B$10*RETORNOS!G158)</f>
        <v>-0.004023289656</v>
      </c>
      <c r="C158" s="7">
        <f>IF(RETORNOS!H158="","",RETORNOS!H158)</f>
        <v>-0.000939553322</v>
      </c>
      <c r="D158" s="7">
        <f>IF(RETORNOS!I158="","",RETORNOS!I158)</f>
        <v>-0.008546035361</v>
      </c>
      <c r="E158" s="7">
        <f t="shared" si="2"/>
        <v>-0.004742794341</v>
      </c>
      <c r="F158" s="7">
        <f t="shared" si="3"/>
        <v>-0.003083736334</v>
      </c>
      <c r="G158" s="7">
        <f t="shared" si="4"/>
        <v>0.0007195046851</v>
      </c>
      <c r="H158" s="5">
        <f t="shared" ref="H158:K158" si="158">IF(B158="","",H157*(1+B158))</f>
        <v>121.598832</v>
      </c>
      <c r="I158" s="5">
        <f t="shared" si="158"/>
        <v>155.1938323</v>
      </c>
      <c r="J158" s="5">
        <f t="shared" si="158"/>
        <v>106.6486122</v>
      </c>
      <c r="K158" s="5">
        <f t="shared" si="158"/>
        <v>129.6150935</v>
      </c>
      <c r="L158" s="7">
        <f t="shared" si="6"/>
        <v>-0.03344190899</v>
      </c>
    </row>
    <row r="159" ht="15.75" customHeight="1">
      <c r="A159" s="4">
        <f>IF(RETORNOS!A159="","",RETORNOS!A159)</f>
        <v>44641</v>
      </c>
      <c r="B159" s="7">
        <f>IF(RETORNOS!B159="","",OPTIMIZACION!$B$5*RETORNOS!B159+OPTIMIZACION!$B$6*RETORNOS!C159+OPTIMIZACION!$B$7*RETORNOS!D159+OPTIMIZACION!$B$8*RETORNOS!E159+OPTIMIZACION!$B$9*RETORNOS!F159+OPTIMIZACION!$B$10*RETORNOS!G159)</f>
        <v>0.0238436834</v>
      </c>
      <c r="C159" s="7">
        <f>IF(RETORNOS!H159="","",RETORNOS!H159)</f>
        <v>0.04031068786</v>
      </c>
      <c r="D159" s="7">
        <f>IF(RETORNOS!I159="","",RETORNOS!I159)</f>
        <v>0.006680107698</v>
      </c>
      <c r="E159" s="7">
        <f t="shared" si="2"/>
        <v>0.02349539778</v>
      </c>
      <c r="F159" s="7">
        <f t="shared" si="3"/>
        <v>-0.01646700446</v>
      </c>
      <c r="G159" s="7">
        <f t="shared" si="4"/>
        <v>0.0003482856174</v>
      </c>
      <c r="H159" s="5">
        <f t="shared" ref="H159:K159" si="159">IF(B159="","",H158*(1+B159))</f>
        <v>124.498196</v>
      </c>
      <c r="I159" s="5">
        <f t="shared" si="159"/>
        <v>161.4498024</v>
      </c>
      <c r="J159" s="5">
        <f t="shared" si="159"/>
        <v>107.3610365</v>
      </c>
      <c r="K159" s="5">
        <f t="shared" si="159"/>
        <v>132.6604517</v>
      </c>
      <c r="L159" s="7">
        <f t="shared" si="6"/>
        <v>-0.01039560388</v>
      </c>
    </row>
    <row r="160" ht="15.75" customHeight="1">
      <c r="A160" s="4">
        <f>IF(RETORNOS!A160="","",RETORNOS!A160)</f>
        <v>44642</v>
      </c>
      <c r="B160" s="7">
        <f>IF(RETORNOS!B160="","",OPTIMIZACION!$B$5*RETORNOS!B160+OPTIMIZACION!$B$6*RETORNOS!C160+OPTIMIZACION!$B$7*RETORNOS!D160+OPTIMIZACION!$B$8*RETORNOS!E160+OPTIMIZACION!$B$9*RETORNOS!F160+OPTIMIZACION!$B$10*RETORNOS!G160)</f>
        <v>-0.0025993133</v>
      </c>
      <c r="C160" s="7">
        <f>IF(RETORNOS!H160="","",RETORNOS!H160)</f>
        <v>-0.007361111945</v>
      </c>
      <c r="D160" s="7">
        <f>IF(RETORNOS!I160="","",RETORNOS!I160)</f>
        <v>0.001410182468</v>
      </c>
      <c r="E160" s="7">
        <f t="shared" si="2"/>
        <v>-0.002975464739</v>
      </c>
      <c r="F160" s="7">
        <f t="shared" si="3"/>
        <v>0.004761798646</v>
      </c>
      <c r="G160" s="7">
        <f t="shared" si="4"/>
        <v>0.0003761514391</v>
      </c>
      <c r="H160" s="5">
        <f t="shared" ref="H160:K160" si="160">IF(B160="","",H159*(1+B160))</f>
        <v>124.1745862</v>
      </c>
      <c r="I160" s="5">
        <f t="shared" si="160"/>
        <v>160.2613523</v>
      </c>
      <c r="J160" s="5">
        <f t="shared" si="160"/>
        <v>107.5124351</v>
      </c>
      <c r="K160" s="5">
        <f t="shared" si="160"/>
        <v>132.2657252</v>
      </c>
      <c r="L160" s="7">
        <f t="shared" si="6"/>
        <v>-0.01296789575</v>
      </c>
    </row>
    <row r="161" ht="15.75" customHeight="1">
      <c r="A161" s="4">
        <f>IF(RETORNOS!A161="","",RETORNOS!A161)</f>
        <v>44643</v>
      </c>
      <c r="B161" s="7">
        <f>IF(RETORNOS!B161="","",OPTIMIZACION!$B$5*RETORNOS!B161+OPTIMIZACION!$B$6*RETORNOS!C161+OPTIMIZACION!$B$7*RETORNOS!D161+OPTIMIZACION!$B$8*RETORNOS!E161+OPTIMIZACION!$B$9*RETORNOS!F161+OPTIMIZACION!$B$10*RETORNOS!G161)</f>
        <v>0.005701219319</v>
      </c>
      <c r="C161" s="7">
        <f>IF(RETORNOS!H161="","",RETORNOS!H161)</f>
        <v>0.0172064808</v>
      </c>
      <c r="D161" s="7">
        <f>IF(RETORNOS!I161="","",RETORNOS!I161)</f>
        <v>0.001414525628</v>
      </c>
      <c r="E161" s="7">
        <f t="shared" si="2"/>
        <v>0.009310503211</v>
      </c>
      <c r="F161" s="7">
        <f t="shared" si="3"/>
        <v>-0.01150526148</v>
      </c>
      <c r="G161" s="7">
        <f t="shared" si="4"/>
        <v>-0.003609283892</v>
      </c>
      <c r="H161" s="5">
        <f t="shared" ref="H161:K161" si="161">IF(B161="","",H160*(1+B161))</f>
        <v>124.8825328</v>
      </c>
      <c r="I161" s="5">
        <f t="shared" si="161"/>
        <v>163.0188862</v>
      </c>
      <c r="J161" s="5">
        <f t="shared" si="161"/>
        <v>107.6645142</v>
      </c>
      <c r="K161" s="5">
        <f t="shared" si="161"/>
        <v>133.4971856</v>
      </c>
      <c r="L161" s="7">
        <f t="shared" si="6"/>
        <v>-0.007340609247</v>
      </c>
    </row>
    <row r="162" ht="15.75" customHeight="1">
      <c r="A162" s="4">
        <f>IF(RETORNOS!A162="","",RETORNOS!A162)</f>
        <v>44644</v>
      </c>
      <c r="B162" s="7">
        <f>IF(RETORNOS!B162="","",OPTIMIZACION!$B$5*RETORNOS!B162+OPTIMIZACION!$B$6*RETORNOS!C162+OPTIMIZACION!$B$7*RETORNOS!D162+OPTIMIZACION!$B$8*RETORNOS!E162+OPTIMIZACION!$B$9*RETORNOS!F162+OPTIMIZACION!$B$10*RETORNOS!G162)</f>
        <v>0.008614127876</v>
      </c>
      <c r="C162" s="7">
        <f>IF(RETORNOS!H162="","",RETORNOS!H162)</f>
        <v>0.002471728306</v>
      </c>
      <c r="D162" s="7">
        <f>IF(RETORNOS!I162="","",RETORNOS!I162)</f>
        <v>0.0102795351</v>
      </c>
      <c r="E162" s="7">
        <f t="shared" si="2"/>
        <v>0.006375631702</v>
      </c>
      <c r="F162" s="7">
        <f t="shared" si="3"/>
        <v>0.00614239957</v>
      </c>
      <c r="G162" s="7">
        <f t="shared" si="4"/>
        <v>0.002238496174</v>
      </c>
      <c r="H162" s="5">
        <f t="shared" ref="H162:K162" si="162">IF(B162="","",H161*(1+B162))</f>
        <v>125.9582869</v>
      </c>
      <c r="I162" s="5">
        <f t="shared" si="162"/>
        <v>163.4218246</v>
      </c>
      <c r="J162" s="5">
        <f t="shared" si="162"/>
        <v>108.7712553</v>
      </c>
      <c r="K162" s="5">
        <f t="shared" si="162"/>
        <v>134.3483145</v>
      </c>
      <c r="L162" s="7">
        <f t="shared" si="6"/>
        <v>0</v>
      </c>
    </row>
    <row r="163" ht="15.75" customHeight="1">
      <c r="A163" s="4">
        <f>IF(RETORNOS!A163="","",RETORNOS!A163)</f>
        <v>44645</v>
      </c>
      <c r="B163" s="7">
        <f>IF(RETORNOS!B163="","",OPTIMIZACION!$B$5*RETORNOS!B163+OPTIMIZACION!$B$6*RETORNOS!C163+OPTIMIZACION!$B$7*RETORNOS!D163+OPTIMIZACION!$B$8*RETORNOS!E163+OPTIMIZACION!$B$9*RETORNOS!F163+OPTIMIZACION!$B$10*RETORNOS!G163)</f>
        <v>0.02087590064</v>
      </c>
      <c r="C163" s="7">
        <f>IF(RETORNOS!H163="","",RETORNOS!H163)</f>
        <v>0.02192960333</v>
      </c>
      <c r="D163" s="7">
        <f>IF(RETORNOS!I163="","",RETORNOS!I163)</f>
        <v>0.01449139368</v>
      </c>
      <c r="E163" s="7">
        <f t="shared" si="2"/>
        <v>0.01821049851</v>
      </c>
      <c r="F163" s="7">
        <f t="shared" si="3"/>
        <v>-0.001053702691</v>
      </c>
      <c r="G163" s="7">
        <f t="shared" si="4"/>
        <v>0.002665402134</v>
      </c>
      <c r="H163" s="5">
        <f t="shared" ref="H163:K163" si="163">IF(B163="","",H162*(1+B163))</f>
        <v>128.5877796</v>
      </c>
      <c r="I163" s="5">
        <f t="shared" si="163"/>
        <v>167.0056004</v>
      </c>
      <c r="J163" s="5">
        <f t="shared" si="163"/>
        <v>110.3475024</v>
      </c>
      <c r="K163" s="5">
        <f t="shared" si="163"/>
        <v>136.7948643</v>
      </c>
      <c r="L163" s="7">
        <f t="shared" si="6"/>
        <v>0</v>
      </c>
    </row>
    <row r="164" ht="15.75" customHeight="1">
      <c r="A164" s="4">
        <f>IF(RETORNOS!A164="","",RETORNOS!A164)</f>
        <v>44648</v>
      </c>
      <c r="B164" s="7">
        <f>IF(RETORNOS!B164="","",OPTIMIZACION!$B$5*RETORNOS!B164+OPTIMIZACION!$B$6*RETORNOS!C164+OPTIMIZACION!$B$7*RETORNOS!D164+OPTIMIZACION!$B$8*RETORNOS!E164+OPTIMIZACION!$B$9*RETORNOS!F164+OPTIMIZACION!$B$10*RETORNOS!G164)</f>
        <v>-0.009170102997</v>
      </c>
      <c r="C164" s="7">
        <f>IF(RETORNOS!H164="","",RETORNOS!H164)</f>
        <v>-0.02476308271</v>
      </c>
      <c r="D164" s="7">
        <f>IF(RETORNOS!I164="","",RETORNOS!I164)</f>
        <v>0.006465437504</v>
      </c>
      <c r="E164" s="7">
        <f t="shared" si="2"/>
        <v>-0.009148822604</v>
      </c>
      <c r="F164" s="7">
        <f t="shared" si="3"/>
        <v>0.01559297971</v>
      </c>
      <c r="G164" s="7">
        <f t="shared" si="4"/>
        <v>-0.00002128039342</v>
      </c>
      <c r="H164" s="5">
        <f t="shared" ref="H164:K164" si="164">IF(B164="","",H163*(1+B164))</f>
        <v>127.4086164</v>
      </c>
      <c r="I164" s="5">
        <f t="shared" si="164"/>
        <v>162.8700269</v>
      </c>
      <c r="J164" s="5">
        <f t="shared" si="164"/>
        <v>111.0609473</v>
      </c>
      <c r="K164" s="5">
        <f t="shared" si="164"/>
        <v>135.5433523</v>
      </c>
      <c r="L164" s="7">
        <f t="shared" si="6"/>
        <v>-0.009170102997</v>
      </c>
    </row>
    <row r="165" ht="15.75" customHeight="1">
      <c r="A165" s="4">
        <f>IF(RETORNOS!A165="","",RETORNOS!A165)</f>
        <v>44649</v>
      </c>
      <c r="B165" s="7">
        <f>IF(RETORNOS!B165="","",OPTIMIZACION!$B$5*RETORNOS!B165+OPTIMIZACION!$B$6*RETORNOS!C165+OPTIMIZACION!$B$7*RETORNOS!D165+OPTIMIZACION!$B$8*RETORNOS!E165+OPTIMIZACION!$B$9*RETORNOS!F165+OPTIMIZACION!$B$10*RETORNOS!G165)</f>
        <v>0.006620802201</v>
      </c>
      <c r="C165" s="7">
        <f>IF(RETORNOS!H165="","",RETORNOS!H165)</f>
        <v>-0.002604980723</v>
      </c>
      <c r="D165" s="7">
        <f>IF(RETORNOS!I165="","",RETORNOS!I165)</f>
        <v>0.009278972665</v>
      </c>
      <c r="E165" s="7">
        <f t="shared" si="2"/>
        <v>0.003336995971</v>
      </c>
      <c r="F165" s="7">
        <f t="shared" si="3"/>
        <v>0.009225782924</v>
      </c>
      <c r="G165" s="7">
        <f t="shared" si="4"/>
        <v>0.00328380623</v>
      </c>
      <c r="H165" s="5">
        <f t="shared" ref="H165:K165" si="165">IF(B165="","",H164*(1+B165))</f>
        <v>128.2521636</v>
      </c>
      <c r="I165" s="5">
        <f t="shared" si="165"/>
        <v>162.4457536</v>
      </c>
      <c r="J165" s="5">
        <f t="shared" si="165"/>
        <v>112.0914788</v>
      </c>
      <c r="K165" s="5">
        <f t="shared" si="165"/>
        <v>135.99566</v>
      </c>
      <c r="L165" s="7">
        <f t="shared" si="6"/>
        <v>-0.002610014235</v>
      </c>
    </row>
    <row r="166" ht="15.75" customHeight="1">
      <c r="A166" s="4">
        <f>IF(RETORNOS!A166="","",RETORNOS!A166)</f>
        <v>44650</v>
      </c>
      <c r="B166" s="7">
        <f>IF(RETORNOS!B166="","",OPTIMIZACION!$B$5*RETORNOS!B166+OPTIMIZACION!$B$6*RETORNOS!C166+OPTIMIZACION!$B$7*RETORNOS!D166+OPTIMIZACION!$B$8*RETORNOS!E166+OPTIMIZACION!$B$9*RETORNOS!F166+OPTIMIZACION!$B$10*RETORNOS!G166)</f>
        <v>0.006987772572</v>
      </c>
      <c r="C166" s="7">
        <f>IF(RETORNOS!H166="","",RETORNOS!H166)</f>
        <v>0.01162020178</v>
      </c>
      <c r="D166" s="7">
        <f>IF(RETORNOS!I166="","",RETORNOS!I166)</f>
        <v>0.008255783601</v>
      </c>
      <c r="E166" s="7">
        <f t="shared" si="2"/>
        <v>0.00993799269</v>
      </c>
      <c r="F166" s="7">
        <f t="shared" si="3"/>
        <v>-0.004632429207</v>
      </c>
      <c r="G166" s="7">
        <f t="shared" si="4"/>
        <v>-0.002950220119</v>
      </c>
      <c r="H166" s="5">
        <f t="shared" ref="H166:K166" si="166">IF(B166="","",H165*(1+B166))</f>
        <v>129.1483606</v>
      </c>
      <c r="I166" s="5">
        <f t="shared" si="166"/>
        <v>164.3334061</v>
      </c>
      <c r="J166" s="5">
        <f t="shared" si="166"/>
        <v>113.0168818</v>
      </c>
      <c r="K166" s="5">
        <f t="shared" si="166"/>
        <v>137.3471838</v>
      </c>
      <c r="L166" s="7">
        <f t="shared" si="6"/>
        <v>0</v>
      </c>
    </row>
    <row r="167" ht="15.75" customHeight="1">
      <c r="A167" s="4">
        <f>IF(RETORNOS!A167="","",RETORNOS!A167)</f>
        <v>44651</v>
      </c>
      <c r="B167" s="7">
        <f>IF(RETORNOS!B167="","",OPTIMIZACION!$B$5*RETORNOS!B167+OPTIMIZACION!$B$6*RETORNOS!C167+OPTIMIZACION!$B$7*RETORNOS!D167+OPTIMIZACION!$B$8*RETORNOS!E167+OPTIMIZACION!$B$9*RETORNOS!F167+OPTIMIZACION!$B$10*RETORNOS!G167)</f>
        <v>-0.007698193441</v>
      </c>
      <c r="C167" s="7">
        <f>IF(RETORNOS!H167="","",RETORNOS!H167)</f>
        <v>-0.01355215055</v>
      </c>
      <c r="D167" s="7">
        <f>IF(RETORNOS!I167="","",RETORNOS!I167)</f>
        <v>-0.001077709476</v>
      </c>
      <c r="E167" s="7">
        <f t="shared" si="2"/>
        <v>-0.007314930014</v>
      </c>
      <c r="F167" s="7">
        <f t="shared" si="3"/>
        <v>0.005853957111</v>
      </c>
      <c r="G167" s="7">
        <f t="shared" si="4"/>
        <v>-0.0003832634266</v>
      </c>
      <c r="H167" s="5">
        <f t="shared" ref="H167:K167" si="167">IF(B167="","",H166*(1+B167))</f>
        <v>128.1541515</v>
      </c>
      <c r="I167" s="5">
        <f t="shared" si="167"/>
        <v>162.106335</v>
      </c>
      <c r="J167" s="5">
        <f t="shared" si="167"/>
        <v>112.8950824</v>
      </c>
      <c r="K167" s="5">
        <f t="shared" si="167"/>
        <v>136.3424988</v>
      </c>
      <c r="L167" s="7">
        <f t="shared" si="6"/>
        <v>-0.007698193441</v>
      </c>
    </row>
    <row r="168" ht="15.75" customHeight="1">
      <c r="A168" s="4">
        <f>IF(RETORNOS!A168="","",RETORNOS!A168)</f>
        <v>44652</v>
      </c>
      <c r="B168" s="7">
        <f>IF(RETORNOS!B168="","",OPTIMIZACION!$B$5*RETORNOS!B168+OPTIMIZACION!$B$6*RETORNOS!C168+OPTIMIZACION!$B$7*RETORNOS!D168+OPTIMIZACION!$B$8*RETORNOS!E168+OPTIMIZACION!$B$9*RETORNOS!F168+OPTIMIZACION!$B$10*RETORNOS!G168)</f>
        <v>0.01507416837</v>
      </c>
      <c r="C168" s="7">
        <f>IF(RETORNOS!H168="","",RETORNOS!H168)</f>
        <v>0.00811497966</v>
      </c>
      <c r="D168" s="7">
        <f>IF(RETORNOS!I168="","",RETORNOS!I168)</f>
        <v>0.01397109346</v>
      </c>
      <c r="E168" s="7">
        <f t="shared" si="2"/>
        <v>0.01104303656</v>
      </c>
      <c r="F168" s="7">
        <f t="shared" si="3"/>
        <v>0.006959188707</v>
      </c>
      <c r="G168" s="7">
        <f t="shared" si="4"/>
        <v>0.004031131808</v>
      </c>
      <c r="H168" s="5">
        <f t="shared" ref="H168:K168" si="168">IF(B168="","",H167*(1+B168))</f>
        <v>130.0859688</v>
      </c>
      <c r="I168" s="5">
        <f t="shared" si="168"/>
        <v>163.4218246</v>
      </c>
      <c r="J168" s="5">
        <f t="shared" si="168"/>
        <v>114.4723502</v>
      </c>
      <c r="K168" s="5">
        <f t="shared" si="168"/>
        <v>137.848134</v>
      </c>
      <c r="L168" s="7">
        <f t="shared" si="6"/>
        <v>0</v>
      </c>
    </row>
    <row r="169" ht="15.75" customHeight="1">
      <c r="A169" s="4">
        <f>IF(RETORNOS!A169="","",RETORNOS!A169)</f>
        <v>44655</v>
      </c>
      <c r="B169" s="7">
        <f>IF(RETORNOS!B169="","",OPTIMIZACION!$B$5*RETORNOS!B169+OPTIMIZACION!$B$6*RETORNOS!C169+OPTIMIZACION!$B$7*RETORNOS!D169+OPTIMIZACION!$B$8*RETORNOS!E169+OPTIMIZACION!$B$9*RETORNOS!F169+OPTIMIZACION!$B$10*RETORNOS!G169)</f>
        <v>0.0002493076107</v>
      </c>
      <c r="C169" s="7">
        <f>IF(RETORNOS!H169="","",RETORNOS!H169)</f>
        <v>0.001293641869</v>
      </c>
      <c r="D169" s="7">
        <f>IF(RETORNOS!I169="","",RETORNOS!I169)</f>
        <v>-0.007685814827</v>
      </c>
      <c r="E169" s="7">
        <f t="shared" si="2"/>
        <v>-0.003196086479</v>
      </c>
      <c r="F169" s="7">
        <f t="shared" si="3"/>
        <v>-0.001044334258</v>
      </c>
      <c r="G169" s="7">
        <f t="shared" si="4"/>
        <v>0.00344539409</v>
      </c>
      <c r="H169" s="5">
        <f t="shared" ref="H169:K169" si="169">IF(B169="","",H168*(1+B169))</f>
        <v>130.1184002</v>
      </c>
      <c r="I169" s="5">
        <f t="shared" si="169"/>
        <v>163.6332339</v>
      </c>
      <c r="J169" s="5">
        <f t="shared" si="169"/>
        <v>113.5925369</v>
      </c>
      <c r="K169" s="5">
        <f t="shared" si="169"/>
        <v>137.4075594</v>
      </c>
      <c r="L169" s="7">
        <f t="shared" si="6"/>
        <v>0</v>
      </c>
    </row>
    <row r="170" ht="15.75" customHeight="1">
      <c r="A170" s="4">
        <f>IF(RETORNOS!A170="","",RETORNOS!A170)</f>
        <v>44656</v>
      </c>
      <c r="B170" s="7">
        <f>IF(RETORNOS!B170="","",OPTIMIZACION!$B$5*RETORNOS!B170+OPTIMIZACION!$B$6*RETORNOS!C170+OPTIMIZACION!$B$7*RETORNOS!D170+OPTIMIZACION!$B$8*RETORNOS!E170+OPTIMIZACION!$B$9*RETORNOS!F170+OPTIMIZACION!$B$10*RETORNOS!G170)</f>
        <v>-0.005578890083</v>
      </c>
      <c r="C170" s="7">
        <f>IF(RETORNOS!H170="","",RETORNOS!H170)</f>
        <v>-0.01567847713</v>
      </c>
      <c r="D170" s="7">
        <f>IF(RETORNOS!I170="","",RETORNOS!I170)</f>
        <v>0.006271751957</v>
      </c>
      <c r="E170" s="7">
        <f t="shared" si="2"/>
        <v>-0.004703362588</v>
      </c>
      <c r="F170" s="7">
        <f t="shared" si="3"/>
        <v>0.01009958705</v>
      </c>
      <c r="G170" s="7">
        <f t="shared" si="4"/>
        <v>-0.0008755274941</v>
      </c>
      <c r="H170" s="5">
        <f t="shared" ref="H170:K170" si="170">IF(B170="","",H169*(1+B170))</f>
        <v>129.3924839</v>
      </c>
      <c r="I170" s="5">
        <f t="shared" si="170"/>
        <v>161.067714</v>
      </c>
      <c r="J170" s="5">
        <f t="shared" si="170"/>
        <v>114.3049611</v>
      </c>
      <c r="K170" s="5">
        <f t="shared" si="170"/>
        <v>136.7612819</v>
      </c>
      <c r="L170" s="7">
        <f t="shared" si="6"/>
        <v>-0.005578890083</v>
      </c>
    </row>
    <row r="171" ht="15.75" customHeight="1">
      <c r="A171" s="4">
        <f>IF(RETORNOS!A171="","",RETORNOS!A171)</f>
        <v>44657</v>
      </c>
      <c r="B171" s="7">
        <f>IF(RETORNOS!B171="","",OPTIMIZACION!$B$5*RETORNOS!B171+OPTIMIZACION!$B$6*RETORNOS!C171+OPTIMIZACION!$B$7*RETORNOS!D171+OPTIMIZACION!$B$8*RETORNOS!E171+OPTIMIZACION!$B$9*RETORNOS!F171+OPTIMIZACION!$B$10*RETORNOS!G171)</f>
        <v>0.01086689526</v>
      </c>
      <c r="C171" s="7">
        <f>IF(RETORNOS!H171="","",RETORNOS!H171)</f>
        <v>0.005921524002</v>
      </c>
      <c r="D171" s="7">
        <f>IF(RETORNOS!I171="","",RETORNOS!I171)</f>
        <v>0.0199004679</v>
      </c>
      <c r="E171" s="7">
        <f t="shared" si="2"/>
        <v>0.01291099595</v>
      </c>
      <c r="F171" s="7">
        <f t="shared" si="3"/>
        <v>0.004945371257</v>
      </c>
      <c r="G171" s="7">
        <f t="shared" si="4"/>
        <v>-0.00204410069</v>
      </c>
      <c r="H171" s="5">
        <f t="shared" ref="H171:K171" si="171">IF(B171="","",H170*(1+B171))</f>
        <v>130.7985785</v>
      </c>
      <c r="I171" s="5">
        <f t="shared" si="171"/>
        <v>162.0214804</v>
      </c>
      <c r="J171" s="5">
        <f t="shared" si="171"/>
        <v>116.5796833</v>
      </c>
      <c r="K171" s="5">
        <f t="shared" si="171"/>
        <v>138.5270062</v>
      </c>
      <c r="L171" s="7">
        <f t="shared" si="6"/>
        <v>0</v>
      </c>
    </row>
    <row r="172" ht="15.75" customHeight="1">
      <c r="A172" s="4">
        <f>IF(RETORNOS!A172="","",RETORNOS!A172)</f>
        <v>44658</v>
      </c>
      <c r="B172" s="7">
        <f>IF(RETORNOS!B172="","",OPTIMIZACION!$B$5*RETORNOS!B172+OPTIMIZACION!$B$6*RETORNOS!C172+OPTIMIZACION!$B$7*RETORNOS!D172+OPTIMIZACION!$B$8*RETORNOS!E172+OPTIMIZACION!$B$9*RETORNOS!F172+OPTIMIZACION!$B$10*RETORNOS!G172)</f>
        <v>0.005609811781</v>
      </c>
      <c r="C172" s="7">
        <f>IF(RETORNOS!H172="","",RETORNOS!H172)</f>
        <v>0.01309311826</v>
      </c>
      <c r="D172" s="7">
        <f>IF(RETORNOS!I172="","",RETORNOS!I172)</f>
        <v>-0.002474770763</v>
      </c>
      <c r="E172" s="7">
        <f t="shared" si="2"/>
        <v>0.005309173747</v>
      </c>
      <c r="F172" s="7">
        <f t="shared" si="3"/>
        <v>-0.007483306476</v>
      </c>
      <c r="G172" s="7">
        <f t="shared" si="4"/>
        <v>0.0003006380336</v>
      </c>
      <c r="H172" s="5">
        <f t="shared" ref="H172:K172" si="172">IF(B172="","",H171*(1+B172))</f>
        <v>131.5323339</v>
      </c>
      <c r="I172" s="5">
        <f t="shared" si="172"/>
        <v>164.1428468</v>
      </c>
      <c r="J172" s="5">
        <f t="shared" si="172"/>
        <v>116.2911753</v>
      </c>
      <c r="K172" s="5">
        <f t="shared" si="172"/>
        <v>139.2624702</v>
      </c>
      <c r="L172" s="7">
        <f t="shared" si="6"/>
        <v>0</v>
      </c>
    </row>
    <row r="173" ht="15.75" customHeight="1">
      <c r="A173" s="4">
        <f>IF(RETORNOS!A173="","",RETORNOS!A173)</f>
        <v>44659</v>
      </c>
      <c r="B173" s="7">
        <f>IF(RETORNOS!B173="","",OPTIMIZACION!$B$5*RETORNOS!B173+OPTIMIZACION!$B$6*RETORNOS!C173+OPTIMIZACION!$B$7*RETORNOS!D173+OPTIMIZACION!$B$8*RETORNOS!E173+OPTIMIZACION!$B$9*RETORNOS!F173+OPTIMIZACION!$B$10*RETORNOS!G173)</f>
        <v>0.01358609263</v>
      </c>
      <c r="C173" s="7">
        <f>IF(RETORNOS!H173="","",RETORNOS!H173)</f>
        <v>0.02752274607</v>
      </c>
      <c r="D173" s="7">
        <f>IF(RETORNOS!I173="","",RETORNOS!I173)</f>
        <v>0.003390772651</v>
      </c>
      <c r="E173" s="7">
        <f t="shared" si="2"/>
        <v>0.01545675936</v>
      </c>
      <c r="F173" s="7">
        <f t="shared" si="3"/>
        <v>-0.01393665344</v>
      </c>
      <c r="G173" s="7">
        <f t="shared" si="4"/>
        <v>-0.00187066673</v>
      </c>
      <c r="H173" s="5">
        <f t="shared" ref="H173:K173" si="173">IF(B173="","",H172*(1+B173))</f>
        <v>133.3193444</v>
      </c>
      <c r="I173" s="5">
        <f t="shared" si="173"/>
        <v>168.6605086</v>
      </c>
      <c r="J173" s="5">
        <f t="shared" si="173"/>
        <v>116.6854923</v>
      </c>
      <c r="K173" s="5">
        <f t="shared" si="173"/>
        <v>141.4150167</v>
      </c>
      <c r="L173" s="7">
        <f t="shared" si="6"/>
        <v>0</v>
      </c>
    </row>
    <row r="174" ht="15.75" customHeight="1">
      <c r="A174" s="4">
        <f>IF(RETORNOS!A174="","",RETORNOS!A174)</f>
        <v>44662</v>
      </c>
      <c r="B174" s="7">
        <f>IF(RETORNOS!B174="","",OPTIMIZACION!$B$5*RETORNOS!B174+OPTIMIZACION!$B$6*RETORNOS!C174+OPTIMIZACION!$B$7*RETORNOS!D174+OPTIMIZACION!$B$8*RETORNOS!E174+OPTIMIZACION!$B$9*RETORNOS!F174+OPTIMIZACION!$B$10*RETORNOS!G174)</f>
        <v>-0.02151833183</v>
      </c>
      <c r="C174" s="7">
        <f>IF(RETORNOS!H174="","",RETORNOS!H174)</f>
        <v>-0.03005430705</v>
      </c>
      <c r="D174" s="7">
        <f>IF(RETORNOS!I174="","",RETORNOS!I174)</f>
        <v>-0.01364263242</v>
      </c>
      <c r="E174" s="7">
        <f t="shared" si="2"/>
        <v>-0.02184846974</v>
      </c>
      <c r="F174" s="7">
        <f t="shared" si="3"/>
        <v>0.008535975211</v>
      </c>
      <c r="G174" s="7">
        <f t="shared" si="4"/>
        <v>0.0003301379005</v>
      </c>
      <c r="H174" s="5">
        <f t="shared" ref="H174:K174" si="174">IF(B174="","",H173*(1+B174))</f>
        <v>130.4505345</v>
      </c>
      <c r="I174" s="5">
        <f t="shared" si="174"/>
        <v>163.5915339</v>
      </c>
      <c r="J174" s="5">
        <f t="shared" si="174"/>
        <v>115.093595</v>
      </c>
      <c r="K174" s="5">
        <f t="shared" si="174"/>
        <v>138.3253149</v>
      </c>
      <c r="L174" s="7">
        <f t="shared" si="6"/>
        <v>-0.02151833183</v>
      </c>
    </row>
    <row r="175" ht="15.75" customHeight="1">
      <c r="A175" s="4">
        <f>IF(RETORNOS!A175="","",RETORNOS!A175)</f>
        <v>44663</v>
      </c>
      <c r="B175" s="7">
        <f>IF(RETORNOS!B175="","",OPTIMIZACION!$B$5*RETORNOS!B175+OPTIMIZACION!$B$6*RETORNOS!C175+OPTIMIZACION!$B$7*RETORNOS!D175+OPTIMIZACION!$B$8*RETORNOS!E175+OPTIMIZACION!$B$9*RETORNOS!F175+OPTIMIZACION!$B$10*RETORNOS!G175)</f>
        <v>0.01102747982</v>
      </c>
      <c r="C175" s="7">
        <f>IF(RETORNOS!H175="","",RETORNOS!H175)</f>
        <v>0.01658945471</v>
      </c>
      <c r="D175" s="7">
        <f>IF(RETORNOS!I175="","",RETORNOS!I175)</f>
        <v>0.003822164415</v>
      </c>
      <c r="E175" s="7">
        <f t="shared" si="2"/>
        <v>0.01020580956</v>
      </c>
      <c r="F175" s="7">
        <f t="shared" si="3"/>
        <v>-0.005561974896</v>
      </c>
      <c r="G175" s="7">
        <f t="shared" si="4"/>
        <v>0.0008216702539</v>
      </c>
      <c r="H175" s="5">
        <f t="shared" ref="H175:K175" si="175">IF(B175="","",H174*(1+B175))</f>
        <v>131.8890751</v>
      </c>
      <c r="I175" s="5">
        <f t="shared" si="175"/>
        <v>166.3054283</v>
      </c>
      <c r="J175" s="5">
        <f t="shared" si="175"/>
        <v>115.5335016</v>
      </c>
      <c r="K175" s="5">
        <f t="shared" si="175"/>
        <v>139.7370368</v>
      </c>
      <c r="L175" s="7">
        <f t="shared" si="6"/>
        <v>-0.01072814499</v>
      </c>
    </row>
    <row r="176" ht="15.75" customHeight="1">
      <c r="A176" s="4">
        <f>IF(RETORNOS!A176="","",RETORNOS!A176)</f>
        <v>44664</v>
      </c>
      <c r="B176" s="7">
        <f>IF(RETORNOS!B176="","",OPTIMIZACION!$B$5*RETORNOS!B176+OPTIMIZACION!$B$6*RETORNOS!C176+OPTIMIZACION!$B$7*RETORNOS!D176+OPTIMIZACION!$B$8*RETORNOS!E176+OPTIMIZACION!$B$9*RETORNOS!F176+OPTIMIZACION!$B$10*RETORNOS!G176)</f>
        <v>0.005447477023</v>
      </c>
      <c r="C176" s="7">
        <f>IF(RETORNOS!H176="","",RETORNOS!H176)</f>
        <v>0.01492506852</v>
      </c>
      <c r="D176" s="7">
        <f>IF(RETORNOS!I176="","",RETORNOS!I176)</f>
        <v>-0.001967118495</v>
      </c>
      <c r="E176" s="7">
        <f t="shared" si="2"/>
        <v>0.006478975011</v>
      </c>
      <c r="F176" s="7">
        <f t="shared" si="3"/>
        <v>-0.009477591494</v>
      </c>
      <c r="G176" s="7">
        <f t="shared" si="4"/>
        <v>-0.001031497988</v>
      </c>
      <c r="H176" s="5">
        <f t="shared" ref="H176:K176" si="176">IF(B176="","",H175*(1+B176))</f>
        <v>132.6075378</v>
      </c>
      <c r="I176" s="5">
        <f t="shared" si="176"/>
        <v>168.7875482</v>
      </c>
      <c r="J176" s="5">
        <f t="shared" si="176"/>
        <v>115.3062335</v>
      </c>
      <c r="K176" s="5">
        <f t="shared" si="176"/>
        <v>140.6423895</v>
      </c>
      <c r="L176" s="7">
        <f t="shared" si="6"/>
        <v>-0.005339109287</v>
      </c>
    </row>
    <row r="177" ht="15.75" customHeight="1">
      <c r="A177" s="4">
        <f>IF(RETORNOS!A177="","",RETORNOS!A177)</f>
        <v>44665</v>
      </c>
      <c r="B177" s="7">
        <f>IF(RETORNOS!B177="","",OPTIMIZACION!$B$5*RETORNOS!B177+OPTIMIZACION!$B$6*RETORNOS!C177+OPTIMIZACION!$B$7*RETORNOS!D177+OPTIMIZACION!$B$8*RETORNOS!E177+OPTIMIZACION!$B$9*RETORNOS!F177+OPTIMIZACION!$B$10*RETORNOS!G177)</f>
        <v>0.008143296164</v>
      </c>
      <c r="C177" s="7">
        <f>IF(RETORNOS!H177="","",RETORNOS!H177)</f>
        <v>0.003263439424</v>
      </c>
      <c r="D177" s="7">
        <f>IF(RETORNOS!I177="","",RETORNOS!I177)</f>
        <v>0.0005281560273</v>
      </c>
      <c r="E177" s="7">
        <f t="shared" si="2"/>
        <v>0.001895797726</v>
      </c>
      <c r="F177" s="7">
        <f t="shared" si="3"/>
        <v>0.00487985674</v>
      </c>
      <c r="G177" s="7">
        <f t="shared" si="4"/>
        <v>0.006247498438</v>
      </c>
      <c r="H177" s="5">
        <f t="shared" ref="H177:K177" si="177">IF(B177="","",H176*(1+B177))</f>
        <v>133.6874003</v>
      </c>
      <c r="I177" s="5">
        <f t="shared" si="177"/>
        <v>169.3383761</v>
      </c>
      <c r="J177" s="5">
        <f t="shared" si="177"/>
        <v>115.3671332</v>
      </c>
      <c r="K177" s="5">
        <f t="shared" si="177"/>
        <v>140.9090191</v>
      </c>
      <c r="L177" s="7">
        <f t="shared" si="6"/>
        <v>0</v>
      </c>
    </row>
    <row r="178" ht="15.75" customHeight="1">
      <c r="A178" s="4">
        <f>IF(RETORNOS!A178="","",RETORNOS!A178)</f>
        <v>44669</v>
      </c>
      <c r="B178" s="7">
        <f>IF(RETORNOS!B178="","",OPTIMIZACION!$B$5*RETORNOS!B178+OPTIMIZACION!$B$6*RETORNOS!C178+OPTIMIZACION!$B$7*RETORNOS!D178+OPTIMIZACION!$B$8*RETORNOS!E178+OPTIMIZACION!$B$9*RETORNOS!F178+OPTIMIZACION!$B$10*RETORNOS!G178)</f>
        <v>0.00521122203</v>
      </c>
      <c r="C178" s="7">
        <f>IF(RETORNOS!H178="","",RETORNOS!H178)</f>
        <v>0.01465488854</v>
      </c>
      <c r="D178" s="7">
        <f>IF(RETORNOS!I178="","",RETORNOS!I178)</f>
        <v>-0.005393784614</v>
      </c>
      <c r="E178" s="7">
        <f t="shared" si="2"/>
        <v>0.004630551964</v>
      </c>
      <c r="F178" s="7">
        <f t="shared" si="3"/>
        <v>-0.009443666512</v>
      </c>
      <c r="G178" s="7">
        <f t="shared" si="4"/>
        <v>0.0005806700662</v>
      </c>
      <c r="H178" s="5">
        <f t="shared" ref="H178:K178" si="178">IF(B178="","",H177*(1+B178))</f>
        <v>134.384075</v>
      </c>
      <c r="I178" s="5">
        <f t="shared" si="178"/>
        <v>171.8200112</v>
      </c>
      <c r="J178" s="5">
        <f t="shared" si="178"/>
        <v>114.7448678</v>
      </c>
      <c r="K178" s="5">
        <f t="shared" si="178"/>
        <v>141.5615056</v>
      </c>
      <c r="L178" s="7">
        <f t="shared" si="6"/>
        <v>0</v>
      </c>
    </row>
    <row r="179" ht="15.75" customHeight="1">
      <c r="A179" s="4">
        <f>IF(RETORNOS!A179="","",RETORNOS!A179)</f>
        <v>44670</v>
      </c>
      <c r="B179" s="7">
        <f>IF(RETORNOS!B179="","",OPTIMIZACION!$B$5*RETORNOS!B179+OPTIMIZACION!$B$6*RETORNOS!C179+OPTIMIZACION!$B$7*RETORNOS!D179+OPTIMIZACION!$B$8*RETORNOS!E179+OPTIMIZACION!$B$9*RETORNOS!F179+OPTIMIZACION!$B$10*RETORNOS!G179)</f>
        <v>0.001619824093</v>
      </c>
      <c r="C179" s="7">
        <f>IF(RETORNOS!H179="","",RETORNOS!H179)</f>
        <v>-0.008147243003</v>
      </c>
      <c r="D179" s="7">
        <f>IF(RETORNOS!I179="","",RETORNOS!I179)</f>
        <v>0.006472655034</v>
      </c>
      <c r="E179" s="7">
        <f t="shared" si="2"/>
        <v>-0.0008372939848</v>
      </c>
      <c r="F179" s="7">
        <f t="shared" si="3"/>
        <v>0.009767067097</v>
      </c>
      <c r="G179" s="7">
        <f t="shared" si="4"/>
        <v>0.002457118078</v>
      </c>
      <c r="H179" s="5">
        <f t="shared" ref="H179:K179" si="179">IF(B179="","",H178*(1+B179))</f>
        <v>134.6017536</v>
      </c>
      <c r="I179" s="5">
        <f t="shared" si="179"/>
        <v>170.4201518</v>
      </c>
      <c r="J179" s="5">
        <f t="shared" si="179"/>
        <v>115.4875717</v>
      </c>
      <c r="K179" s="5">
        <f t="shared" si="179"/>
        <v>141.442977</v>
      </c>
      <c r="L179" s="7">
        <f t="shared" si="6"/>
        <v>0</v>
      </c>
    </row>
    <row r="180" ht="15.75" customHeight="1">
      <c r="A180" s="4">
        <f>IF(RETORNOS!A180="","",RETORNOS!A180)</f>
        <v>44671</v>
      </c>
      <c r="B180" s="7">
        <f>IF(RETORNOS!B180="","",OPTIMIZACION!$B$5*RETORNOS!B180+OPTIMIZACION!$B$6*RETORNOS!C180+OPTIMIZACION!$B$7*RETORNOS!D180+OPTIMIZACION!$B$8*RETORNOS!E180+OPTIMIZACION!$B$9*RETORNOS!F180+OPTIMIZACION!$B$10*RETORNOS!G180)</f>
        <v>0.01112002561</v>
      </c>
      <c r="C180" s="7">
        <f>IF(RETORNOS!H180="","",RETORNOS!H180)</f>
        <v>0.003852435228</v>
      </c>
      <c r="D180" s="7">
        <f>IF(RETORNOS!I180="","",RETORNOS!I180)</f>
        <v>0.008142631567</v>
      </c>
      <c r="E180" s="7">
        <f t="shared" si="2"/>
        <v>0.005997533397</v>
      </c>
      <c r="F180" s="7">
        <f t="shared" si="3"/>
        <v>0.007267590379</v>
      </c>
      <c r="G180" s="7">
        <f t="shared" si="4"/>
        <v>0.00512249221</v>
      </c>
      <c r="H180" s="5">
        <f t="shared" ref="H180:K180" si="180">IF(B180="","",H179*(1+B180))</f>
        <v>136.0985285</v>
      </c>
      <c r="I180" s="5">
        <f t="shared" si="180"/>
        <v>171.0766844</v>
      </c>
      <c r="J180" s="5">
        <f t="shared" si="180"/>
        <v>116.4279444</v>
      </c>
      <c r="K180" s="5">
        <f t="shared" si="180"/>
        <v>142.291286</v>
      </c>
      <c r="L180" s="7">
        <f t="shared" si="6"/>
        <v>0</v>
      </c>
    </row>
    <row r="181" ht="15.75" customHeight="1">
      <c r="A181" s="4">
        <f>IF(RETORNOS!A181="","",RETORNOS!A181)</f>
        <v>44672</v>
      </c>
      <c r="B181" s="7">
        <f>IF(RETORNOS!B181="","",OPTIMIZACION!$B$5*RETORNOS!B181+OPTIMIZACION!$B$6*RETORNOS!C181+OPTIMIZACION!$B$7*RETORNOS!D181+OPTIMIZACION!$B$8*RETORNOS!E181+OPTIMIZACION!$B$9*RETORNOS!F181+OPTIMIZACION!$B$10*RETORNOS!G181)</f>
        <v>-0.01162631985</v>
      </c>
      <c r="C181" s="7">
        <f>IF(RETORNOS!H181="","",RETORNOS!H181)</f>
        <v>-0.03172722635</v>
      </c>
      <c r="D181" s="7">
        <f>IF(RETORNOS!I181="","",RETORNOS!I181)</f>
        <v>-0.01653653291</v>
      </c>
      <c r="E181" s="7">
        <f t="shared" si="2"/>
        <v>-0.02413187963</v>
      </c>
      <c r="F181" s="7">
        <f t="shared" si="3"/>
        <v>0.0201009065</v>
      </c>
      <c r="G181" s="7">
        <f t="shared" si="4"/>
        <v>0.01250555978</v>
      </c>
      <c r="H181" s="5">
        <f t="shared" ref="H181:K181" si="181">IF(B181="","",H180*(1+B181))</f>
        <v>134.5162035</v>
      </c>
      <c r="I181" s="5">
        <f t="shared" si="181"/>
        <v>165.6488957</v>
      </c>
      <c r="J181" s="5">
        <f t="shared" si="181"/>
        <v>114.5026299</v>
      </c>
      <c r="K181" s="5">
        <f t="shared" si="181"/>
        <v>138.8575298</v>
      </c>
      <c r="L181" s="7">
        <f t="shared" si="6"/>
        <v>-0.01162631985</v>
      </c>
    </row>
    <row r="182" ht="15.75" customHeight="1">
      <c r="A182" s="4">
        <f>IF(RETORNOS!A182="","",RETORNOS!A182)</f>
        <v>44673</v>
      </c>
      <c r="B182" s="7">
        <f>IF(RETORNOS!B182="","",OPTIMIZACION!$B$5*RETORNOS!B182+OPTIMIZACION!$B$6*RETORNOS!C182+OPTIMIZACION!$B$7*RETORNOS!D182+OPTIMIZACION!$B$8*RETORNOS!E182+OPTIMIZACION!$B$9*RETORNOS!F182+OPTIMIZACION!$B$10*RETORNOS!G182)</f>
        <v>-0.0173548078</v>
      </c>
      <c r="C182" s="7">
        <f>IF(RETORNOS!H182="","",RETORNOS!H182)</f>
        <v>-0.02445656946</v>
      </c>
      <c r="D182" s="7">
        <f>IF(RETORNOS!I182="","",RETORNOS!I182)</f>
        <v>-0.0168235018</v>
      </c>
      <c r="E182" s="7">
        <f t="shared" si="2"/>
        <v>-0.02064003563</v>
      </c>
      <c r="F182" s="7">
        <f t="shared" si="3"/>
        <v>0.007101761669</v>
      </c>
      <c r="G182" s="7">
        <f t="shared" si="4"/>
        <v>0.003285227834</v>
      </c>
      <c r="H182" s="5">
        <f t="shared" ref="H182:K182" si="182">IF(B182="","",H181*(1+B182))</f>
        <v>132.1817007</v>
      </c>
      <c r="I182" s="5">
        <f t="shared" si="182"/>
        <v>161.597692</v>
      </c>
      <c r="J182" s="5">
        <f t="shared" si="182"/>
        <v>112.5762947</v>
      </c>
      <c r="K182" s="5">
        <f t="shared" si="182"/>
        <v>135.9915054</v>
      </c>
      <c r="L182" s="7">
        <f t="shared" si="6"/>
        <v>-0.0287793551</v>
      </c>
    </row>
    <row r="183" ht="15.75" customHeight="1">
      <c r="A183" s="4">
        <f>IF(RETORNOS!A183="","",RETORNOS!A183)</f>
        <v>44676</v>
      </c>
      <c r="B183" s="7">
        <f>IF(RETORNOS!B183="","",OPTIMIZACION!$B$5*RETORNOS!B183+OPTIMIZACION!$B$6*RETORNOS!C183+OPTIMIZACION!$B$7*RETORNOS!D183+OPTIMIZACION!$B$8*RETORNOS!E183+OPTIMIZACION!$B$9*RETORNOS!F183+OPTIMIZACION!$B$10*RETORNOS!G183)</f>
        <v>-0.02266220512</v>
      </c>
      <c r="C183" s="7">
        <f>IF(RETORNOS!H183="","",RETORNOS!H183)</f>
        <v>-0.0330721845</v>
      </c>
      <c r="D183" s="7">
        <f>IF(RETORNOS!I183="","",RETORNOS!I183)</f>
        <v>-0.006869331593</v>
      </c>
      <c r="E183" s="7">
        <f t="shared" si="2"/>
        <v>-0.01997075805</v>
      </c>
      <c r="F183" s="7">
        <f t="shared" si="3"/>
        <v>0.01040997938</v>
      </c>
      <c r="G183" s="7">
        <f t="shared" si="4"/>
        <v>-0.002691447078</v>
      </c>
      <c r="H183" s="5">
        <f t="shared" ref="H183:K183" si="183">IF(B183="","",H182*(1+B183))</f>
        <v>129.1861718</v>
      </c>
      <c r="I183" s="5">
        <f t="shared" si="183"/>
        <v>156.2533033</v>
      </c>
      <c r="J183" s="5">
        <f t="shared" si="183"/>
        <v>111.8029708</v>
      </c>
      <c r="K183" s="5">
        <f t="shared" si="183"/>
        <v>133.275652</v>
      </c>
      <c r="L183" s="7">
        <f t="shared" si="6"/>
        <v>-0.05078935657</v>
      </c>
    </row>
    <row r="184" ht="15.75" customHeight="1">
      <c r="A184" s="4">
        <f>IF(RETORNOS!A184="","",RETORNOS!A184)</f>
        <v>44677</v>
      </c>
      <c r="B184" s="7">
        <f>IF(RETORNOS!B184="","",OPTIMIZACION!$B$5*RETORNOS!B184+OPTIMIZACION!$B$6*RETORNOS!C184+OPTIMIZACION!$B$7*RETORNOS!D184+OPTIMIZACION!$B$8*RETORNOS!E184+OPTIMIZACION!$B$9*RETORNOS!F184+OPTIMIZACION!$B$10*RETORNOS!G184)</f>
        <v>-0.01142743939</v>
      </c>
      <c r="C184" s="7">
        <f>IF(RETORNOS!H184="","",RETORNOS!H184)</f>
        <v>0.001359197391</v>
      </c>
      <c r="D184" s="7">
        <f>IF(RETORNOS!I184="","",RETORNOS!I184)</f>
        <v>-0.01002683967</v>
      </c>
      <c r="E184" s="7">
        <f t="shared" si="2"/>
        <v>-0.004333821142</v>
      </c>
      <c r="F184" s="7">
        <f t="shared" si="3"/>
        <v>-0.01278663678</v>
      </c>
      <c r="G184" s="7">
        <f t="shared" si="4"/>
        <v>-0.007093618247</v>
      </c>
      <c r="H184" s="5">
        <f t="shared" ref="H184:K184" si="184">IF(B184="","",H183*(1+B184))</f>
        <v>127.7099047</v>
      </c>
      <c r="I184" s="5">
        <f t="shared" si="184"/>
        <v>156.4656824</v>
      </c>
      <c r="J184" s="5">
        <f t="shared" si="184"/>
        <v>110.6819404</v>
      </c>
      <c r="K184" s="5">
        <f t="shared" si="184"/>
        <v>132.6980591</v>
      </c>
      <c r="L184" s="7">
        <f t="shared" si="6"/>
        <v>-0.06163640367</v>
      </c>
    </row>
    <row r="185" ht="15.75" customHeight="1">
      <c r="A185" s="4">
        <f>IF(RETORNOS!A185="","",RETORNOS!A185)</f>
        <v>44678</v>
      </c>
      <c r="B185" s="7">
        <f>IF(RETORNOS!B185="","",OPTIMIZACION!$B$5*RETORNOS!B185+OPTIMIZACION!$B$6*RETORNOS!C185+OPTIMIZACION!$B$7*RETORNOS!D185+OPTIMIZACION!$B$8*RETORNOS!E185+OPTIMIZACION!$B$9*RETORNOS!F185+OPTIMIZACION!$B$10*RETORNOS!G185)</f>
        <v>0.008542440864</v>
      </c>
      <c r="C185" s="7">
        <f>IF(RETORNOS!H185="","",RETORNOS!H185)</f>
        <v>0.01463957333</v>
      </c>
      <c r="D185" s="7">
        <f>IF(RETORNOS!I185="","",RETORNOS!I185)</f>
        <v>-0.004795234275</v>
      </c>
      <c r="E185" s="7">
        <f t="shared" si="2"/>
        <v>0.004922169529</v>
      </c>
      <c r="F185" s="7">
        <f t="shared" si="3"/>
        <v>-0.006097132468</v>
      </c>
      <c r="G185" s="7">
        <f t="shared" si="4"/>
        <v>0.003620271335</v>
      </c>
      <c r="H185" s="5">
        <f t="shared" ref="H185:K185" si="185">IF(B185="","",H184*(1+B185))</f>
        <v>128.800859</v>
      </c>
      <c r="I185" s="5">
        <f t="shared" si="185"/>
        <v>158.7562732</v>
      </c>
      <c r="J185" s="5">
        <f t="shared" si="185"/>
        <v>110.1511945</v>
      </c>
      <c r="K185" s="5">
        <f t="shared" si="185"/>
        <v>133.3512215</v>
      </c>
      <c r="L185" s="7">
        <f t="shared" si="6"/>
        <v>-0.05362048813</v>
      </c>
    </row>
    <row r="186" ht="15.75" customHeight="1">
      <c r="A186" s="4">
        <f>IF(RETORNOS!A186="","",RETORNOS!A186)</f>
        <v>44679</v>
      </c>
      <c r="B186" s="7">
        <f>IF(RETORNOS!B186="","",OPTIMIZACION!$B$5*RETORNOS!B186+OPTIMIZACION!$B$6*RETORNOS!C186+OPTIMIZACION!$B$7*RETORNOS!D186+OPTIMIZACION!$B$8*RETORNOS!E186+OPTIMIZACION!$B$9*RETORNOS!F186+OPTIMIZACION!$B$10*RETORNOS!G186)</f>
        <v>0.02351339187</v>
      </c>
      <c r="C186" s="7">
        <f>IF(RETORNOS!H186="","",RETORNOS!H186)</f>
        <v>0.03032579846</v>
      </c>
      <c r="D186" s="7">
        <f>IF(RETORNOS!I186="","",RETORNOS!I186)</f>
        <v>0.01114704274</v>
      </c>
      <c r="E186" s="7">
        <f t="shared" si="2"/>
        <v>0.0207364206</v>
      </c>
      <c r="F186" s="7">
        <f t="shared" si="3"/>
        <v>-0.006812406589</v>
      </c>
      <c r="G186" s="7">
        <f t="shared" si="4"/>
        <v>0.002776971269</v>
      </c>
      <c r="H186" s="5">
        <f t="shared" ref="H186:K186" si="186">IF(B186="","",H185*(1+B186))</f>
        <v>131.8294041</v>
      </c>
      <c r="I186" s="5">
        <f t="shared" si="186"/>
        <v>163.5706839</v>
      </c>
      <c r="J186" s="5">
        <f t="shared" si="186"/>
        <v>111.3790546</v>
      </c>
      <c r="K186" s="5">
        <f t="shared" si="186"/>
        <v>136.1164485</v>
      </c>
      <c r="L186" s="7">
        <f t="shared" si="6"/>
        <v>-0.03136789581</v>
      </c>
    </row>
    <row r="187" ht="15.75" customHeight="1">
      <c r="A187" s="4">
        <f>IF(RETORNOS!A187="","",RETORNOS!A187)</f>
        <v>44680</v>
      </c>
      <c r="B187" s="7">
        <f>IF(RETORNOS!B187="","",OPTIMIZACION!$B$5*RETORNOS!B187+OPTIMIZACION!$B$6*RETORNOS!C187+OPTIMIZACION!$B$7*RETORNOS!D187+OPTIMIZACION!$B$8*RETORNOS!E187+OPTIMIZACION!$B$9*RETORNOS!F187+OPTIMIZACION!$B$10*RETORNOS!G187)</f>
        <v>-0.02038522567</v>
      </c>
      <c r="C187" s="7">
        <f>IF(RETORNOS!H187="","",RETORNOS!H187)</f>
        <v>-0.02567439379</v>
      </c>
      <c r="D187" s="7">
        <f>IF(RETORNOS!I187="","",RETORNOS!I187)</f>
        <v>-0.02994758257</v>
      </c>
      <c r="E187" s="7">
        <f t="shared" si="2"/>
        <v>-0.02781098818</v>
      </c>
      <c r="F187" s="7">
        <f t="shared" si="3"/>
        <v>0.005289168118</v>
      </c>
      <c r="G187" s="7">
        <f t="shared" si="4"/>
        <v>0.007425762508</v>
      </c>
      <c r="H187" s="5">
        <f t="shared" ref="H187:K187" si="187">IF(B187="","",H186*(1+B187))</f>
        <v>129.1420319</v>
      </c>
      <c r="I187" s="5">
        <f t="shared" si="187"/>
        <v>159.3711058</v>
      </c>
      <c r="J187" s="5">
        <f t="shared" si="187"/>
        <v>108.0435212</v>
      </c>
      <c r="K187" s="5">
        <f t="shared" si="187"/>
        <v>132.3309156</v>
      </c>
      <c r="L187" s="7">
        <f t="shared" si="6"/>
        <v>-0.05111367985</v>
      </c>
    </row>
    <row r="188" ht="15.75" customHeight="1">
      <c r="A188" s="4">
        <f>IF(RETORNOS!A188="","",RETORNOS!A188)</f>
        <v>44683</v>
      </c>
      <c r="B188" s="7">
        <f>IF(RETORNOS!B188="","",OPTIMIZACION!$B$5*RETORNOS!B188+OPTIMIZACION!$B$6*RETORNOS!C188+OPTIMIZACION!$B$7*RETORNOS!D188+OPTIMIZACION!$B$8*RETORNOS!E188+OPTIMIZACION!$B$9*RETORNOS!F188+OPTIMIZACION!$B$10*RETORNOS!G188)</f>
        <v>0.0007727634152</v>
      </c>
      <c r="C188" s="7">
        <f>IF(RETORNOS!H188="","",RETORNOS!H188)</f>
        <v>0.01596390399</v>
      </c>
      <c r="D188" s="7">
        <f>IF(RETORNOS!I188="","",RETORNOS!I188)</f>
        <v>-0.01024662435</v>
      </c>
      <c r="E188" s="7">
        <f t="shared" si="2"/>
        <v>0.002858639823</v>
      </c>
      <c r="F188" s="7">
        <f t="shared" si="3"/>
        <v>-0.01519114058</v>
      </c>
      <c r="G188" s="7">
        <f t="shared" si="4"/>
        <v>-0.002085876408</v>
      </c>
      <c r="H188" s="5">
        <f t="shared" ref="H188:K188" si="188">IF(B188="","",H187*(1+B188))</f>
        <v>129.2418282</v>
      </c>
      <c r="I188" s="5">
        <f t="shared" si="188"/>
        <v>161.9152908</v>
      </c>
      <c r="J188" s="5">
        <f t="shared" si="188"/>
        <v>106.9364398</v>
      </c>
      <c r="K188" s="5">
        <f t="shared" si="188"/>
        <v>132.709202</v>
      </c>
      <c r="L188" s="7">
        <f t="shared" si="6"/>
        <v>-0.05038041521</v>
      </c>
    </row>
    <row r="189" ht="15.75" customHeight="1">
      <c r="A189" s="4">
        <f>IF(RETORNOS!A189="","",RETORNOS!A189)</f>
        <v>44684</v>
      </c>
      <c r="B189" s="7">
        <f>IF(RETORNOS!B189="","",OPTIMIZACION!$B$5*RETORNOS!B189+OPTIMIZACION!$B$6*RETORNOS!C189+OPTIMIZACION!$B$7*RETORNOS!D189+OPTIMIZACION!$B$8*RETORNOS!E189+OPTIMIZACION!$B$9*RETORNOS!F189+OPTIMIZACION!$B$10*RETORNOS!G189)</f>
        <v>0.01535575197</v>
      </c>
      <c r="C189" s="7">
        <f>IF(RETORNOS!H189="","",RETORNOS!H189)</f>
        <v>0.02803615172</v>
      </c>
      <c r="D189" s="7">
        <f>IF(RETORNOS!I189="","",RETORNOS!I189)</f>
        <v>0.00383056434</v>
      </c>
      <c r="E189" s="7">
        <f t="shared" si="2"/>
        <v>0.01593335803</v>
      </c>
      <c r="F189" s="7">
        <f t="shared" si="3"/>
        <v>-0.01268039975</v>
      </c>
      <c r="G189" s="7">
        <f t="shared" si="4"/>
        <v>-0.0005776060629</v>
      </c>
      <c r="H189" s="5">
        <f t="shared" ref="H189:K189" si="189">IF(B189="","",H188*(1+B189))</f>
        <v>131.2264336</v>
      </c>
      <c r="I189" s="5">
        <f t="shared" si="189"/>
        <v>166.4547725</v>
      </c>
      <c r="J189" s="5">
        <f t="shared" si="189"/>
        <v>107.3460667</v>
      </c>
      <c r="K189" s="5">
        <f t="shared" si="189"/>
        <v>134.8237052</v>
      </c>
      <c r="L189" s="7">
        <f t="shared" si="6"/>
        <v>-0.0357982924</v>
      </c>
    </row>
    <row r="190" ht="15.75" customHeight="1">
      <c r="A190" s="4">
        <f>IF(RETORNOS!A190="","",RETORNOS!A190)</f>
        <v>44685</v>
      </c>
      <c r="B190" s="7">
        <f>IF(RETORNOS!B190="","",OPTIMIZACION!$B$5*RETORNOS!B190+OPTIMIZACION!$B$6*RETORNOS!C190+OPTIMIZACION!$B$7*RETORNOS!D190+OPTIMIZACION!$B$8*RETORNOS!E190+OPTIMIZACION!$B$9*RETORNOS!F190+OPTIMIZACION!$B$10*RETORNOS!G190)</f>
        <v>0.03208117386</v>
      </c>
      <c r="C190" s="7">
        <f>IF(RETORNOS!H190="","",RETORNOS!H190)</f>
        <v>0.04153072639</v>
      </c>
      <c r="D190" s="7">
        <f>IF(RETORNOS!I190="","",RETORNOS!I190)</f>
        <v>0.02231568405</v>
      </c>
      <c r="E190" s="7">
        <f t="shared" si="2"/>
        <v>0.03192320522</v>
      </c>
      <c r="F190" s="7">
        <f t="shared" si="3"/>
        <v>-0.009449552526</v>
      </c>
      <c r="G190" s="7">
        <f t="shared" si="4"/>
        <v>0.0001579686423</v>
      </c>
      <c r="H190" s="5">
        <f t="shared" ref="H190:K190" si="190">IF(B190="","",H189*(1+B190))</f>
        <v>135.4363316</v>
      </c>
      <c r="I190" s="5">
        <f t="shared" si="190"/>
        <v>173.3677601</v>
      </c>
      <c r="J190" s="5">
        <f t="shared" si="190"/>
        <v>109.7415676</v>
      </c>
      <c r="K190" s="5">
        <f t="shared" si="190"/>
        <v>139.12771</v>
      </c>
      <c r="L190" s="7">
        <f t="shared" si="6"/>
        <v>-0.004865569786</v>
      </c>
    </row>
    <row r="191" ht="15.75" customHeight="1">
      <c r="A191" s="4">
        <f>IF(RETORNOS!A191="","",RETORNOS!A191)</f>
        <v>44686</v>
      </c>
      <c r="B191" s="7">
        <f>IF(RETORNOS!B191="","",OPTIMIZACION!$B$5*RETORNOS!B191+OPTIMIZACION!$B$6*RETORNOS!C191+OPTIMIZACION!$B$7*RETORNOS!D191+OPTIMIZACION!$B$8*RETORNOS!E191+OPTIMIZACION!$B$9*RETORNOS!F191+OPTIMIZACION!$B$10*RETORNOS!G191)</f>
        <v>-0.01972262448</v>
      </c>
      <c r="C191" s="7">
        <f>IF(RETORNOS!H191="","",RETORNOS!H191)</f>
        <v>-0.01504426016</v>
      </c>
      <c r="D191" s="7">
        <f>IF(RETORNOS!I191="","",RETORNOS!I191)</f>
        <v>-0.01022138585</v>
      </c>
      <c r="E191" s="7">
        <f t="shared" si="2"/>
        <v>-0.01263282301</v>
      </c>
      <c r="F191" s="7">
        <f t="shared" si="3"/>
        <v>-0.004678364313</v>
      </c>
      <c r="G191" s="7">
        <f t="shared" si="4"/>
        <v>-0.007089801467</v>
      </c>
      <c r="H191" s="5">
        <f t="shared" ref="H191:K191" si="191">IF(B191="","",H190*(1+B191))</f>
        <v>132.7651717</v>
      </c>
      <c r="I191" s="5">
        <f t="shared" si="191"/>
        <v>170.7595704</v>
      </c>
      <c r="J191" s="5">
        <f t="shared" si="191"/>
        <v>108.6198567</v>
      </c>
      <c r="K191" s="5">
        <f t="shared" si="191"/>
        <v>137.3701343</v>
      </c>
      <c r="L191" s="7">
        <f t="shared" si="6"/>
        <v>-0.02449223246</v>
      </c>
    </row>
    <row r="192" ht="15.75" customHeight="1">
      <c r="A192" s="4">
        <f>IF(RETORNOS!A192="","",RETORNOS!A192)</f>
        <v>44687</v>
      </c>
      <c r="B192" s="7">
        <f>IF(RETORNOS!B192="","",OPTIMIZACION!$B$5*RETORNOS!B192+OPTIMIZACION!$B$6*RETORNOS!C192+OPTIMIZACION!$B$7*RETORNOS!D192+OPTIMIZACION!$B$8*RETORNOS!E192+OPTIMIZACION!$B$9*RETORNOS!F192+OPTIMIZACION!$B$10*RETORNOS!G192)</f>
        <v>0.01365657597</v>
      </c>
      <c r="C192" s="7">
        <f>IF(RETORNOS!H192="","",RETORNOS!H192)</f>
        <v>0.02980412646</v>
      </c>
      <c r="D192" s="7">
        <f>IF(RETORNOS!I192="","",RETORNOS!I192)</f>
        <v>0.007952715951</v>
      </c>
      <c r="E192" s="7">
        <f t="shared" si="2"/>
        <v>0.01887842121</v>
      </c>
      <c r="F192" s="7">
        <f t="shared" si="3"/>
        <v>-0.01614755049</v>
      </c>
      <c r="G192" s="7">
        <f t="shared" si="4"/>
        <v>-0.005221845235</v>
      </c>
      <c r="H192" s="5">
        <f t="shared" ref="H192:K192" si="192">IF(B192="","",H191*(1+B192))</f>
        <v>134.5782894</v>
      </c>
      <c r="I192" s="5">
        <f t="shared" si="192"/>
        <v>175.8489102</v>
      </c>
      <c r="J192" s="5">
        <f t="shared" si="192"/>
        <v>109.4836796</v>
      </c>
      <c r="K192" s="5">
        <f t="shared" si="192"/>
        <v>139.9634655</v>
      </c>
      <c r="L192" s="7">
        <f t="shared" si="6"/>
        <v>-0.01117013652</v>
      </c>
    </row>
    <row r="193" ht="15.75" customHeight="1">
      <c r="A193" s="4">
        <f>IF(RETORNOS!A193="","",RETORNOS!A193)</f>
        <v>44690</v>
      </c>
      <c r="B193" s="7">
        <f>IF(RETORNOS!B193="","",OPTIMIZACION!$B$5*RETORNOS!B193+OPTIMIZACION!$B$6*RETORNOS!C193+OPTIMIZACION!$B$7*RETORNOS!D193+OPTIMIZACION!$B$8*RETORNOS!E193+OPTIMIZACION!$B$9*RETORNOS!F193+OPTIMIZACION!$B$10*RETORNOS!G193)</f>
        <v>-0.046437196</v>
      </c>
      <c r="C193" s="7">
        <f>IF(RETORNOS!H193="","",RETORNOS!H193)</f>
        <v>-0.08273268222</v>
      </c>
      <c r="D193" s="7">
        <f>IF(RETORNOS!I193="","",RETORNOS!I193)</f>
        <v>-0.007473562854</v>
      </c>
      <c r="E193" s="7">
        <f t="shared" si="2"/>
        <v>-0.04510312254</v>
      </c>
      <c r="F193" s="7">
        <f t="shared" si="3"/>
        <v>0.03629548623</v>
      </c>
      <c r="G193" s="7">
        <f t="shared" si="4"/>
        <v>-0.001334073458</v>
      </c>
      <c r="H193" s="5">
        <f t="shared" ref="H193:K193" si="193">IF(B193="","",H192*(1+B193))</f>
        <v>128.328851</v>
      </c>
      <c r="I193" s="5">
        <f t="shared" si="193"/>
        <v>161.3004582</v>
      </c>
      <c r="J193" s="5">
        <f t="shared" si="193"/>
        <v>108.6654464</v>
      </c>
      <c r="K193" s="5">
        <f t="shared" si="193"/>
        <v>133.6506762</v>
      </c>
      <c r="L193" s="7">
        <f t="shared" si="6"/>
        <v>-0.05708862269</v>
      </c>
    </row>
    <row r="194" ht="15.75" customHeight="1">
      <c r="A194" s="4">
        <f>IF(RETORNOS!A194="","",RETORNOS!A194)</f>
        <v>44691</v>
      </c>
      <c r="B194" s="7">
        <f>IF(RETORNOS!B194="","",OPTIMIZACION!$B$5*RETORNOS!B194+OPTIMIZACION!$B$6*RETORNOS!C194+OPTIMIZACION!$B$7*RETORNOS!D194+OPTIMIZACION!$B$8*RETORNOS!E194+OPTIMIZACION!$B$9*RETORNOS!F194+OPTIMIZACION!$B$10*RETORNOS!G194)</f>
        <v>-0.007436629085</v>
      </c>
      <c r="C194" s="7">
        <f>IF(RETORNOS!H194="","",RETORNOS!H194)</f>
        <v>0.009072380643</v>
      </c>
      <c r="D194" s="7">
        <f>IF(RETORNOS!I194="","",RETORNOS!I194)</f>
        <v>-0.0121416674</v>
      </c>
      <c r="E194" s="7">
        <f t="shared" si="2"/>
        <v>-0.001534643377</v>
      </c>
      <c r="F194" s="7">
        <f t="shared" si="3"/>
        <v>-0.01650900973</v>
      </c>
      <c r="G194" s="7">
        <f t="shared" si="4"/>
        <v>-0.005901985708</v>
      </c>
      <c r="H194" s="5">
        <f t="shared" ref="H194:K194" si="194">IF(B194="","",H193*(1+B194))</f>
        <v>127.3745169</v>
      </c>
      <c r="I194" s="5">
        <f t="shared" si="194"/>
        <v>162.7638374</v>
      </c>
      <c r="J194" s="5">
        <f t="shared" si="194"/>
        <v>107.3460667</v>
      </c>
      <c r="K194" s="5">
        <f t="shared" si="194"/>
        <v>133.4455701</v>
      </c>
      <c r="L194" s="7">
        <f t="shared" si="6"/>
        <v>-0.06410070487</v>
      </c>
    </row>
    <row r="195" ht="15.75" customHeight="1">
      <c r="A195" s="4">
        <f>IF(RETORNOS!A195="","",RETORNOS!A195)</f>
        <v>44692</v>
      </c>
      <c r="B195" s="7">
        <f>IF(RETORNOS!B195="","",OPTIMIZACION!$B$5*RETORNOS!B195+OPTIMIZACION!$B$6*RETORNOS!C195+OPTIMIZACION!$B$7*RETORNOS!D195+OPTIMIZACION!$B$8*RETORNOS!E195+OPTIMIZACION!$B$9*RETORNOS!F195+OPTIMIZACION!$B$10*RETORNOS!G195)</f>
        <v>0.01234359932</v>
      </c>
      <c r="C195" s="7">
        <f>IF(RETORNOS!H195="","",RETORNOS!H195)</f>
        <v>0.01342365853</v>
      </c>
      <c r="D195" s="7">
        <f>IF(RETORNOS!I195="","",RETORNOS!I195)</f>
        <v>0.007200857003</v>
      </c>
      <c r="E195" s="7">
        <f t="shared" si="2"/>
        <v>0.01031225777</v>
      </c>
      <c r="F195" s="7">
        <f t="shared" si="3"/>
        <v>-0.001080059205</v>
      </c>
      <c r="G195" s="7">
        <f t="shared" si="4"/>
        <v>0.002031341557</v>
      </c>
      <c r="H195" s="5">
        <f t="shared" ref="H195:K195" si="195">IF(B195="","",H194*(1+B195))</f>
        <v>128.9467769</v>
      </c>
      <c r="I195" s="5">
        <f t="shared" si="195"/>
        <v>164.9487235</v>
      </c>
      <c r="J195" s="5">
        <f t="shared" si="195"/>
        <v>108.1190504</v>
      </c>
      <c r="K195" s="5">
        <f t="shared" si="195"/>
        <v>134.8216952</v>
      </c>
      <c r="L195" s="7">
        <f t="shared" si="6"/>
        <v>-0.05254833896</v>
      </c>
    </row>
    <row r="196" ht="15.75" customHeight="1">
      <c r="A196" s="4">
        <f>IF(RETORNOS!A196="","",RETORNOS!A196)</f>
        <v>44693</v>
      </c>
      <c r="B196" s="7">
        <f>IF(RETORNOS!B196="","",OPTIMIZACION!$B$5*RETORNOS!B196+OPTIMIZACION!$B$6*RETORNOS!C196+OPTIMIZACION!$B$7*RETORNOS!D196+OPTIMIZACION!$B$8*RETORNOS!E196+OPTIMIZACION!$B$9*RETORNOS!F196+OPTIMIZACION!$B$10*RETORNOS!G196)</f>
        <v>-0.0004644696909</v>
      </c>
      <c r="C196" s="7">
        <f>IF(RETORNOS!H196="","",RETORNOS!H196)</f>
        <v>0.004244786614</v>
      </c>
      <c r="D196" s="7">
        <f>IF(RETORNOS!I196="","",RETORNOS!I196)</f>
        <v>-0.01009471664</v>
      </c>
      <c r="E196" s="7">
        <f t="shared" si="2"/>
        <v>-0.002924965011</v>
      </c>
      <c r="F196" s="7">
        <f t="shared" si="3"/>
        <v>-0.004709256305</v>
      </c>
      <c r="G196" s="7">
        <f t="shared" si="4"/>
        <v>0.00246049532</v>
      </c>
      <c r="H196" s="5">
        <f t="shared" ref="H196:K196" si="196">IF(B196="","",H195*(1+B196))</f>
        <v>128.8868851</v>
      </c>
      <c r="I196" s="5">
        <f t="shared" si="196"/>
        <v>165.6488957</v>
      </c>
      <c r="J196" s="5">
        <f t="shared" si="196"/>
        <v>107.0276192</v>
      </c>
      <c r="K196" s="5">
        <f t="shared" si="196"/>
        <v>134.4273465</v>
      </c>
      <c r="L196" s="7">
        <f t="shared" si="6"/>
        <v>-0.05298840154</v>
      </c>
    </row>
    <row r="197" ht="15.75" customHeight="1">
      <c r="A197" s="4">
        <f>IF(RETORNOS!A197="","",RETORNOS!A197)</f>
        <v>44694</v>
      </c>
      <c r="B197" s="7">
        <f>IF(RETORNOS!B197="","",OPTIMIZACION!$B$5*RETORNOS!B197+OPTIMIZACION!$B$6*RETORNOS!C197+OPTIMIZACION!$B$7*RETORNOS!D197+OPTIMIZACION!$B$8*RETORNOS!E197+OPTIMIZACION!$B$9*RETORNOS!F197+OPTIMIZACION!$B$10*RETORNOS!G197)</f>
        <v>0.01914915934</v>
      </c>
      <c r="C197" s="7">
        <f>IF(RETORNOS!H197="","",RETORNOS!H197)</f>
        <v>0.03417772652</v>
      </c>
      <c r="D197" s="7">
        <f>IF(RETORNOS!I197="","",RETORNOS!I197)</f>
        <v>0.0119015074</v>
      </c>
      <c r="E197" s="7">
        <f t="shared" si="2"/>
        <v>0.02303961696</v>
      </c>
      <c r="F197" s="7">
        <f t="shared" si="3"/>
        <v>-0.01502856718</v>
      </c>
      <c r="G197" s="7">
        <f t="shared" si="4"/>
        <v>-0.003890457614</v>
      </c>
      <c r="H197" s="5">
        <f t="shared" ref="H197:K197" si="197">IF(B197="","",H196*(1+B197))</f>
        <v>131.3549606</v>
      </c>
      <c r="I197" s="5">
        <f t="shared" si="197"/>
        <v>171.3103983</v>
      </c>
      <c r="J197" s="5">
        <f t="shared" si="197"/>
        <v>108.3014092</v>
      </c>
      <c r="K197" s="5">
        <f t="shared" si="197"/>
        <v>137.524501</v>
      </c>
      <c r="L197" s="7">
        <f t="shared" si="6"/>
        <v>-0.03485392554</v>
      </c>
    </row>
    <row r="198" ht="15.75" customHeight="1">
      <c r="A198" s="4">
        <f>IF(RETORNOS!A198="","",RETORNOS!A198)</f>
        <v>44697</v>
      </c>
      <c r="B198" s="7">
        <f>IF(RETORNOS!B198="","",OPTIMIZACION!$B$5*RETORNOS!B198+OPTIMIZACION!$B$6*RETORNOS!C198+OPTIMIZACION!$B$7*RETORNOS!D198+OPTIMIZACION!$B$8*RETORNOS!E198+OPTIMIZACION!$B$9*RETORNOS!F198+OPTIMIZACION!$B$10*RETORNOS!G198)</f>
        <v>0.01569970341</v>
      </c>
      <c r="C198" s="7">
        <f>IF(RETORNOS!H198="","",RETORNOS!H198)</f>
        <v>0.0263712065</v>
      </c>
      <c r="D198" s="7">
        <f>IF(RETORNOS!I198="","",RETORNOS!I198)</f>
        <v>0.003075463519</v>
      </c>
      <c r="E198" s="7">
        <f t="shared" si="2"/>
        <v>0.01472333501</v>
      </c>
      <c r="F198" s="7">
        <f t="shared" si="3"/>
        <v>-0.0106715031</v>
      </c>
      <c r="G198" s="7">
        <f t="shared" si="4"/>
        <v>0.0009763683947</v>
      </c>
      <c r="H198" s="5">
        <f t="shared" ref="H198:K198" si="198">IF(B198="","",H197*(1+B198))</f>
        <v>133.4171945</v>
      </c>
      <c r="I198" s="5">
        <f t="shared" si="198"/>
        <v>175.8280602</v>
      </c>
      <c r="J198" s="5">
        <f t="shared" si="198"/>
        <v>108.6344862</v>
      </c>
      <c r="K198" s="5">
        <f t="shared" si="198"/>
        <v>139.5493203</v>
      </c>
      <c r="L198" s="7">
        <f t="shared" si="6"/>
        <v>-0.01970141843</v>
      </c>
    </row>
    <row r="199" ht="15.75" customHeight="1">
      <c r="A199" s="4">
        <f>IF(RETORNOS!A199="","",RETORNOS!A199)</f>
        <v>44698</v>
      </c>
      <c r="B199" s="7">
        <f>IF(RETORNOS!B199="","",OPTIMIZACION!$B$5*RETORNOS!B199+OPTIMIZACION!$B$6*RETORNOS!C199+OPTIMIZACION!$B$7*RETORNOS!D199+OPTIMIZACION!$B$8*RETORNOS!E199+OPTIMIZACION!$B$9*RETORNOS!F199+OPTIMIZACION!$B$10*RETORNOS!G199)</f>
        <v>0.01119760428</v>
      </c>
      <c r="C199" s="7">
        <f>IF(RETORNOS!H199="","",RETORNOS!H199)</f>
        <v>0.01157688924</v>
      </c>
      <c r="D199" s="7">
        <f>IF(RETORNOS!I199="","",RETORNOS!I199)</f>
        <v>0.01033181441</v>
      </c>
      <c r="E199" s="7">
        <f t="shared" si="2"/>
        <v>0.01095435183</v>
      </c>
      <c r="F199" s="7">
        <f t="shared" si="3"/>
        <v>-0.0003792849588</v>
      </c>
      <c r="G199" s="7">
        <f t="shared" si="4"/>
        <v>0.0002432524575</v>
      </c>
      <c r="H199" s="5">
        <f t="shared" ref="H199:K199" si="199">IF(B199="","",H198*(1+B199))</f>
        <v>134.9111474</v>
      </c>
      <c r="I199" s="5">
        <f t="shared" si="199"/>
        <v>177.8636022</v>
      </c>
      <c r="J199" s="5">
        <f t="shared" si="199"/>
        <v>109.7568776</v>
      </c>
      <c r="K199" s="5">
        <f t="shared" si="199"/>
        <v>141.0779927</v>
      </c>
      <c r="L199" s="7">
        <f t="shared" si="6"/>
        <v>-0.008724422835</v>
      </c>
    </row>
    <row r="200" ht="15.75" customHeight="1">
      <c r="A200" s="4">
        <f>IF(RETORNOS!A200="","",RETORNOS!A200)</f>
        <v>44699</v>
      </c>
      <c r="B200" s="7">
        <f>IF(RETORNOS!B200="","",OPTIMIZACION!$B$5*RETORNOS!B200+OPTIMIZACION!$B$6*RETORNOS!C200+OPTIMIZACION!$B$7*RETORNOS!D200+OPTIMIZACION!$B$8*RETORNOS!E200+OPTIMIZACION!$B$9*RETORNOS!F200+OPTIMIZACION!$B$10*RETORNOS!G200)</f>
        <v>-0.01879454765</v>
      </c>
      <c r="C200" s="7">
        <f>IF(RETORNOS!H200="","",RETORNOS!H200)</f>
        <v>-0.02563676165</v>
      </c>
      <c r="D200" s="7">
        <f>IF(RETORNOS!I200="","",RETORNOS!I200)</f>
        <v>-0.009674399573</v>
      </c>
      <c r="E200" s="7">
        <f t="shared" si="2"/>
        <v>-0.01765558061</v>
      </c>
      <c r="F200" s="7">
        <f t="shared" si="3"/>
        <v>0.006842214006</v>
      </c>
      <c r="G200" s="7">
        <f t="shared" si="4"/>
        <v>-0.001138967035</v>
      </c>
      <c r="H200" s="5">
        <f t="shared" ref="H200:K200" si="200">IF(B200="","",H199*(1+B200))</f>
        <v>132.3755534</v>
      </c>
      <c r="I200" s="5">
        <f t="shared" si="200"/>
        <v>173.3037554</v>
      </c>
      <c r="J200" s="5">
        <f t="shared" si="200"/>
        <v>108.6950457</v>
      </c>
      <c r="K200" s="5">
        <f t="shared" si="200"/>
        <v>138.5871788</v>
      </c>
      <c r="L200" s="7">
        <f t="shared" si="6"/>
        <v>-0.0273549989</v>
      </c>
    </row>
    <row r="201" ht="15.75" customHeight="1">
      <c r="A201" s="4">
        <f>IF(RETORNOS!A201="","",RETORNOS!A201)</f>
        <v>44700</v>
      </c>
      <c r="B201" s="7">
        <f>IF(RETORNOS!B201="","",OPTIMIZACION!$B$5*RETORNOS!B201+OPTIMIZACION!$B$6*RETORNOS!C201+OPTIMIZACION!$B$7*RETORNOS!D201+OPTIMIZACION!$B$8*RETORNOS!E201+OPTIMIZACION!$B$9*RETORNOS!F201+OPTIMIZACION!$B$10*RETORNOS!G201)</f>
        <v>0.004129392749</v>
      </c>
      <c r="C201" s="7">
        <f>IF(RETORNOS!H201="","",RETORNOS!H201)</f>
        <v>-0.003668025506</v>
      </c>
      <c r="D201" s="7">
        <f>IF(RETORNOS!I201="","",RETORNOS!I201)</f>
        <v>-0.002087748018</v>
      </c>
      <c r="E201" s="7">
        <f t="shared" si="2"/>
        <v>-0.002877886762</v>
      </c>
      <c r="F201" s="7">
        <f t="shared" si="3"/>
        <v>0.007797418254</v>
      </c>
      <c r="G201" s="7">
        <f t="shared" si="4"/>
        <v>0.00700727951</v>
      </c>
      <c r="H201" s="5">
        <f t="shared" ref="H201:K201" si="201">IF(B201="","",H200*(1+B201))</f>
        <v>132.9221841</v>
      </c>
      <c r="I201" s="5">
        <f t="shared" si="201"/>
        <v>172.6680728</v>
      </c>
      <c r="J201" s="5">
        <f t="shared" si="201"/>
        <v>108.4681178</v>
      </c>
      <c r="K201" s="5">
        <f t="shared" si="201"/>
        <v>138.1883406</v>
      </c>
      <c r="L201" s="7">
        <f t="shared" si="6"/>
        <v>-0.02333856569</v>
      </c>
    </row>
    <row r="202" ht="15.75" customHeight="1">
      <c r="A202" s="4">
        <f>IF(RETORNOS!A202="","",RETORNOS!A202)</f>
        <v>44701</v>
      </c>
      <c r="B202" s="7">
        <f>IF(RETORNOS!B202="","",OPTIMIZACION!$B$5*RETORNOS!B202+OPTIMIZACION!$B$6*RETORNOS!C202+OPTIMIZACION!$B$7*RETORNOS!D202+OPTIMIZACION!$B$8*RETORNOS!E202+OPTIMIZACION!$B$9*RETORNOS!F202+OPTIMIZACION!$B$10*RETORNOS!G202)</f>
        <v>-0.001068422388</v>
      </c>
      <c r="C202" s="7">
        <f>IF(RETORNOS!H202="","",RETORNOS!H202)</f>
        <v>0.004293713599</v>
      </c>
      <c r="D202" s="7">
        <f>IF(RETORNOS!I202="","",RETORNOS!I202)</f>
        <v>0.002794715447</v>
      </c>
      <c r="E202" s="7">
        <f t="shared" si="2"/>
        <v>0.003544214523</v>
      </c>
      <c r="F202" s="7">
        <f t="shared" si="3"/>
        <v>-0.005362135987</v>
      </c>
      <c r="G202" s="7">
        <f t="shared" si="4"/>
        <v>-0.004612636911</v>
      </c>
      <c r="H202" s="5">
        <f t="shared" ref="H202:K202" si="202">IF(B202="","",H201*(1+B202))</f>
        <v>132.7801671</v>
      </c>
      <c r="I202" s="5">
        <f t="shared" si="202"/>
        <v>173.4094601</v>
      </c>
      <c r="J202" s="5">
        <f t="shared" si="202"/>
        <v>108.7712553</v>
      </c>
      <c r="K202" s="5">
        <f t="shared" si="202"/>
        <v>138.6781097</v>
      </c>
      <c r="L202" s="7">
        <f t="shared" si="6"/>
        <v>-0.02438205263</v>
      </c>
    </row>
    <row r="203" ht="15.75" customHeight="1">
      <c r="A203" s="4">
        <f>IF(RETORNOS!A203="","",RETORNOS!A203)</f>
        <v>44704</v>
      </c>
      <c r="B203" s="7">
        <f>IF(RETORNOS!B203="","",OPTIMIZACION!$B$5*RETORNOS!B203+OPTIMIZACION!$B$6*RETORNOS!C203+OPTIMIZACION!$B$7*RETORNOS!D203+OPTIMIZACION!$B$8*RETORNOS!E203+OPTIMIZACION!$B$9*RETORNOS!F203+OPTIMIZACION!$B$10*RETORNOS!G203)</f>
        <v>0.01928534888</v>
      </c>
      <c r="C203" s="7">
        <f>IF(RETORNOS!H203="","",RETORNOS!H203)</f>
        <v>0.02642388384</v>
      </c>
      <c r="D203" s="7">
        <f>IF(RETORNOS!I203="","",RETORNOS!I203)</f>
        <v>0.01198597466</v>
      </c>
      <c r="E203" s="7">
        <f t="shared" si="2"/>
        <v>0.01920492925</v>
      </c>
      <c r="F203" s="7">
        <f t="shared" si="3"/>
        <v>-0.007138534959</v>
      </c>
      <c r="G203" s="7">
        <f t="shared" si="4"/>
        <v>0.00008041962972</v>
      </c>
      <c r="H203" s="5">
        <f t="shared" ref="H203:K203" si="203">IF(B203="","",H202*(1+B203))</f>
        <v>135.3408789</v>
      </c>
      <c r="I203" s="5">
        <f t="shared" si="203"/>
        <v>177.9916115</v>
      </c>
      <c r="J203" s="5">
        <f t="shared" si="203"/>
        <v>110.0749849</v>
      </c>
      <c r="K203" s="5">
        <f t="shared" si="203"/>
        <v>141.341413</v>
      </c>
      <c r="L203" s="7">
        <f t="shared" si="6"/>
        <v>-0.005566920145</v>
      </c>
    </row>
    <row r="204" ht="15.75" customHeight="1">
      <c r="A204" s="4">
        <f>IF(RETORNOS!A204="","",RETORNOS!A204)</f>
        <v>44705</v>
      </c>
      <c r="B204" s="7">
        <f>IF(RETORNOS!B204="","",OPTIMIZACION!$B$5*RETORNOS!B204+OPTIMIZACION!$B$6*RETORNOS!C204+OPTIMIZACION!$B$7*RETORNOS!D204+OPTIMIZACION!$B$8*RETORNOS!E204+OPTIMIZACION!$B$9*RETORNOS!F204+OPTIMIZACION!$B$10*RETORNOS!G204)</f>
        <v>0.002934920864</v>
      </c>
      <c r="C204" s="7">
        <f>IF(RETORNOS!H204="","",RETORNOS!H204)</f>
        <v>0.003808423754</v>
      </c>
      <c r="D204" s="7">
        <f>IF(RETORNOS!I204="","",RETORNOS!I204)</f>
        <v>0.01997286262</v>
      </c>
      <c r="E204" s="7">
        <f t="shared" si="2"/>
        <v>0.01189064319</v>
      </c>
      <c r="F204" s="7">
        <f t="shared" si="3"/>
        <v>-0.0008735028901</v>
      </c>
      <c r="G204" s="7">
        <f t="shared" si="4"/>
        <v>-0.008955722324</v>
      </c>
      <c r="H204" s="5">
        <f t="shared" ref="H204:K204" si="204">IF(B204="","",H203*(1+B204))</f>
        <v>135.7380937</v>
      </c>
      <c r="I204" s="5">
        <f t="shared" si="204"/>
        <v>178.669479</v>
      </c>
      <c r="J204" s="5">
        <f t="shared" si="204"/>
        <v>112.2734974</v>
      </c>
      <c r="K204" s="5">
        <f t="shared" si="204"/>
        <v>143.0220533</v>
      </c>
      <c r="L204" s="7">
        <f t="shared" si="6"/>
        <v>-0.002648337751</v>
      </c>
    </row>
    <row r="205" ht="15.75" customHeight="1">
      <c r="A205" s="4">
        <f>IF(RETORNOS!A205="","",RETORNOS!A205)</f>
        <v>44706</v>
      </c>
      <c r="B205" s="7">
        <f>IF(RETORNOS!B205="","",OPTIMIZACION!$B$5*RETORNOS!B205+OPTIMIZACION!$B$6*RETORNOS!C205+OPTIMIZACION!$B$7*RETORNOS!D205+OPTIMIZACION!$B$8*RETORNOS!E205+OPTIMIZACION!$B$9*RETORNOS!F205+OPTIMIZACION!$B$10*RETORNOS!G205)</f>
        <v>0.01188328912</v>
      </c>
      <c r="C205" s="7">
        <f>IF(RETORNOS!H205="","",RETORNOS!H205)</f>
        <v>0.02065246595</v>
      </c>
      <c r="D205" s="7">
        <f>IF(RETORNOS!I205="","",RETORNOS!I205)</f>
        <v>-0.0006727252342</v>
      </c>
      <c r="E205" s="7">
        <f t="shared" si="2"/>
        <v>0.009989870357</v>
      </c>
      <c r="F205" s="7">
        <f t="shared" si="3"/>
        <v>-0.008769176831</v>
      </c>
      <c r="G205" s="7">
        <f t="shared" si="4"/>
        <v>0.00189341876</v>
      </c>
      <c r="H205" s="5">
        <f t="shared" ref="H205:K205" si="205">IF(B205="","",H204*(1+B205))</f>
        <v>137.3511087</v>
      </c>
      <c r="I205" s="5">
        <f t="shared" si="205"/>
        <v>182.3594443</v>
      </c>
      <c r="J205" s="5">
        <f t="shared" si="205"/>
        <v>112.1979682</v>
      </c>
      <c r="K205" s="5">
        <f t="shared" si="205"/>
        <v>144.4508251</v>
      </c>
      <c r="L205" s="7">
        <f t="shared" si="6"/>
        <v>0</v>
      </c>
    </row>
    <row r="206" ht="15.75" customHeight="1">
      <c r="A206" s="4">
        <f>IF(RETORNOS!A206="","",RETORNOS!A206)</f>
        <v>44707</v>
      </c>
      <c r="B206" s="7">
        <f>IF(RETORNOS!B206="","",OPTIMIZACION!$B$5*RETORNOS!B206+OPTIMIZACION!$B$6*RETORNOS!C206+OPTIMIZACION!$B$7*RETORNOS!D206+OPTIMIZACION!$B$8*RETORNOS!E206+OPTIMIZACION!$B$9*RETORNOS!F206+OPTIMIZACION!$B$10*RETORNOS!G206)</f>
        <v>0.00269423995</v>
      </c>
      <c r="C206" s="7">
        <f>IF(RETORNOS!H206="","",RETORNOS!H206)</f>
        <v>0.0110452579</v>
      </c>
      <c r="D206" s="7">
        <f>IF(RETORNOS!I206="","",RETORNOS!I206)</f>
        <v>0.002838264413</v>
      </c>
      <c r="E206" s="7">
        <f t="shared" si="2"/>
        <v>0.006941761159</v>
      </c>
      <c r="F206" s="7">
        <f t="shared" si="3"/>
        <v>-0.008351017955</v>
      </c>
      <c r="G206" s="7">
        <f t="shared" si="4"/>
        <v>-0.004247521209</v>
      </c>
      <c r="H206" s="5">
        <f t="shared" ref="H206:K206" si="206">IF(B206="","",H205*(1+B206))</f>
        <v>137.7211655</v>
      </c>
      <c r="I206" s="5">
        <f t="shared" si="206"/>
        <v>184.3736514</v>
      </c>
      <c r="J206" s="5">
        <f t="shared" si="206"/>
        <v>112.5164157</v>
      </c>
      <c r="K206" s="5">
        <f t="shared" si="206"/>
        <v>145.4535682</v>
      </c>
      <c r="L206" s="7">
        <f t="shared" si="6"/>
        <v>0</v>
      </c>
    </row>
    <row r="207" ht="15.75" customHeight="1">
      <c r="A207" s="4">
        <f>IF(RETORNOS!A207="","",RETORNOS!A207)</f>
        <v>44708</v>
      </c>
      <c r="B207" s="7">
        <f>IF(RETORNOS!B207="","",OPTIMIZACION!$B$5*RETORNOS!B207+OPTIMIZACION!$B$6*RETORNOS!C207+OPTIMIZACION!$B$7*RETORNOS!D207+OPTIMIZACION!$B$8*RETORNOS!E207+OPTIMIZACION!$B$9*RETORNOS!F207+OPTIMIZACION!$B$10*RETORNOS!G207)</f>
        <v>0.01467813965</v>
      </c>
      <c r="C207" s="7">
        <f>IF(RETORNOS!H207="","",RETORNOS!H207)</f>
        <v>0.01829093501</v>
      </c>
      <c r="D207" s="7">
        <f>IF(RETORNOS!I207="","",RETORNOS!I207)</f>
        <v>0.01562977186</v>
      </c>
      <c r="E207" s="7">
        <f t="shared" si="2"/>
        <v>0.01696035343</v>
      </c>
      <c r="F207" s="7">
        <f t="shared" si="3"/>
        <v>-0.003612795357</v>
      </c>
      <c r="G207" s="7">
        <f t="shared" si="4"/>
        <v>-0.002282213783</v>
      </c>
      <c r="H207" s="5">
        <f t="shared" ref="H207:K207" si="207">IF(B207="","",H206*(1+B207))</f>
        <v>139.742656</v>
      </c>
      <c r="I207" s="5">
        <f t="shared" si="207"/>
        <v>187.7460179</v>
      </c>
      <c r="J207" s="5">
        <f t="shared" si="207"/>
        <v>114.2750216</v>
      </c>
      <c r="K207" s="5">
        <f t="shared" si="207"/>
        <v>147.9205121</v>
      </c>
      <c r="L207" s="7">
        <f t="shared" si="6"/>
        <v>0</v>
      </c>
    </row>
    <row r="208" ht="15.75" customHeight="1">
      <c r="A208" s="4">
        <f>IF(RETORNOS!A208="","",RETORNOS!A208)</f>
        <v>44712</v>
      </c>
      <c r="B208" s="7">
        <f>IF(RETORNOS!B208="","",OPTIMIZACION!$B$5*RETORNOS!B208+OPTIMIZACION!$B$6*RETORNOS!C208+OPTIMIZACION!$B$7*RETORNOS!D208+OPTIMIZACION!$B$8*RETORNOS!E208+OPTIMIZACION!$B$9*RETORNOS!F208+OPTIMIZACION!$B$10*RETORNOS!G208)</f>
        <v>-0.01163491615</v>
      </c>
      <c r="C208" s="7">
        <f>IF(RETORNOS!H208="","",RETORNOS!H208)</f>
        <v>-0.0150233214</v>
      </c>
      <c r="D208" s="7">
        <f>IF(RETORNOS!I208="","",RETORNOS!I208)</f>
        <v>-0.01379642972</v>
      </c>
      <c r="E208" s="7">
        <f t="shared" si="2"/>
        <v>-0.01440987556</v>
      </c>
      <c r="F208" s="7">
        <f t="shared" si="3"/>
        <v>0.003388405256</v>
      </c>
      <c r="G208" s="7">
        <f t="shared" si="4"/>
        <v>0.002774959415</v>
      </c>
      <c r="H208" s="5">
        <f t="shared" ref="H208:K208" si="208">IF(B208="","",H207*(1+B208))</f>
        <v>138.1167619</v>
      </c>
      <c r="I208" s="5">
        <f t="shared" si="208"/>
        <v>184.9254491</v>
      </c>
      <c r="J208" s="5">
        <f t="shared" si="208"/>
        <v>112.6984343</v>
      </c>
      <c r="K208" s="5">
        <f t="shared" si="208"/>
        <v>145.788996</v>
      </c>
      <c r="L208" s="7">
        <f t="shared" si="6"/>
        <v>-0.01163491615</v>
      </c>
    </row>
    <row r="209" ht="15.75" customHeight="1">
      <c r="A209" s="4">
        <f>IF(RETORNOS!A209="","",RETORNOS!A209)</f>
        <v>44713</v>
      </c>
      <c r="B209" s="7">
        <f>IF(RETORNOS!B209="","",OPTIMIZACION!$B$5*RETORNOS!B209+OPTIMIZACION!$B$6*RETORNOS!C209+OPTIMIZACION!$B$7*RETORNOS!D209+OPTIMIZACION!$B$8*RETORNOS!E209+OPTIMIZACION!$B$9*RETORNOS!F209+OPTIMIZACION!$B$10*RETORNOS!G209)</f>
        <v>0.001786888429</v>
      </c>
      <c r="C209" s="7">
        <f>IF(RETORNOS!H209="","",RETORNOS!H209)</f>
        <v>0.01628555172</v>
      </c>
      <c r="D209" s="7">
        <f>IF(RETORNOS!I209="","",RETORNOS!I209)</f>
        <v>-0.00161509434</v>
      </c>
      <c r="E209" s="7">
        <f t="shared" si="2"/>
        <v>0.007335228689</v>
      </c>
      <c r="F209" s="7">
        <f t="shared" si="3"/>
        <v>-0.01449866329</v>
      </c>
      <c r="G209" s="7">
        <f t="shared" si="4"/>
        <v>-0.00554834026</v>
      </c>
      <c r="H209" s="5">
        <f t="shared" ref="H209:K209" si="209">IF(B209="","",H208*(1+B209))</f>
        <v>138.3635612</v>
      </c>
      <c r="I209" s="5">
        <f t="shared" si="209"/>
        <v>187.9370621</v>
      </c>
      <c r="J209" s="5">
        <f t="shared" si="209"/>
        <v>112.5164157</v>
      </c>
      <c r="K209" s="5">
        <f t="shared" si="209"/>
        <v>146.8583916</v>
      </c>
      <c r="L209" s="7">
        <f t="shared" si="6"/>
        <v>-0.009868818013</v>
      </c>
    </row>
    <row r="210" ht="15.75" customHeight="1">
      <c r="A210" s="4">
        <f>IF(RETORNOS!A210="","",RETORNOS!A210)</f>
        <v>44714</v>
      </c>
      <c r="B210" s="7">
        <f>IF(RETORNOS!B210="","",OPTIMIZACION!$B$5*RETORNOS!B210+OPTIMIZACION!$B$6*RETORNOS!C210+OPTIMIZACION!$B$7*RETORNOS!D210+OPTIMIZACION!$B$8*RETORNOS!E210+OPTIMIZACION!$B$9*RETORNOS!F210+OPTIMIZACION!$B$10*RETORNOS!G210)</f>
        <v>0.004423292864</v>
      </c>
      <c r="C210" s="7">
        <f>IF(RETORNOS!H210="","",RETORNOS!H210)</f>
        <v>-0.003163119982</v>
      </c>
      <c r="D210" s="7">
        <f>IF(RETORNOS!I210="","",RETORNOS!I210)</f>
        <v>0.006733894743</v>
      </c>
      <c r="E210" s="7">
        <f t="shared" si="2"/>
        <v>0.001785387381</v>
      </c>
      <c r="F210" s="7">
        <f t="shared" si="3"/>
        <v>0.007586412846</v>
      </c>
      <c r="G210" s="7">
        <f t="shared" si="4"/>
        <v>0.002637905484</v>
      </c>
      <c r="H210" s="5">
        <f t="shared" ref="H210:K210" si="210">IF(B210="","",H209*(1+B210))</f>
        <v>138.9755837</v>
      </c>
      <c r="I210" s="5">
        <f t="shared" si="210"/>
        <v>187.3425946</v>
      </c>
      <c r="J210" s="5">
        <f t="shared" si="210"/>
        <v>113.2740894</v>
      </c>
      <c r="K210" s="5">
        <f t="shared" si="210"/>
        <v>147.1205907</v>
      </c>
      <c r="L210" s="7">
        <f t="shared" si="6"/>
        <v>-0.005489177821</v>
      </c>
    </row>
    <row r="211" ht="15.75" customHeight="1">
      <c r="A211" s="4">
        <f>IF(RETORNOS!A211="","",RETORNOS!A211)</f>
        <v>44715</v>
      </c>
      <c r="B211" s="7">
        <f>IF(RETORNOS!B211="","",OPTIMIZACION!$B$5*RETORNOS!B211+OPTIMIZACION!$B$6*RETORNOS!C211+OPTIMIZACION!$B$7*RETORNOS!D211+OPTIMIZACION!$B$8*RETORNOS!E211+OPTIMIZACION!$B$9*RETORNOS!F211+OPTIMIZACION!$B$10*RETORNOS!G211)</f>
        <v>0.0009121144488</v>
      </c>
      <c r="C211" s="7">
        <f>IF(RETORNOS!H211="","",RETORNOS!H211)</f>
        <v>0.01324909542</v>
      </c>
      <c r="D211" s="7">
        <f>IF(RETORNOS!I211="","",RETORNOS!I211)</f>
        <v>-0.004817655928</v>
      </c>
      <c r="E211" s="7">
        <f t="shared" si="2"/>
        <v>0.004215719745</v>
      </c>
      <c r="F211" s="7">
        <f t="shared" si="3"/>
        <v>-0.01233698097</v>
      </c>
      <c r="G211" s="7">
        <f t="shared" si="4"/>
        <v>-0.003303605296</v>
      </c>
      <c r="H211" s="5">
        <f t="shared" ref="H211:K211" si="211">IF(B211="","",H210*(1+B211))</f>
        <v>139.1023454</v>
      </c>
      <c r="I211" s="5">
        <f t="shared" si="211"/>
        <v>189.8247145</v>
      </c>
      <c r="J211" s="5">
        <f t="shared" si="211"/>
        <v>112.7283738</v>
      </c>
      <c r="K211" s="5">
        <f t="shared" si="211"/>
        <v>147.7408099</v>
      </c>
      <c r="L211" s="7">
        <f t="shared" si="6"/>
        <v>-0.004582070131</v>
      </c>
    </row>
    <row r="212" ht="15.75" customHeight="1">
      <c r="A212" s="4">
        <f>IF(RETORNOS!A212="","",RETORNOS!A212)</f>
        <v>44718</v>
      </c>
      <c r="B212" s="7">
        <f>IF(RETORNOS!B212="","",OPTIMIZACION!$B$5*RETORNOS!B212+OPTIMIZACION!$B$6*RETORNOS!C212+OPTIMIZACION!$B$7*RETORNOS!D212+OPTIMIZACION!$B$8*RETORNOS!E212+OPTIMIZACION!$B$9*RETORNOS!F212+OPTIMIZACION!$B$10*RETORNOS!G212)</f>
        <v>0.0005285100932</v>
      </c>
      <c r="C212" s="7">
        <f>IF(RETORNOS!H212="","",RETORNOS!H212)</f>
        <v>-0.001121371189</v>
      </c>
      <c r="D212" s="7">
        <f>IF(RETORNOS!I212="","",RETORNOS!I212)</f>
        <v>0.004439575298</v>
      </c>
      <c r="E212" s="7">
        <f t="shared" si="2"/>
        <v>0.001659102054</v>
      </c>
      <c r="F212" s="7">
        <f t="shared" si="3"/>
        <v>0.001649881282</v>
      </c>
      <c r="G212" s="7">
        <f t="shared" si="4"/>
        <v>-0.001130591961</v>
      </c>
      <c r="H212" s="5">
        <f t="shared" ref="H212:K212" si="212">IF(B212="","",H211*(1+B212))</f>
        <v>139.1758624</v>
      </c>
      <c r="I212" s="5">
        <f t="shared" si="212"/>
        <v>189.6118506</v>
      </c>
      <c r="J212" s="5">
        <f t="shared" si="212"/>
        <v>113.2288399</v>
      </c>
      <c r="K212" s="5">
        <f t="shared" si="212"/>
        <v>147.985927</v>
      </c>
      <c r="L212" s="7">
        <f t="shared" si="6"/>
        <v>-0.004055981708</v>
      </c>
    </row>
    <row r="213" ht="15.75" customHeight="1">
      <c r="A213" s="4">
        <f>IF(RETORNOS!A213="","",RETORNOS!A213)</f>
        <v>44719</v>
      </c>
      <c r="B213" s="7">
        <f>IF(RETORNOS!B213="","",OPTIMIZACION!$B$5*RETORNOS!B213+OPTIMIZACION!$B$6*RETORNOS!C213+OPTIMIZACION!$B$7*RETORNOS!D213+OPTIMIZACION!$B$8*RETORNOS!E213+OPTIMIZACION!$B$9*RETORNOS!F213+OPTIMIZACION!$B$10*RETORNOS!G213)</f>
        <v>0.02149686939</v>
      </c>
      <c r="C213" s="7">
        <f>IF(RETORNOS!H213="","",RETORNOS!H213)</f>
        <v>0.02986605156</v>
      </c>
      <c r="D213" s="7">
        <f>IF(RETORNOS!I213="","",RETORNOS!I213)</f>
        <v>0.006024476502</v>
      </c>
      <c r="E213" s="7">
        <f t="shared" si="2"/>
        <v>0.01794526403</v>
      </c>
      <c r="F213" s="7">
        <f t="shared" si="3"/>
        <v>-0.008369182178</v>
      </c>
      <c r="G213" s="7">
        <f t="shared" si="4"/>
        <v>0.003551605354</v>
      </c>
      <c r="H213" s="5">
        <f t="shared" ref="H213:K213" si="213">IF(B213="","",H212*(1+B213))</f>
        <v>142.1677077</v>
      </c>
      <c r="I213" s="5">
        <f t="shared" si="213"/>
        <v>195.2748079</v>
      </c>
      <c r="J213" s="5">
        <f t="shared" si="213"/>
        <v>113.9109844</v>
      </c>
      <c r="K213" s="5">
        <f t="shared" si="213"/>
        <v>150.6415735</v>
      </c>
      <c r="L213" s="7">
        <f t="shared" si="6"/>
        <v>0</v>
      </c>
    </row>
    <row r="214" ht="15.75" customHeight="1">
      <c r="A214" s="4">
        <f>IF(RETORNOS!A214="","",RETORNOS!A214)</f>
        <v>44720</v>
      </c>
      <c r="B214" s="7">
        <f>IF(RETORNOS!B214="","",OPTIMIZACION!$B$5*RETORNOS!B214+OPTIMIZACION!$B$6*RETORNOS!C214+OPTIMIZACION!$B$7*RETORNOS!D214+OPTIMIZACION!$B$8*RETORNOS!E214+OPTIMIZACION!$B$9*RETORNOS!F214+OPTIMIZACION!$B$10*RETORNOS!G214)</f>
        <v>-0.004711350194</v>
      </c>
      <c r="C214" s="7">
        <f>IF(RETORNOS!H214="","",RETORNOS!H214)</f>
        <v>0.002170215408</v>
      </c>
      <c r="D214" s="7">
        <f>IF(RETORNOS!I214="","",RETORNOS!I214)</f>
        <v>-0.01956310071</v>
      </c>
      <c r="E214" s="7">
        <f t="shared" si="2"/>
        <v>-0.00869644265</v>
      </c>
      <c r="F214" s="7">
        <f t="shared" si="3"/>
        <v>-0.006881565601</v>
      </c>
      <c r="G214" s="7">
        <f t="shared" si="4"/>
        <v>0.003985092456</v>
      </c>
      <c r="H214" s="5">
        <f t="shared" ref="H214:K214" si="214">IF(B214="","",H213*(1+B214))</f>
        <v>141.4979058</v>
      </c>
      <c r="I214" s="5">
        <f t="shared" si="214"/>
        <v>195.6985963</v>
      </c>
      <c r="J214" s="5">
        <f t="shared" si="214"/>
        <v>111.6825323</v>
      </c>
      <c r="K214" s="5">
        <f t="shared" si="214"/>
        <v>149.3315277</v>
      </c>
      <c r="L214" s="7">
        <f t="shared" si="6"/>
        <v>-0.004711350194</v>
      </c>
    </row>
    <row r="215" ht="15.75" customHeight="1">
      <c r="A215" s="4">
        <f>IF(RETORNOS!A215="","",RETORNOS!A215)</f>
        <v>44721</v>
      </c>
      <c r="B215" s="7">
        <f>IF(RETORNOS!B215="","",OPTIMIZACION!$B$5*RETORNOS!B215+OPTIMIZACION!$B$6*RETORNOS!C215+OPTIMIZACION!$B$7*RETORNOS!D215+OPTIMIZACION!$B$8*RETORNOS!E215+OPTIMIZACION!$B$9*RETORNOS!F215+OPTIMIZACION!$B$10*RETORNOS!G215)</f>
        <v>-0.02864081886</v>
      </c>
      <c r="C215" s="7">
        <f>IF(RETORNOS!H215="","",RETORNOS!H215)</f>
        <v>-0.02210610036</v>
      </c>
      <c r="D215" s="7">
        <f>IF(RETORNOS!I215="","",RETORNOS!I215)</f>
        <v>-0.02403248605</v>
      </c>
      <c r="E215" s="7">
        <f t="shared" si="2"/>
        <v>-0.0230692932</v>
      </c>
      <c r="F215" s="7">
        <f t="shared" si="3"/>
        <v>-0.006534718495</v>
      </c>
      <c r="G215" s="7">
        <f t="shared" si="4"/>
        <v>-0.005571525652</v>
      </c>
      <c r="H215" s="5">
        <f t="shared" ref="H215:K215" si="215">IF(B215="","",H214*(1+B215))</f>
        <v>137.44529</v>
      </c>
      <c r="I215" s="5">
        <f t="shared" si="215"/>
        <v>191.3724635</v>
      </c>
      <c r="J215" s="5">
        <f t="shared" si="215"/>
        <v>108.9985234</v>
      </c>
      <c r="K215" s="5">
        <f t="shared" si="215"/>
        <v>145.8865549</v>
      </c>
      <c r="L215" s="7">
        <f t="shared" si="6"/>
        <v>-0.03321723212</v>
      </c>
    </row>
    <row r="216" ht="15.75" customHeight="1">
      <c r="A216" s="4">
        <f>IF(RETORNOS!A216="","",RETORNOS!A216)</f>
        <v>44722</v>
      </c>
      <c r="B216" s="7">
        <f>IF(RETORNOS!B216="","",OPTIMIZACION!$B$5*RETORNOS!B216+OPTIMIZACION!$B$6*RETORNOS!C216+OPTIMIZACION!$B$7*RETORNOS!D216+OPTIMIZACION!$B$8*RETORNOS!E216+OPTIMIZACION!$B$9*RETORNOS!F216+OPTIMIZACION!$B$10*RETORNOS!G216)</f>
        <v>-0.01998694149</v>
      </c>
      <c r="C216" s="7">
        <f>IF(RETORNOS!H216="","",RETORNOS!H216)</f>
        <v>-0.01695563714</v>
      </c>
      <c r="D216" s="7">
        <f>IF(RETORNOS!I216="","",RETORNOS!I216)</f>
        <v>-0.007653531018</v>
      </c>
      <c r="E216" s="7">
        <f t="shared" si="2"/>
        <v>-0.01230458408</v>
      </c>
      <c r="F216" s="7">
        <f t="shared" si="3"/>
        <v>-0.003031304344</v>
      </c>
      <c r="G216" s="7">
        <f t="shared" si="4"/>
        <v>-0.007682357405</v>
      </c>
      <c r="H216" s="5">
        <f t="shared" ref="H216:K216" si="216">IF(B216="","",H215*(1+B216))</f>
        <v>134.698179</v>
      </c>
      <c r="I216" s="5">
        <f t="shared" si="216"/>
        <v>188.1276214</v>
      </c>
      <c r="J216" s="5">
        <f t="shared" si="216"/>
        <v>108.1642999</v>
      </c>
      <c r="K216" s="5">
        <f t="shared" si="216"/>
        <v>144.0914815</v>
      </c>
      <c r="L216" s="7">
        <f t="shared" si="6"/>
        <v>-0.05254026273</v>
      </c>
    </row>
    <row r="217" ht="15.75" customHeight="1">
      <c r="A217" s="4">
        <f>IF(RETORNOS!A217="","",RETORNOS!A217)</f>
        <v>44725</v>
      </c>
      <c r="B217" s="7">
        <f>IF(RETORNOS!B217="","",OPTIMIZACION!$B$5*RETORNOS!B217+OPTIMIZACION!$B$6*RETORNOS!C217+OPTIMIZACION!$B$7*RETORNOS!D217+OPTIMIZACION!$B$8*RETORNOS!E217+OPTIMIZACION!$B$9*RETORNOS!F217+OPTIMIZACION!$B$10*RETORNOS!G217)</f>
        <v>-0.04824110402</v>
      </c>
      <c r="C217" s="7">
        <f>IF(RETORNOS!H217="","",RETORNOS!H217)</f>
        <v>-0.05219273941</v>
      </c>
      <c r="D217" s="7">
        <f>IF(RETORNOS!I217="","",RETORNOS!I217)</f>
        <v>-0.04597654149</v>
      </c>
      <c r="E217" s="7">
        <f t="shared" si="2"/>
        <v>-0.04908464045</v>
      </c>
      <c r="F217" s="7">
        <f t="shared" si="3"/>
        <v>0.003951635393</v>
      </c>
      <c r="G217" s="7">
        <f t="shared" si="4"/>
        <v>0.0008435364328</v>
      </c>
      <c r="H217" s="5">
        <f t="shared" ref="H217:K217" si="217">IF(B217="","",H216*(1+B217))</f>
        <v>128.2001901</v>
      </c>
      <c r="I217" s="5">
        <f t="shared" si="217"/>
        <v>178.3087255</v>
      </c>
      <c r="J217" s="5">
        <f t="shared" si="217"/>
        <v>103.1912794</v>
      </c>
      <c r="K217" s="5">
        <f t="shared" si="217"/>
        <v>137.018803</v>
      </c>
      <c r="L217" s="7">
        <f t="shared" si="6"/>
        <v>-0.09824676647</v>
      </c>
    </row>
    <row r="218" ht="15.75" customHeight="1">
      <c r="A218" s="4">
        <f>IF(RETORNOS!A218="","",RETORNOS!A218)</f>
        <v>44726</v>
      </c>
      <c r="B218" s="7">
        <f>IF(RETORNOS!B218="","",OPTIMIZACION!$B$5*RETORNOS!B218+OPTIMIZACION!$B$6*RETORNOS!C218+OPTIMIZACION!$B$7*RETORNOS!D218+OPTIMIZACION!$B$8*RETORNOS!E218+OPTIMIZACION!$B$9*RETORNOS!F218+OPTIMIZACION!$B$10*RETORNOS!G218)</f>
        <v>-0.01939761699</v>
      </c>
      <c r="C218" s="7">
        <f>IF(RETORNOS!H218="","",RETORNOS!H218)</f>
        <v>0.001903544672</v>
      </c>
      <c r="D218" s="7">
        <f>IF(RETORNOS!I218="","",RETORNOS!I218)</f>
        <v>-0.02526821098</v>
      </c>
      <c r="E218" s="7">
        <f t="shared" si="2"/>
        <v>-0.01168233315</v>
      </c>
      <c r="F218" s="7">
        <f t="shared" si="3"/>
        <v>-0.02130116167</v>
      </c>
      <c r="G218" s="7">
        <f t="shared" si="4"/>
        <v>-0.007715283839</v>
      </c>
      <c r="H218" s="5">
        <f t="shared" ref="H218:K218" si="218">IF(B218="","",H217*(1+B218))</f>
        <v>125.7134119</v>
      </c>
      <c r="I218" s="5">
        <f t="shared" si="218"/>
        <v>178.6481441</v>
      </c>
      <c r="J218" s="5">
        <f t="shared" si="218"/>
        <v>100.5838204</v>
      </c>
      <c r="K218" s="5">
        <f t="shared" si="218"/>
        <v>135.4181037</v>
      </c>
      <c r="L218" s="7">
        <f t="shared" si="6"/>
        <v>-0.1157386303</v>
      </c>
    </row>
    <row r="219" ht="15.75" customHeight="1">
      <c r="A219" s="4">
        <f>IF(RETORNOS!A219="","",RETORNOS!A219)</f>
        <v>44727</v>
      </c>
      <c r="B219" s="7">
        <f>IF(RETORNOS!B219="","",OPTIMIZACION!$B$5*RETORNOS!B219+OPTIMIZACION!$B$6*RETORNOS!C219+OPTIMIZACION!$B$7*RETORNOS!D219+OPTIMIZACION!$B$8*RETORNOS!E219+OPTIMIZACION!$B$9*RETORNOS!F219+OPTIMIZACION!$B$10*RETORNOS!G219)</f>
        <v>-0.004047607152</v>
      </c>
      <c r="C219" s="7">
        <f>IF(RETORNOS!H219="","",RETORNOS!H219)</f>
        <v>-0.02208259259</v>
      </c>
      <c r="D219" s="7">
        <f>IF(RETORNOS!I219="","",RETORNOS!I219)</f>
        <v>0.006480811251</v>
      </c>
      <c r="E219" s="7">
        <f t="shared" si="2"/>
        <v>-0.007800890668</v>
      </c>
      <c r="F219" s="7">
        <f t="shared" si="3"/>
        <v>0.01803498544</v>
      </c>
      <c r="G219" s="7">
        <f t="shared" si="4"/>
        <v>0.003753283516</v>
      </c>
      <c r="H219" s="5">
        <f t="shared" ref="H219:K219" si="219">IF(B219="","",H218*(1+B219))</f>
        <v>125.2045734</v>
      </c>
      <c r="I219" s="5">
        <f t="shared" si="219"/>
        <v>174.7031299</v>
      </c>
      <c r="J219" s="5">
        <f t="shared" si="219"/>
        <v>101.2356852</v>
      </c>
      <c r="K219" s="5">
        <f t="shared" si="219"/>
        <v>134.3617218</v>
      </c>
      <c r="L219" s="7">
        <f t="shared" si="6"/>
        <v>-0.119317773</v>
      </c>
    </row>
    <row r="220" ht="15.75" customHeight="1">
      <c r="A220" s="4">
        <f>IF(RETORNOS!A220="","",RETORNOS!A220)</f>
        <v>44728</v>
      </c>
      <c r="B220" s="7">
        <f>IF(RETORNOS!B220="","",OPTIMIZACION!$B$5*RETORNOS!B220+OPTIMIZACION!$B$6*RETORNOS!C220+OPTIMIZACION!$B$7*RETORNOS!D220+OPTIMIZACION!$B$8*RETORNOS!E220+OPTIMIZACION!$B$9*RETORNOS!F220+OPTIMIZACION!$B$10*RETORNOS!G220)</f>
        <v>-0.03254359327</v>
      </c>
      <c r="C220" s="7">
        <f>IF(RETORNOS!H220="","",RETORNOS!H220)</f>
        <v>-0.05631988987</v>
      </c>
      <c r="D220" s="7">
        <f>IF(RETORNOS!I220="","",RETORNOS!I220)</f>
        <v>-0.01932396373</v>
      </c>
      <c r="E220" s="7">
        <f t="shared" si="2"/>
        <v>-0.0378219268</v>
      </c>
      <c r="F220" s="7">
        <f t="shared" si="3"/>
        <v>0.0237762966</v>
      </c>
      <c r="G220" s="7">
        <f t="shared" si="4"/>
        <v>0.005278333534</v>
      </c>
      <c r="H220" s="5">
        <f t="shared" ref="H220:K220" si="220">IF(B220="","",H219*(1+B220))</f>
        <v>121.1299667</v>
      </c>
      <c r="I220" s="5">
        <f t="shared" si="220"/>
        <v>164.8638689</v>
      </c>
      <c r="J220" s="5">
        <f t="shared" si="220"/>
        <v>99.27941046</v>
      </c>
      <c r="K220" s="5">
        <f t="shared" si="220"/>
        <v>129.2799026</v>
      </c>
      <c r="L220" s="7">
        <f t="shared" si="6"/>
        <v>-0.1479783372</v>
      </c>
    </row>
    <row r="221" ht="15.75" customHeight="1">
      <c r="A221" s="4">
        <f>IF(RETORNOS!A221="","",RETORNOS!A221)</f>
        <v>44729</v>
      </c>
      <c r="B221" s="7">
        <f>IF(RETORNOS!B221="","",OPTIMIZACION!$B$5*RETORNOS!B221+OPTIMIZACION!$B$6*RETORNOS!C221+OPTIMIZACION!$B$7*RETORNOS!D221+OPTIMIZACION!$B$8*RETORNOS!E221+OPTIMIZACION!$B$9*RETORNOS!F221+OPTIMIZACION!$B$10*RETORNOS!G221)</f>
        <v>-0.02618923368</v>
      </c>
      <c r="C221" s="7">
        <f>IF(RETORNOS!H221="","",RETORNOS!H221)</f>
        <v>-0.0546724038</v>
      </c>
      <c r="D221" s="7">
        <f>IF(RETORNOS!I221="","",RETORNOS!I221)</f>
        <v>-0.009310916767</v>
      </c>
      <c r="E221" s="7">
        <f t="shared" si="2"/>
        <v>-0.03199166029</v>
      </c>
      <c r="F221" s="7">
        <f t="shared" si="3"/>
        <v>0.02848317012</v>
      </c>
      <c r="G221" s="7">
        <f t="shared" si="4"/>
        <v>0.005802426603</v>
      </c>
      <c r="H221" s="5">
        <f t="shared" ref="H221:K221" si="221">IF(B221="","",H220*(1+B221))</f>
        <v>117.9576657</v>
      </c>
      <c r="I221" s="5">
        <f t="shared" si="221"/>
        <v>155.8503649</v>
      </c>
      <c r="J221" s="5">
        <f t="shared" si="221"/>
        <v>98.35502814</v>
      </c>
      <c r="K221" s="5">
        <f t="shared" si="221"/>
        <v>125.1440239</v>
      </c>
      <c r="L221" s="7">
        <f t="shared" si="6"/>
        <v>-0.1702921316</v>
      </c>
    </row>
    <row r="222" ht="15.75" customHeight="1">
      <c r="A222" s="4">
        <f>IF(RETORNOS!A222="","",RETORNOS!A222)</f>
        <v>44733</v>
      </c>
      <c r="B222" s="7">
        <f>IF(RETORNOS!B222="","",OPTIMIZACION!$B$5*RETORNOS!B222+OPTIMIZACION!$B$6*RETORNOS!C222+OPTIMIZACION!$B$7*RETORNOS!D222+OPTIMIZACION!$B$8*RETORNOS!E222+OPTIMIZACION!$B$9*RETORNOS!F222+OPTIMIZACION!$B$10*RETORNOS!G222)</f>
        <v>0.03666301042</v>
      </c>
      <c r="C222" s="7">
        <f>IF(RETORNOS!H222="","",RETORNOS!H222)</f>
        <v>0.05180481491</v>
      </c>
      <c r="D222" s="7">
        <f>IF(RETORNOS!I222="","",RETORNOS!I222)</f>
        <v>0.01903206949</v>
      </c>
      <c r="E222" s="7">
        <f t="shared" si="2"/>
        <v>0.0354184422</v>
      </c>
      <c r="F222" s="7">
        <f t="shared" si="3"/>
        <v>-0.0151418045</v>
      </c>
      <c r="G222" s="7">
        <f t="shared" si="4"/>
        <v>0.001244568216</v>
      </c>
      <c r="H222" s="5">
        <f t="shared" ref="H222:K222" si="222">IF(B222="","",H221*(1+B222))</f>
        <v>122.2823488</v>
      </c>
      <c r="I222" s="5">
        <f t="shared" si="222"/>
        <v>163.9241642</v>
      </c>
      <c r="J222" s="5">
        <f t="shared" si="222"/>
        <v>100.2269279</v>
      </c>
      <c r="K222" s="5">
        <f t="shared" si="222"/>
        <v>129.5764303</v>
      </c>
      <c r="L222" s="7">
        <f t="shared" si="6"/>
        <v>-0.1398725434</v>
      </c>
    </row>
    <row r="223" ht="15.75" customHeight="1">
      <c r="A223" s="4">
        <f>IF(RETORNOS!A223="","",RETORNOS!A223)</f>
        <v>44734</v>
      </c>
      <c r="B223" s="7">
        <f>IF(RETORNOS!B223="","",OPTIMIZACION!$B$5*RETORNOS!B223+OPTIMIZACION!$B$6*RETORNOS!C223+OPTIMIZACION!$B$7*RETORNOS!D223+OPTIMIZACION!$B$8*RETORNOS!E223+OPTIMIZACION!$B$9*RETORNOS!F223+OPTIMIZACION!$B$10*RETORNOS!G223)</f>
        <v>-0.01238861844</v>
      </c>
      <c r="C223" s="7">
        <f>IF(RETORNOS!H223="","",RETORNOS!H223)</f>
        <v>-0.0400273317</v>
      </c>
      <c r="D223" s="7">
        <f>IF(RETORNOS!I223="","",RETORNOS!I223)</f>
        <v>0.01052638725</v>
      </c>
      <c r="E223" s="7">
        <f t="shared" si="2"/>
        <v>-0.01475047222</v>
      </c>
      <c r="F223" s="7">
        <f t="shared" si="3"/>
        <v>0.02763871326</v>
      </c>
      <c r="G223" s="7">
        <f t="shared" si="4"/>
        <v>0.002361853783</v>
      </c>
      <c r="H223" s="5">
        <f t="shared" ref="H223:K223" si="223">IF(B223="","",H222*(1+B223))</f>
        <v>120.7674395</v>
      </c>
      <c r="I223" s="5">
        <f t="shared" si="223"/>
        <v>157.3627173</v>
      </c>
      <c r="J223" s="5">
        <f t="shared" si="223"/>
        <v>101.2819553</v>
      </c>
      <c r="K223" s="5">
        <f t="shared" si="223"/>
        <v>127.6651167</v>
      </c>
      <c r="L223" s="7">
        <f t="shared" si="6"/>
        <v>-0.1505283342</v>
      </c>
    </row>
    <row r="224" ht="15.75" customHeight="1">
      <c r="A224" s="4">
        <f>IF(RETORNOS!A224="","",RETORNOS!A224)</f>
        <v>44735</v>
      </c>
      <c r="B224" s="7">
        <f>IF(RETORNOS!B224="","",OPTIMIZACION!$B$5*RETORNOS!B224+OPTIMIZACION!$B$6*RETORNOS!C224+OPTIMIZACION!$B$7*RETORNOS!D224+OPTIMIZACION!$B$8*RETORNOS!E224+OPTIMIZACION!$B$9*RETORNOS!F224+OPTIMIZACION!$B$10*RETORNOS!G224)</f>
        <v>-0.006016705955</v>
      </c>
      <c r="C224" s="7">
        <f>IF(RETORNOS!H224="","",RETORNOS!H224)</f>
        <v>-0.03706511122</v>
      </c>
      <c r="D224" s="7">
        <f>IF(RETORNOS!I224="","",RETORNOS!I224)</f>
        <v>0.02353759229</v>
      </c>
      <c r="E224" s="7">
        <f t="shared" si="2"/>
        <v>-0.006763759464</v>
      </c>
      <c r="F224" s="7">
        <f t="shared" si="3"/>
        <v>0.03104840527</v>
      </c>
      <c r="G224" s="7">
        <f t="shared" si="4"/>
        <v>0.000747053509</v>
      </c>
      <c r="H224" s="5">
        <f t="shared" ref="H224:K224" si="224">IF(B224="","",H223*(1+B224))</f>
        <v>120.0408173</v>
      </c>
      <c r="I224" s="5">
        <f t="shared" si="224"/>
        <v>151.5300507</v>
      </c>
      <c r="J224" s="5">
        <f t="shared" si="224"/>
        <v>103.6658887</v>
      </c>
      <c r="K224" s="5">
        <f t="shared" si="224"/>
        <v>126.8016206</v>
      </c>
      <c r="L224" s="7">
        <f t="shared" si="6"/>
        <v>-0.1556393555</v>
      </c>
    </row>
    <row r="225" ht="15.75" customHeight="1">
      <c r="A225" s="4">
        <f>IF(RETORNOS!A225="","",RETORNOS!A225)</f>
        <v>44736</v>
      </c>
      <c r="B225" s="7">
        <f>IF(RETORNOS!B225="","",OPTIMIZACION!$B$5*RETORNOS!B225+OPTIMIZACION!$B$6*RETORNOS!C225+OPTIMIZACION!$B$7*RETORNOS!D225+OPTIMIZACION!$B$8*RETORNOS!E225+OPTIMIZACION!$B$9*RETORNOS!F225+OPTIMIZACION!$B$10*RETORNOS!G225)</f>
        <v>0.008073797235</v>
      </c>
      <c r="C225" s="7">
        <f>IF(RETORNOS!H225="","",RETORNOS!H225)</f>
        <v>0.01315806315</v>
      </c>
      <c r="D225" s="7">
        <f>IF(RETORNOS!I225="","",RETORNOS!I225)</f>
        <v>0.01739738301</v>
      </c>
      <c r="E225" s="7">
        <f t="shared" si="2"/>
        <v>0.01527772308</v>
      </c>
      <c r="F225" s="7">
        <f t="shared" si="3"/>
        <v>-0.005084265918</v>
      </c>
      <c r="G225" s="7">
        <f t="shared" si="4"/>
        <v>-0.007203925846</v>
      </c>
      <c r="H225" s="5">
        <f t="shared" ref="H225:K225" si="225">IF(B225="","",H224*(1+B225))</f>
        <v>121.0100025</v>
      </c>
      <c r="I225" s="5">
        <f t="shared" si="225"/>
        <v>153.5238926</v>
      </c>
      <c r="J225" s="5">
        <f t="shared" si="225"/>
        <v>105.4694039</v>
      </c>
      <c r="K225" s="5">
        <f t="shared" si="225"/>
        <v>128.7388606</v>
      </c>
      <c r="L225" s="7">
        <f t="shared" si="6"/>
        <v>-0.1488221588</v>
      </c>
    </row>
    <row r="226" ht="15.75" customHeight="1">
      <c r="A226" s="4">
        <f>IF(RETORNOS!A226="","",RETORNOS!A226)</f>
        <v>44739</v>
      </c>
      <c r="B226" s="7">
        <f>IF(RETORNOS!B226="","",OPTIMIZACION!$B$5*RETORNOS!B226+OPTIMIZACION!$B$6*RETORNOS!C226+OPTIMIZACION!$B$7*RETORNOS!D226+OPTIMIZACION!$B$8*RETORNOS!E226+OPTIMIZACION!$B$9*RETORNOS!F226+OPTIMIZACION!$B$10*RETORNOS!G226)</f>
        <v>0.0184808269</v>
      </c>
      <c r="C226" s="7">
        <f>IF(RETORNOS!H226="","",RETORNOS!H226)</f>
        <v>0.02933484935</v>
      </c>
      <c r="D226" s="7">
        <f>IF(RETORNOS!I226="","",RETORNOS!I226)</f>
        <v>0.008112850885</v>
      </c>
      <c r="E226" s="7">
        <f t="shared" si="2"/>
        <v>0.01872385012</v>
      </c>
      <c r="F226" s="7">
        <f t="shared" si="3"/>
        <v>-0.01085402244</v>
      </c>
      <c r="G226" s="7">
        <f t="shared" si="4"/>
        <v>-0.0002430232142</v>
      </c>
      <c r="H226" s="5">
        <f t="shared" ref="H226:K226" si="226">IF(B226="","",H225*(1+B226))</f>
        <v>123.2463674</v>
      </c>
      <c r="I226" s="5">
        <f t="shared" si="226"/>
        <v>158.0274929</v>
      </c>
      <c r="J226" s="5">
        <f t="shared" si="226"/>
        <v>106.3250614</v>
      </c>
      <c r="K226" s="5">
        <f t="shared" si="226"/>
        <v>131.1493478</v>
      </c>
      <c r="L226" s="7">
        <f t="shared" si="6"/>
        <v>-0.1330916885</v>
      </c>
    </row>
    <row r="227" ht="15.75" customHeight="1">
      <c r="A227" s="4">
        <f>IF(RETORNOS!A227="","",RETORNOS!A227)</f>
        <v>44740</v>
      </c>
      <c r="B227" s="7">
        <f>IF(RETORNOS!B227="","",OPTIMIZACION!$B$5*RETORNOS!B227+OPTIMIZACION!$B$6*RETORNOS!C227+OPTIMIZACION!$B$7*RETORNOS!D227+OPTIMIZACION!$B$8*RETORNOS!E227+OPTIMIZACION!$B$9*RETORNOS!F227+OPTIMIZACION!$B$10*RETORNOS!G227)</f>
        <v>0.01250133225</v>
      </c>
      <c r="C227" s="7">
        <f>IF(RETORNOS!H227="","",RETORNOS!H227)</f>
        <v>0.02700455343</v>
      </c>
      <c r="D227" s="7">
        <f>IF(RETORNOS!I227="","",RETORNOS!I227)</f>
        <v>-0.00373419686</v>
      </c>
      <c r="E227" s="7">
        <f t="shared" si="2"/>
        <v>0.01163517829</v>
      </c>
      <c r="F227" s="7">
        <f t="shared" si="3"/>
        <v>-0.01450322118</v>
      </c>
      <c r="G227" s="7">
        <f t="shared" si="4"/>
        <v>0.0008661539661</v>
      </c>
      <c r="H227" s="5">
        <f t="shared" ref="H227:K227" si="227">IF(B227="","",H226*(1+B227))</f>
        <v>124.7871112</v>
      </c>
      <c r="I227" s="5">
        <f t="shared" si="227"/>
        <v>162.2949548</v>
      </c>
      <c r="J227" s="5">
        <f t="shared" si="227"/>
        <v>105.9280227</v>
      </c>
      <c r="K227" s="5">
        <f t="shared" si="227"/>
        <v>132.6752938</v>
      </c>
      <c r="L227" s="7">
        <f t="shared" si="6"/>
        <v>-0.1222541796</v>
      </c>
    </row>
    <row r="228" ht="15.75" customHeight="1">
      <c r="A228" s="4">
        <f>IF(RETORNOS!A228="","",RETORNOS!A228)</f>
        <v>44741</v>
      </c>
      <c r="B228" s="7">
        <f>IF(RETORNOS!B228="","",OPTIMIZACION!$B$5*RETORNOS!B228+OPTIMIZACION!$B$6*RETORNOS!C228+OPTIMIZACION!$B$7*RETORNOS!D228+OPTIMIZACION!$B$8*RETORNOS!E228+OPTIMIZACION!$B$9*RETORNOS!F228+OPTIMIZACION!$B$10*RETORNOS!G228)</f>
        <v>-0.01626511733</v>
      </c>
      <c r="C228" s="7">
        <f>IF(RETORNOS!H228="","",RETORNOS!H228)</f>
        <v>-0.03474958845</v>
      </c>
      <c r="D228" s="7">
        <f>IF(RETORNOS!I228="","",RETORNOS!I228)</f>
        <v>0.0007162357476</v>
      </c>
      <c r="E228" s="7">
        <f t="shared" si="2"/>
        <v>-0.01701667635</v>
      </c>
      <c r="F228" s="7">
        <f t="shared" si="3"/>
        <v>0.01848447111</v>
      </c>
      <c r="G228" s="7">
        <f t="shared" si="4"/>
        <v>0.0007515590166</v>
      </c>
      <c r="H228" s="5">
        <f t="shared" ref="H228:K228" si="228">IF(B228="","",H227*(1+B228))</f>
        <v>122.7574342</v>
      </c>
      <c r="I228" s="5">
        <f t="shared" si="228"/>
        <v>156.6552719</v>
      </c>
      <c r="J228" s="5">
        <f t="shared" si="228"/>
        <v>106.0038921</v>
      </c>
      <c r="K228" s="5">
        <f t="shared" si="228"/>
        <v>130.4176013</v>
      </c>
      <c r="L228" s="7">
        <f t="shared" si="6"/>
        <v>-0.1365308184</v>
      </c>
    </row>
    <row r="229" ht="15.75" customHeight="1">
      <c r="A229" s="4">
        <f>IF(RETORNOS!A229="","",RETORNOS!A229)</f>
        <v>44742</v>
      </c>
      <c r="B229" s="7">
        <f>IF(RETORNOS!B229="","",OPTIMIZACION!$B$5*RETORNOS!B229+OPTIMIZACION!$B$6*RETORNOS!C229+OPTIMIZACION!$B$7*RETORNOS!D229+OPTIMIZACION!$B$8*RETORNOS!E229+OPTIMIZACION!$B$9*RETORNOS!F229+OPTIMIZACION!$B$10*RETORNOS!G229)</f>
        <v>-0.01025065807</v>
      </c>
      <c r="C229" s="7">
        <f>IF(RETORNOS!H229="","",RETORNOS!H229)</f>
        <v>-0.02108469162</v>
      </c>
      <c r="D229" s="7">
        <f>IF(RETORNOS!I229="","",RETORNOS!I229)</f>
        <v>0.01110173218</v>
      </c>
      <c r="E229" s="7">
        <f t="shared" si="2"/>
        <v>-0.004991479722</v>
      </c>
      <c r="F229" s="7">
        <f t="shared" si="3"/>
        <v>0.01083403356</v>
      </c>
      <c r="G229" s="7">
        <f t="shared" si="4"/>
        <v>-0.005259178344</v>
      </c>
      <c r="H229" s="5">
        <f t="shared" ref="H229:K229" si="229">IF(B229="","",H228*(1+B229))</f>
        <v>121.4990897</v>
      </c>
      <c r="I229" s="5">
        <f t="shared" si="229"/>
        <v>153.3522438</v>
      </c>
      <c r="J229" s="5">
        <f t="shared" si="229"/>
        <v>107.180719</v>
      </c>
      <c r="K229" s="5">
        <f t="shared" si="229"/>
        <v>129.7666245</v>
      </c>
      <c r="L229" s="7">
        <f t="shared" si="6"/>
        <v>-0.1453819457</v>
      </c>
    </row>
    <row r="230" ht="15.75" customHeight="1">
      <c r="A230" s="4">
        <f>IF(RETORNOS!A230="","",RETORNOS!A230)</f>
        <v>44743</v>
      </c>
      <c r="B230" s="7">
        <f>IF(RETORNOS!B230="","",OPTIMIZACION!$B$5*RETORNOS!B230+OPTIMIZACION!$B$6*RETORNOS!C230+OPTIMIZACION!$B$7*RETORNOS!D230+OPTIMIZACION!$B$8*RETORNOS!E230+OPTIMIZACION!$B$9*RETORNOS!F230+OPTIMIZACION!$B$10*RETORNOS!G230)</f>
        <v>0.01762711639</v>
      </c>
      <c r="C230" s="7">
        <f>IF(RETORNOS!H230="","",RETORNOS!H230)</f>
        <v>0.01496208887</v>
      </c>
      <c r="D230" s="7">
        <f>IF(RETORNOS!I230="","",RETORNOS!I230)</f>
        <v>0.02452766703</v>
      </c>
      <c r="E230" s="7">
        <f t="shared" si="2"/>
        <v>0.01974487795</v>
      </c>
      <c r="F230" s="7">
        <f t="shared" si="3"/>
        <v>0.002665027519</v>
      </c>
      <c r="G230" s="7">
        <f t="shared" si="4"/>
        <v>-0.002117761559</v>
      </c>
      <c r="H230" s="5">
        <f t="shared" ref="H230:K230" si="230">IF(B230="","",H229*(1+B230))</f>
        <v>123.6407683</v>
      </c>
      <c r="I230" s="5">
        <f t="shared" si="230"/>
        <v>155.6467137</v>
      </c>
      <c r="J230" s="5">
        <f t="shared" si="230"/>
        <v>109.8096119</v>
      </c>
      <c r="K230" s="5">
        <f t="shared" si="230"/>
        <v>132.3288506</v>
      </c>
      <c r="L230" s="7">
        <f t="shared" si="6"/>
        <v>-0.1303174938</v>
      </c>
    </row>
    <row r="231" ht="15.75" customHeight="1">
      <c r="A231" s="4">
        <f>IF(RETORNOS!A231="","",RETORNOS!A231)</f>
        <v>44747</v>
      </c>
      <c r="B231" s="7">
        <f>IF(RETORNOS!B231="","",OPTIMIZACION!$B$5*RETORNOS!B231+OPTIMIZACION!$B$6*RETORNOS!C231+OPTIMIZACION!$B$7*RETORNOS!D231+OPTIMIZACION!$B$8*RETORNOS!E231+OPTIMIZACION!$B$9*RETORNOS!F231+OPTIMIZACION!$B$10*RETORNOS!G231)</f>
        <v>-0.03647850236</v>
      </c>
      <c r="C231" s="7">
        <f>IF(RETORNOS!H231="","",RETORNOS!H231)</f>
        <v>-0.03967937495</v>
      </c>
      <c r="D231" s="7">
        <f>IF(RETORNOS!I231="","",RETORNOS!I231)</f>
        <v>-0.03409974625</v>
      </c>
      <c r="E231" s="7">
        <f t="shared" si="2"/>
        <v>-0.0368895606</v>
      </c>
      <c r="F231" s="7">
        <f t="shared" si="3"/>
        <v>0.003200872587</v>
      </c>
      <c r="G231" s="7">
        <f t="shared" si="4"/>
        <v>0.0004110582378</v>
      </c>
      <c r="H231" s="5">
        <f t="shared" ref="H231:K231" si="231">IF(B231="","",H230*(1+B231))</f>
        <v>119.1305383</v>
      </c>
      <c r="I231" s="5">
        <f t="shared" si="231"/>
        <v>149.4707494</v>
      </c>
      <c r="J231" s="5">
        <f t="shared" si="231"/>
        <v>106.065132</v>
      </c>
      <c r="K231" s="5">
        <f t="shared" si="231"/>
        <v>127.4472975</v>
      </c>
      <c r="L231" s="7">
        <f t="shared" si="6"/>
        <v>-0.1620422092</v>
      </c>
    </row>
    <row r="232" ht="15.75" customHeight="1">
      <c r="A232" s="4">
        <f>IF(RETORNOS!A232="","",RETORNOS!A232)</f>
        <v>44748</v>
      </c>
      <c r="B232" s="7">
        <f>IF(RETORNOS!B232="","",OPTIMIZACION!$B$5*RETORNOS!B232+OPTIMIZACION!$B$6*RETORNOS!C232+OPTIMIZACION!$B$7*RETORNOS!D232+OPTIMIZACION!$B$8*RETORNOS!E232+OPTIMIZACION!$B$9*RETORNOS!F232+OPTIMIZACION!$B$10*RETORNOS!G232)</f>
        <v>-0.005184408059</v>
      </c>
      <c r="C232" s="7">
        <f>IF(RETORNOS!H232="","",RETORNOS!H232)</f>
        <v>-0.01707643847</v>
      </c>
      <c r="D232" s="7">
        <f>IF(RETORNOS!I232="","",RETORNOS!I232)</f>
        <v>0.01037680471</v>
      </c>
      <c r="E232" s="7">
        <f t="shared" si="2"/>
        <v>-0.003349816879</v>
      </c>
      <c r="F232" s="7">
        <f t="shared" si="3"/>
        <v>0.01189203041</v>
      </c>
      <c r="G232" s="7">
        <f t="shared" si="4"/>
        <v>-0.00183459118</v>
      </c>
      <c r="H232" s="5">
        <f t="shared" ref="H232:K232" si="232">IF(B232="","",H231*(1+B232))</f>
        <v>118.5129169</v>
      </c>
      <c r="I232" s="5">
        <f t="shared" si="232"/>
        <v>146.9183213</v>
      </c>
      <c r="J232" s="5">
        <f t="shared" si="232"/>
        <v>107.1657492</v>
      </c>
      <c r="K232" s="5">
        <f t="shared" si="232"/>
        <v>127.0203724</v>
      </c>
      <c r="L232" s="7">
        <f t="shared" si="6"/>
        <v>-0.1663865243</v>
      </c>
    </row>
    <row r="233" ht="15.75" customHeight="1">
      <c r="A233" s="4">
        <f>IF(RETORNOS!A233="","",RETORNOS!A233)</f>
        <v>44749</v>
      </c>
      <c r="B233" s="7">
        <f>IF(RETORNOS!B233="","",OPTIMIZACION!$B$5*RETORNOS!B233+OPTIMIZACION!$B$6*RETORNOS!C233+OPTIMIZACION!$B$7*RETORNOS!D233+OPTIMIZACION!$B$8*RETORNOS!E233+OPTIMIZACION!$B$9*RETORNOS!F233+OPTIMIZACION!$B$10*RETORNOS!G233)</f>
        <v>0.02183431227</v>
      </c>
      <c r="C233" s="7">
        <f>IF(RETORNOS!H233="","",RETORNOS!H233)</f>
        <v>0.03605646261</v>
      </c>
      <c r="D233" s="7">
        <f>IF(RETORNOS!I233="","",RETORNOS!I233)</f>
        <v>-0.001000038097</v>
      </c>
      <c r="E233" s="7">
        <f t="shared" si="2"/>
        <v>0.01752821225</v>
      </c>
      <c r="F233" s="7">
        <f t="shared" si="3"/>
        <v>-0.01422215033</v>
      </c>
      <c r="G233" s="7">
        <f t="shared" si="4"/>
        <v>0.004306100016</v>
      </c>
      <c r="H233" s="5">
        <f t="shared" ref="H233:K233" si="233">IF(B233="","",H232*(1+B233))</f>
        <v>121.100565</v>
      </c>
      <c r="I233" s="5">
        <f t="shared" si="233"/>
        <v>152.2156763</v>
      </c>
      <c r="J233" s="5">
        <f t="shared" si="233"/>
        <v>107.0585794</v>
      </c>
      <c r="K233" s="5">
        <f t="shared" si="233"/>
        <v>129.2468124</v>
      </c>
      <c r="L233" s="7">
        <f t="shared" si="6"/>
        <v>-0.1481851474</v>
      </c>
    </row>
    <row r="234" ht="15.75" customHeight="1">
      <c r="A234" s="4">
        <f>IF(RETORNOS!A234="","",RETORNOS!A234)</f>
        <v>44750</v>
      </c>
      <c r="B234" s="7">
        <f>IF(RETORNOS!B234="","",OPTIMIZACION!$B$5*RETORNOS!B234+OPTIMIZACION!$B$6*RETORNOS!C234+OPTIMIZACION!$B$7*RETORNOS!D234+OPTIMIZACION!$B$8*RETORNOS!E234+OPTIMIZACION!$B$9*RETORNOS!F234+OPTIMIZACION!$B$10*RETORNOS!G234)</f>
        <v>0.0005179241632</v>
      </c>
      <c r="C234" s="7">
        <f>IF(RETORNOS!H234="","",RETORNOS!H234)</f>
        <v>-0.0004236721224</v>
      </c>
      <c r="D234" s="7">
        <f>IF(RETORNOS!I234="","",RETORNOS!I234)</f>
        <v>-0.00328277291</v>
      </c>
      <c r="E234" s="7">
        <f t="shared" si="2"/>
        <v>-0.001853222516</v>
      </c>
      <c r="F234" s="7">
        <f t="shared" si="3"/>
        <v>0.0009415962856</v>
      </c>
      <c r="G234" s="7">
        <f t="shared" si="4"/>
        <v>0.00237114668</v>
      </c>
      <c r="H234" s="5">
        <f t="shared" ref="H234:K234" si="234">IF(B234="","",H233*(1+B234))</f>
        <v>121.1632859</v>
      </c>
      <c r="I234" s="5">
        <f t="shared" si="234"/>
        <v>152.1511868</v>
      </c>
      <c r="J234" s="5">
        <f t="shared" si="234"/>
        <v>106.7071304</v>
      </c>
      <c r="K234" s="5">
        <f t="shared" si="234"/>
        <v>129.0072893</v>
      </c>
      <c r="L234" s="7">
        <f t="shared" si="6"/>
        <v>-0.1477439719</v>
      </c>
    </row>
    <row r="235" ht="15.75" customHeight="1">
      <c r="A235" s="4">
        <f>IF(RETORNOS!A235="","",RETORNOS!A235)</f>
        <v>44753</v>
      </c>
      <c r="B235" s="7">
        <f>IF(RETORNOS!B235="","",OPTIMIZACION!$B$5*RETORNOS!B235+OPTIMIZACION!$B$6*RETORNOS!C235+OPTIMIZACION!$B$7*RETORNOS!D235+OPTIMIZACION!$B$8*RETORNOS!E235+OPTIMIZACION!$B$9*RETORNOS!F235+OPTIMIZACION!$B$10*RETORNOS!G235)</f>
        <v>-0.0001484941854</v>
      </c>
      <c r="C235" s="7">
        <f>IF(RETORNOS!H235="","",RETORNOS!H235)</f>
        <v>-0.009582872567</v>
      </c>
      <c r="D235" s="7">
        <f>IF(RETORNOS!I235="","",RETORNOS!I235)</f>
        <v>0.006300216809</v>
      </c>
      <c r="E235" s="7">
        <f t="shared" si="2"/>
        <v>-0.001641327879</v>
      </c>
      <c r="F235" s="7">
        <f t="shared" si="3"/>
        <v>0.009434378382</v>
      </c>
      <c r="G235" s="7">
        <f t="shared" si="4"/>
        <v>0.001492833694</v>
      </c>
      <c r="H235" s="5">
        <f t="shared" ref="H235:K235" si="235">IF(B235="","",H234*(1+B235))</f>
        <v>121.1452938</v>
      </c>
      <c r="I235" s="5">
        <f t="shared" si="235"/>
        <v>150.6931413</v>
      </c>
      <c r="J235" s="5">
        <f t="shared" si="235"/>
        <v>107.3794084</v>
      </c>
      <c r="K235" s="5">
        <f t="shared" si="235"/>
        <v>128.7955461</v>
      </c>
      <c r="L235" s="7">
        <f t="shared" si="6"/>
        <v>-0.1478705269</v>
      </c>
    </row>
    <row r="236" ht="15.75" customHeight="1">
      <c r="A236" s="4">
        <f>IF(RETORNOS!A236="","",RETORNOS!A236)</f>
        <v>44754</v>
      </c>
      <c r="B236" s="7">
        <f>IF(RETORNOS!B236="","",OPTIMIZACION!$B$5*RETORNOS!B236+OPTIMIZACION!$B$6*RETORNOS!C236+OPTIMIZACION!$B$7*RETORNOS!D236+OPTIMIZACION!$B$8*RETORNOS!E236+OPTIMIZACION!$B$9*RETORNOS!F236+OPTIMIZACION!$B$10*RETORNOS!G236)</f>
        <v>-0.008147970728</v>
      </c>
      <c r="C236" s="7">
        <f>IF(RETORNOS!H236="","",RETORNOS!H236)</f>
        <v>-0.01949598111</v>
      </c>
      <c r="D236" s="7">
        <f>IF(RETORNOS!I236="","",RETORNOS!I236)</f>
        <v>-0.004838157761</v>
      </c>
      <c r="E236" s="7">
        <f t="shared" si="2"/>
        <v>-0.01216706943</v>
      </c>
      <c r="F236" s="7">
        <f t="shared" si="3"/>
        <v>0.01134801038</v>
      </c>
      <c r="G236" s="7">
        <f t="shared" si="4"/>
        <v>0.004019098705</v>
      </c>
      <c r="H236" s="5">
        <f t="shared" ref="H236:K236" si="236">IF(B236="","",H235*(1+B236))</f>
        <v>120.1582055</v>
      </c>
      <c r="I236" s="5">
        <f t="shared" si="236"/>
        <v>147.7552307</v>
      </c>
      <c r="J236" s="5">
        <f t="shared" si="236"/>
        <v>106.8598899</v>
      </c>
      <c r="K236" s="5">
        <f t="shared" si="236"/>
        <v>127.2284817</v>
      </c>
      <c r="L236" s="7">
        <f t="shared" si="6"/>
        <v>-0.1548136529</v>
      </c>
    </row>
    <row r="237" ht="15.75" customHeight="1">
      <c r="A237" s="4">
        <f>IF(RETORNOS!A237="","",RETORNOS!A237)</f>
        <v>44755</v>
      </c>
      <c r="B237" s="7">
        <f>IF(RETORNOS!B237="","",OPTIMIZACION!$B$5*RETORNOS!B237+OPTIMIZACION!$B$6*RETORNOS!C237+OPTIMIZACION!$B$7*RETORNOS!D237+OPTIMIZACION!$B$8*RETORNOS!E237+OPTIMIZACION!$B$9*RETORNOS!F237+OPTIMIZACION!$B$10*RETORNOS!G237)</f>
        <v>-0.0001244997048</v>
      </c>
      <c r="C237" s="7">
        <f>IF(RETORNOS!H237="","",RETORNOS!H237)</f>
        <v>-0.001598172767</v>
      </c>
      <c r="D237" s="7">
        <f>IF(RETORNOS!I237="","",RETORNOS!I237)</f>
        <v>-0.004145321867</v>
      </c>
      <c r="E237" s="7">
        <f t="shared" si="2"/>
        <v>-0.002871747317</v>
      </c>
      <c r="F237" s="7">
        <f t="shared" si="3"/>
        <v>0.001473673062</v>
      </c>
      <c r="G237" s="7">
        <f t="shared" si="4"/>
        <v>0.002747247612</v>
      </c>
      <c r="H237" s="5">
        <f t="shared" ref="H237:K237" si="237">IF(B237="","",H236*(1+B237))</f>
        <v>120.1432459</v>
      </c>
      <c r="I237" s="5">
        <f t="shared" si="237"/>
        <v>147.5190923</v>
      </c>
      <c r="J237" s="5">
        <f t="shared" si="237"/>
        <v>106.4169213</v>
      </c>
      <c r="K237" s="5">
        <f t="shared" si="237"/>
        <v>126.8631137</v>
      </c>
      <c r="L237" s="7">
        <f t="shared" si="6"/>
        <v>-0.1549188784</v>
      </c>
    </row>
    <row r="238" ht="15.75" customHeight="1">
      <c r="A238" s="4">
        <f>IF(RETORNOS!A238="","",RETORNOS!A238)</f>
        <v>44756</v>
      </c>
      <c r="B238" s="7">
        <f>IF(RETORNOS!B238="","",OPTIMIZACION!$B$5*RETORNOS!B238+OPTIMIZACION!$B$6*RETORNOS!C238+OPTIMIZACION!$B$7*RETORNOS!D238+OPTIMIZACION!$B$8*RETORNOS!E238+OPTIMIZACION!$B$9*RETORNOS!F238+OPTIMIZACION!$B$10*RETORNOS!G238)</f>
        <v>-0.004946648909</v>
      </c>
      <c r="C238" s="7">
        <f>IF(RETORNOS!H238="","",RETORNOS!H238)</f>
        <v>-0.01889651455</v>
      </c>
      <c r="D238" s="7">
        <f>IF(RETORNOS!I238="","",RETORNOS!I238)</f>
        <v>0</v>
      </c>
      <c r="E238" s="7">
        <f t="shared" si="2"/>
        <v>-0.009448257274</v>
      </c>
      <c r="F238" s="7">
        <f t="shared" si="3"/>
        <v>0.01394986564</v>
      </c>
      <c r="G238" s="7">
        <f t="shared" si="4"/>
        <v>0.004501608365</v>
      </c>
      <c r="H238" s="5">
        <f t="shared" ref="H238:K238" si="238">IF(B238="","",H237*(1+B238))</f>
        <v>119.5489394</v>
      </c>
      <c r="I238" s="5">
        <f t="shared" si="238"/>
        <v>144.7314956</v>
      </c>
      <c r="J238" s="5">
        <f t="shared" si="238"/>
        <v>106.4169213</v>
      </c>
      <c r="K238" s="5">
        <f t="shared" si="238"/>
        <v>125.6644783</v>
      </c>
      <c r="L238" s="7">
        <f t="shared" si="6"/>
        <v>-0.159099198</v>
      </c>
    </row>
    <row r="239" ht="15.75" customHeight="1">
      <c r="A239" s="4">
        <f>IF(RETORNOS!A239="","",RETORNOS!A239)</f>
        <v>44757</v>
      </c>
      <c r="B239" s="7">
        <f>IF(RETORNOS!B239="","",OPTIMIZACION!$B$5*RETORNOS!B239+OPTIMIZACION!$B$6*RETORNOS!C239+OPTIMIZACION!$B$7*RETORNOS!D239+OPTIMIZACION!$B$8*RETORNOS!E239+OPTIMIZACION!$B$9*RETORNOS!F239+OPTIMIZACION!$B$10*RETORNOS!G239)</f>
        <v>0.01031928015</v>
      </c>
      <c r="C239" s="7">
        <f>IF(RETORNOS!H239="","",RETORNOS!H239)</f>
        <v>0.01629886729</v>
      </c>
      <c r="D239" s="7">
        <f>IF(RETORNOS!I239="","",RETORNOS!I239)</f>
        <v>0.001867085269</v>
      </c>
      <c r="E239" s="7">
        <f t="shared" si="2"/>
        <v>0.009082976278</v>
      </c>
      <c r="F239" s="7">
        <f t="shared" si="3"/>
        <v>-0.005979587136</v>
      </c>
      <c r="G239" s="7">
        <f t="shared" si="4"/>
        <v>0.001236303873</v>
      </c>
      <c r="H239" s="5">
        <f t="shared" ref="H239:K239" si="239">IF(B239="","",H238*(1+B239))</f>
        <v>120.7825984</v>
      </c>
      <c r="I239" s="5">
        <f t="shared" si="239"/>
        <v>147.0904551</v>
      </c>
      <c r="J239" s="5">
        <f t="shared" si="239"/>
        <v>106.6156107</v>
      </c>
      <c r="K239" s="5">
        <f t="shared" si="239"/>
        <v>126.8058858</v>
      </c>
      <c r="L239" s="7">
        <f t="shared" si="6"/>
        <v>-0.150421707</v>
      </c>
    </row>
    <row r="240" ht="15.75" customHeight="1">
      <c r="A240" s="4">
        <f>IF(RETORNOS!A240="","",RETORNOS!A240)</f>
        <v>44760</v>
      </c>
      <c r="B240" s="7">
        <f>IF(RETORNOS!B240="","",OPTIMIZACION!$B$5*RETORNOS!B240+OPTIMIZACION!$B$6*RETORNOS!C240+OPTIMIZACION!$B$7*RETORNOS!D240+OPTIMIZACION!$B$8*RETORNOS!E240+OPTIMIZACION!$B$9*RETORNOS!F240+OPTIMIZACION!$B$10*RETORNOS!G240)</f>
        <v>0.005879736313</v>
      </c>
      <c r="C240" s="7">
        <f>IF(RETORNOS!H240="","",RETORNOS!H240)</f>
        <v>0.02289419552</v>
      </c>
      <c r="D240" s="7">
        <f>IF(RETORNOS!I240="","",RETORNOS!I240)</f>
        <v>-0.01390683886</v>
      </c>
      <c r="E240" s="7">
        <f t="shared" si="2"/>
        <v>0.004493678332</v>
      </c>
      <c r="F240" s="7">
        <f t="shared" si="3"/>
        <v>-0.01701445921</v>
      </c>
      <c r="G240" s="7">
        <f t="shared" si="4"/>
        <v>0.001386057981</v>
      </c>
      <c r="H240" s="5">
        <f t="shared" ref="H240:K240" si="240">IF(B240="","",H239*(1+B240))</f>
        <v>121.4927683</v>
      </c>
      <c r="I240" s="5">
        <f t="shared" si="240"/>
        <v>150.4579727</v>
      </c>
      <c r="J240" s="5">
        <f t="shared" si="240"/>
        <v>105.1329246</v>
      </c>
      <c r="K240" s="5">
        <f t="shared" si="240"/>
        <v>127.3757107</v>
      </c>
      <c r="L240" s="7">
        <f t="shared" si="6"/>
        <v>-0.1454264107</v>
      </c>
    </row>
    <row r="241" ht="15.75" customHeight="1">
      <c r="A241" s="4">
        <f>IF(RETORNOS!A241="","",RETORNOS!A241)</f>
        <v>44761</v>
      </c>
      <c r="B241" s="7">
        <f>IF(RETORNOS!B241="","",OPTIMIZACION!$B$5*RETORNOS!B241+OPTIMIZACION!$B$6*RETORNOS!C241+OPTIMIZACION!$B$7*RETORNOS!D241+OPTIMIZACION!$B$8*RETORNOS!E241+OPTIMIZACION!$B$9*RETORNOS!F241+OPTIMIZACION!$B$10*RETORNOS!G241)</f>
        <v>0.01942987463</v>
      </c>
      <c r="C241" s="7">
        <f>IF(RETORNOS!H241="","",RETORNOS!H241)</f>
        <v>0.03078018801</v>
      </c>
      <c r="D241" s="7">
        <f>IF(RETORNOS!I241="","",RETORNOS!I241)</f>
        <v>0.0064010252</v>
      </c>
      <c r="E241" s="7">
        <f t="shared" si="2"/>
        <v>0.01859060661</v>
      </c>
      <c r="F241" s="7">
        <f t="shared" si="3"/>
        <v>-0.01135031338</v>
      </c>
      <c r="G241" s="7">
        <f t="shared" si="4"/>
        <v>0.0008392680231</v>
      </c>
      <c r="H241" s="5">
        <f t="shared" ref="H241:K241" si="241">IF(B241="","",H240*(1+B241))</f>
        <v>123.8533575</v>
      </c>
      <c r="I241" s="5">
        <f t="shared" si="241"/>
        <v>155.0890974</v>
      </c>
      <c r="J241" s="5">
        <f t="shared" si="241"/>
        <v>105.8058831</v>
      </c>
      <c r="K241" s="5">
        <f t="shared" si="241"/>
        <v>129.7437024</v>
      </c>
      <c r="L241" s="7">
        <f t="shared" si="6"/>
        <v>-0.128822153</v>
      </c>
    </row>
    <row r="242" ht="15.75" customHeight="1">
      <c r="A242" s="4">
        <f>IF(RETORNOS!A242="","",RETORNOS!A242)</f>
        <v>44762</v>
      </c>
      <c r="B242" s="7">
        <f>IF(RETORNOS!B242="","",OPTIMIZACION!$B$5*RETORNOS!B242+OPTIMIZACION!$B$6*RETORNOS!C242+OPTIMIZACION!$B$7*RETORNOS!D242+OPTIMIZACION!$B$8*RETORNOS!E242+OPTIMIZACION!$B$9*RETORNOS!F242+OPTIMIZACION!$B$10*RETORNOS!G242)</f>
        <v>-0.0002214042905</v>
      </c>
      <c r="C242" s="7">
        <f>IF(RETORNOS!H242="","",RETORNOS!H242)</f>
        <v>0.009682724294</v>
      </c>
      <c r="D242" s="7">
        <f>IF(RETORNOS!I242="","",RETORNOS!I242)</f>
        <v>-0.01328977366</v>
      </c>
      <c r="E242" s="7">
        <f t="shared" si="2"/>
        <v>-0.001803524683</v>
      </c>
      <c r="F242" s="7">
        <f t="shared" si="3"/>
        <v>-0.009904128585</v>
      </c>
      <c r="G242" s="7">
        <f t="shared" si="4"/>
        <v>0.001582120392</v>
      </c>
      <c r="H242" s="5">
        <f t="shared" ref="H242:K242" si="242">IF(B242="","",H241*(1+B242))</f>
        <v>123.8259358</v>
      </c>
      <c r="I242" s="5">
        <f t="shared" si="242"/>
        <v>156.5907824</v>
      </c>
      <c r="J242" s="5">
        <f t="shared" si="242"/>
        <v>104.3997469</v>
      </c>
      <c r="K242" s="5">
        <f t="shared" si="242"/>
        <v>129.5097064</v>
      </c>
      <c r="L242" s="7">
        <f t="shared" si="6"/>
        <v>-0.1290150355</v>
      </c>
    </row>
    <row r="243" ht="15.75" customHeight="1">
      <c r="A243" s="4">
        <f>IF(RETORNOS!A243="","",RETORNOS!A243)</f>
        <v>44763</v>
      </c>
      <c r="B243" s="7">
        <f>IF(RETORNOS!B243="","",OPTIMIZACION!$B$5*RETORNOS!B243+OPTIMIZACION!$B$6*RETORNOS!C243+OPTIMIZACION!$B$7*RETORNOS!D243+OPTIMIZACION!$B$8*RETORNOS!E243+OPTIMIZACION!$B$9*RETORNOS!F243+OPTIMIZACION!$B$10*RETORNOS!G243)</f>
        <v>-0.006297333516</v>
      </c>
      <c r="C243" s="7">
        <f>IF(RETORNOS!H243="","",RETORNOS!H243)</f>
        <v>-0.01753239716</v>
      </c>
      <c r="D243" s="7">
        <f>IF(RETORNOS!I243="","",RETORNOS!I243)</f>
        <v>0.002636398595</v>
      </c>
      <c r="E243" s="7">
        <f t="shared" si="2"/>
        <v>-0.007447999281</v>
      </c>
      <c r="F243" s="7">
        <f t="shared" si="3"/>
        <v>0.01123506364</v>
      </c>
      <c r="G243" s="7">
        <f t="shared" si="4"/>
        <v>0.001150665765</v>
      </c>
      <c r="H243" s="5">
        <f t="shared" ref="H243:K243" si="243">IF(B243="","",H242*(1+B243))</f>
        <v>123.0461626</v>
      </c>
      <c r="I243" s="5">
        <f t="shared" si="243"/>
        <v>153.8453706</v>
      </c>
      <c r="J243" s="5">
        <f t="shared" si="243"/>
        <v>104.6749862</v>
      </c>
      <c r="K243" s="5">
        <f t="shared" si="243"/>
        <v>128.5451182</v>
      </c>
      <c r="L243" s="7">
        <f t="shared" si="6"/>
        <v>-0.1344999183</v>
      </c>
    </row>
    <row r="244" ht="15.75" customHeight="1">
      <c r="A244" s="4">
        <f>IF(RETORNOS!A244="","",RETORNOS!A244)</f>
        <v>44764</v>
      </c>
      <c r="B244" s="7">
        <f>IF(RETORNOS!B244="","",OPTIMIZACION!$B$5*RETORNOS!B244+OPTIMIZACION!$B$6*RETORNOS!C244+OPTIMIZACION!$B$7*RETORNOS!D244+OPTIMIZACION!$B$8*RETORNOS!E244+OPTIMIZACION!$B$9*RETORNOS!F244+OPTIMIZACION!$B$10*RETORNOS!G244)</f>
        <v>-0.000538608034</v>
      </c>
      <c r="C244" s="7">
        <f>IF(RETORNOS!H244="","",RETORNOS!H244)</f>
        <v>-0.008222942925</v>
      </c>
      <c r="D244" s="7">
        <f>IF(RETORNOS!I244="","",RETORNOS!I244)</f>
        <v>0.01371937842</v>
      </c>
      <c r="E244" s="7">
        <f t="shared" si="2"/>
        <v>0.002748217747</v>
      </c>
      <c r="F244" s="7">
        <f t="shared" si="3"/>
        <v>0.007684334891</v>
      </c>
      <c r="G244" s="7">
        <f t="shared" si="4"/>
        <v>-0.003286825781</v>
      </c>
      <c r="H244" s="5">
        <f t="shared" ref="H244:K244" si="244">IF(B244="","",H243*(1+B244))</f>
        <v>122.979889</v>
      </c>
      <c r="I244" s="5">
        <f t="shared" si="244"/>
        <v>152.5803089</v>
      </c>
      <c r="J244" s="5">
        <f t="shared" si="244"/>
        <v>106.111062</v>
      </c>
      <c r="K244" s="5">
        <f t="shared" si="244"/>
        <v>128.8983882</v>
      </c>
      <c r="L244" s="7">
        <f t="shared" si="6"/>
        <v>-0.1349660836</v>
      </c>
    </row>
    <row r="245" ht="15.75" customHeight="1">
      <c r="A245" s="4">
        <f>IF(RETORNOS!A245="","",RETORNOS!A245)</f>
        <v>44767</v>
      </c>
      <c r="B245" s="7">
        <f>IF(RETORNOS!B245="","",OPTIMIZACION!$B$5*RETORNOS!B245+OPTIMIZACION!$B$6*RETORNOS!C245+OPTIMIZACION!$B$7*RETORNOS!D245+OPTIMIZACION!$B$8*RETORNOS!E245+OPTIMIZACION!$B$9*RETORNOS!F245+OPTIMIZACION!$B$10*RETORNOS!G245)</f>
        <v>0.02759483942</v>
      </c>
      <c r="C245" s="7">
        <f>IF(RETORNOS!H245="","",RETORNOS!H245)</f>
        <v>0.03668240783</v>
      </c>
      <c r="D245" s="7">
        <f>IF(RETORNOS!I245="","",RETORNOS!I245)</f>
        <v>0.0125333453</v>
      </c>
      <c r="E245" s="7">
        <f t="shared" si="2"/>
        <v>0.02460787656</v>
      </c>
      <c r="F245" s="7">
        <f t="shared" si="3"/>
        <v>-0.009087568401</v>
      </c>
      <c r="G245" s="7">
        <f t="shared" si="4"/>
        <v>0.00298696286</v>
      </c>
      <c r="H245" s="5">
        <f t="shared" ref="H245:K245" si="245">IF(B245="","",H244*(1+B245))</f>
        <v>126.3734993</v>
      </c>
      <c r="I245" s="5">
        <f t="shared" si="245"/>
        <v>158.177322</v>
      </c>
      <c r="J245" s="5">
        <f t="shared" si="245"/>
        <v>107.4409885</v>
      </c>
      <c r="K245" s="5">
        <f t="shared" si="245"/>
        <v>132.0703038</v>
      </c>
      <c r="L245" s="7">
        <f t="shared" si="6"/>
        <v>-0.1110956116</v>
      </c>
    </row>
    <row r="246" ht="15.75" customHeight="1">
      <c r="A246" s="4">
        <f>IF(RETORNOS!A246="","",RETORNOS!A246)</f>
        <v>44768</v>
      </c>
      <c r="B246" s="7">
        <f>IF(RETORNOS!B246="","",OPTIMIZACION!$B$5*RETORNOS!B246+OPTIMIZACION!$B$6*RETORNOS!C246+OPTIMIZACION!$B$7*RETORNOS!D246+OPTIMIZACION!$B$8*RETORNOS!E246+OPTIMIZACION!$B$9*RETORNOS!F246+OPTIMIZACION!$B$10*RETORNOS!G246)</f>
        <v>0.007453338982</v>
      </c>
      <c r="C246" s="7">
        <f>IF(RETORNOS!H246="","",RETORNOS!H246)</f>
        <v>-0.009082911068</v>
      </c>
      <c r="D246" s="7">
        <f>IF(RETORNOS!I246="","",RETORNOS!I246)</f>
        <v>0.005969024405</v>
      </c>
      <c r="E246" s="7">
        <f t="shared" si="2"/>
        <v>-0.001556943332</v>
      </c>
      <c r="F246" s="7">
        <f t="shared" si="3"/>
        <v>0.01653625005</v>
      </c>
      <c r="G246" s="7">
        <f t="shared" si="4"/>
        <v>0.009010282314</v>
      </c>
      <c r="H246" s="5">
        <f t="shared" ref="H246:K246" si="246">IF(B246="","",H245*(1+B246))</f>
        <v>127.3154038</v>
      </c>
      <c r="I246" s="5">
        <f t="shared" si="246"/>
        <v>156.7406114</v>
      </c>
      <c r="J246" s="5">
        <f t="shared" si="246"/>
        <v>108.0823064</v>
      </c>
      <c r="K246" s="5">
        <f t="shared" si="246"/>
        <v>131.8646778</v>
      </c>
      <c r="L246" s="7">
        <f t="shared" si="6"/>
        <v>-0.1044703059</v>
      </c>
    </row>
    <row r="247" ht="15.75" customHeight="1">
      <c r="A247" s="4">
        <f>IF(RETORNOS!A247="","",RETORNOS!A247)</f>
        <v>44769</v>
      </c>
      <c r="B247" s="7">
        <f>IF(RETORNOS!B247="","",OPTIMIZACION!$B$5*RETORNOS!B247+OPTIMIZACION!$B$6*RETORNOS!C247+OPTIMIZACION!$B$7*RETORNOS!D247+OPTIMIZACION!$B$8*RETORNOS!E247+OPTIMIZACION!$B$9*RETORNOS!F247+OPTIMIZACION!$B$10*RETORNOS!G247)</f>
        <v>0.01289606299</v>
      </c>
      <c r="C247" s="7">
        <f>IF(RETORNOS!H247="","",RETORNOS!H247)</f>
        <v>0.02257357991</v>
      </c>
      <c r="D247" s="7">
        <f>IF(RETORNOS!I247="","",RETORNOS!I247)</f>
        <v>0.0008530543122</v>
      </c>
      <c r="E247" s="7">
        <f t="shared" si="2"/>
        <v>0.01171331711</v>
      </c>
      <c r="F247" s="7">
        <f t="shared" si="3"/>
        <v>-0.009677516923</v>
      </c>
      <c r="G247" s="7">
        <f t="shared" si="4"/>
        <v>0.001182745875</v>
      </c>
      <c r="H247" s="5">
        <f t="shared" ref="H247:K247" si="247">IF(B247="","",H246*(1+B247))</f>
        <v>128.9572713</v>
      </c>
      <c r="I247" s="5">
        <f t="shared" si="247"/>
        <v>160.2788082</v>
      </c>
      <c r="J247" s="5">
        <f t="shared" si="247"/>
        <v>108.1745065</v>
      </c>
      <c r="K247" s="5">
        <f t="shared" si="247"/>
        <v>133.4092506</v>
      </c>
      <c r="L247" s="7">
        <f t="shared" si="6"/>
        <v>-0.09292149852</v>
      </c>
    </row>
    <row r="248" ht="15.75" customHeight="1">
      <c r="A248" s="4">
        <f>IF(RETORNOS!A248="","",RETORNOS!A248)</f>
        <v>44770</v>
      </c>
      <c r="B248" s="7">
        <f>IF(RETORNOS!B248="","",OPTIMIZACION!$B$5*RETORNOS!B248+OPTIMIZACION!$B$6*RETORNOS!C248+OPTIMIZACION!$B$7*RETORNOS!D248+OPTIMIZACION!$B$8*RETORNOS!E248+OPTIMIZACION!$B$9*RETORNOS!F248+OPTIMIZACION!$B$10*RETORNOS!G248)</f>
        <v>0.02294083219</v>
      </c>
      <c r="C248" s="7">
        <f>IF(RETORNOS!H248="","",RETORNOS!H248)</f>
        <v>0.005620917801</v>
      </c>
      <c r="D248" s="7">
        <f>IF(RETORNOS!I248="","",RETORNOS!I248)</f>
        <v>0.03588580702</v>
      </c>
      <c r="E248" s="7">
        <f t="shared" si="2"/>
        <v>0.02075336241</v>
      </c>
      <c r="F248" s="7">
        <f t="shared" si="3"/>
        <v>0.01731991439</v>
      </c>
      <c r="G248" s="7">
        <f t="shared" si="4"/>
        <v>0.002187469779</v>
      </c>
      <c r="H248" s="5">
        <f t="shared" ref="H248:K248" si="248">IF(B248="","",H247*(1+B248))</f>
        <v>131.9156584</v>
      </c>
      <c r="I248" s="5">
        <f t="shared" si="248"/>
        <v>161.1797222</v>
      </c>
      <c r="J248" s="5">
        <f t="shared" si="248"/>
        <v>112.056436</v>
      </c>
      <c r="K248" s="5">
        <f t="shared" si="248"/>
        <v>136.1779411</v>
      </c>
      <c r="L248" s="7">
        <f t="shared" si="6"/>
        <v>-0.07211236284</v>
      </c>
    </row>
    <row r="249" ht="15.75" customHeight="1">
      <c r="A249" s="4">
        <f>IF(RETORNOS!A249="","",RETORNOS!A249)</f>
        <v>44771</v>
      </c>
      <c r="B249" s="7">
        <f>IF(RETORNOS!B249="","",OPTIMIZACION!$B$5*RETORNOS!B249+OPTIMIZACION!$B$6*RETORNOS!C249+OPTIMIZACION!$B$7*RETORNOS!D249+OPTIMIZACION!$B$8*RETORNOS!E249+OPTIMIZACION!$B$9*RETORNOS!F249+OPTIMIZACION!$B$10*RETORNOS!G249)</f>
        <v>0.02908892251</v>
      </c>
      <c r="C249" s="7">
        <f>IF(RETORNOS!H249="","",RETORNOS!H249)</f>
        <v>0.04337126853</v>
      </c>
      <c r="D249" s="7">
        <f>IF(RETORNOS!I249="","",RETORNOS!I249)</f>
        <v>0.008595379566</v>
      </c>
      <c r="E249" s="7">
        <f t="shared" si="2"/>
        <v>0.02598332405</v>
      </c>
      <c r="F249" s="7">
        <f t="shared" si="3"/>
        <v>-0.01428234602</v>
      </c>
      <c r="G249" s="7">
        <f t="shared" si="4"/>
        <v>0.003105598463</v>
      </c>
      <c r="H249" s="5">
        <f t="shared" ref="H249:K249" si="249">IF(B249="","",H248*(1+B249))</f>
        <v>135.7529427</v>
      </c>
      <c r="I249" s="5">
        <f t="shared" si="249"/>
        <v>168.1702912</v>
      </c>
      <c r="J249" s="5">
        <f t="shared" si="249"/>
        <v>113.0196036</v>
      </c>
      <c r="K249" s="5">
        <f t="shared" si="249"/>
        <v>139.7162967</v>
      </c>
      <c r="L249" s="7">
        <f t="shared" si="6"/>
        <v>-0.04512111126</v>
      </c>
    </row>
    <row r="250" ht="15.75" customHeight="1">
      <c r="A250" s="4">
        <f>IF(RETORNOS!A250="","",RETORNOS!A250)</f>
        <v>44774</v>
      </c>
      <c r="B250" s="7">
        <f>IF(RETORNOS!B250="","",OPTIMIZACION!$B$5*RETORNOS!B250+OPTIMIZACION!$B$6*RETORNOS!C250+OPTIMIZACION!$B$7*RETORNOS!D250+OPTIMIZACION!$B$8*RETORNOS!E250+OPTIMIZACION!$B$9*RETORNOS!F250+OPTIMIZACION!$B$10*RETORNOS!G250)</f>
        <v>-0.01164280329</v>
      </c>
      <c r="C250" s="7">
        <f>IF(RETORNOS!H250="","",RETORNOS!H250)</f>
        <v>-0.02065589085</v>
      </c>
      <c r="D250" s="7">
        <f>IF(RETORNOS!I250="","",RETORNOS!I250)</f>
        <v>0.001080693811</v>
      </c>
      <c r="E250" s="7">
        <f t="shared" si="2"/>
        <v>-0.009787598519</v>
      </c>
      <c r="F250" s="7">
        <f t="shared" si="3"/>
        <v>0.009013087556</v>
      </c>
      <c r="G250" s="7">
        <f t="shared" si="4"/>
        <v>-0.001855204774</v>
      </c>
      <c r="H250" s="5">
        <f t="shared" ref="H250:K250" si="250">IF(B250="","",H249*(1+B250))</f>
        <v>134.1723979</v>
      </c>
      <c r="I250" s="5">
        <f t="shared" si="250"/>
        <v>164.696584</v>
      </c>
      <c r="J250" s="5">
        <f t="shared" si="250"/>
        <v>113.1417432</v>
      </c>
      <c r="K250" s="5">
        <f t="shared" si="250"/>
        <v>138.3488097</v>
      </c>
      <c r="L250" s="7">
        <f t="shared" si="6"/>
        <v>-0.05623857833</v>
      </c>
    </row>
    <row r="251" ht="15.75" customHeight="1">
      <c r="A251" s="4">
        <f>IF(RETORNOS!A251="","",RETORNOS!A251)</f>
        <v>44775</v>
      </c>
      <c r="B251" s="7">
        <f>IF(RETORNOS!B251="","",OPTIMIZACION!$B$5*RETORNOS!B251+OPTIMIZACION!$B$6*RETORNOS!C251+OPTIMIZACION!$B$7*RETORNOS!D251+OPTIMIZACION!$B$8*RETORNOS!E251+OPTIMIZACION!$B$9*RETORNOS!F251+OPTIMIZACION!$B$10*RETORNOS!G251)</f>
        <v>-0.01110835127</v>
      </c>
      <c r="C251" s="7">
        <f>IF(RETORNOS!H251="","",RETORNOS!H251)</f>
        <v>-0.002343506191</v>
      </c>
      <c r="D251" s="7">
        <f>IF(RETORNOS!I251="","",RETORNOS!I251)</f>
        <v>-0.002029751649</v>
      </c>
      <c r="E251" s="7">
        <f t="shared" si="2"/>
        <v>-0.00218662892</v>
      </c>
      <c r="F251" s="7">
        <f t="shared" si="3"/>
        <v>-0.008764845079</v>
      </c>
      <c r="G251" s="7">
        <f t="shared" si="4"/>
        <v>-0.008921722351</v>
      </c>
      <c r="H251" s="5">
        <f t="shared" ref="H251:K251" si="251">IF(B251="","",H250*(1+B251))</f>
        <v>132.6819638</v>
      </c>
      <c r="I251" s="5">
        <f t="shared" si="251"/>
        <v>164.3106165</v>
      </c>
      <c r="J251" s="5">
        <f t="shared" si="251"/>
        <v>112.9120935</v>
      </c>
      <c r="K251" s="5">
        <f t="shared" si="251"/>
        <v>138.0462922</v>
      </c>
      <c r="L251" s="7">
        <f t="shared" si="6"/>
        <v>-0.06672221172</v>
      </c>
    </row>
    <row r="252" ht="15.75" customHeight="1">
      <c r="A252" s="4">
        <f>IF(RETORNOS!A252="","",RETORNOS!A252)</f>
        <v>44776</v>
      </c>
      <c r="B252" s="7">
        <f>IF(RETORNOS!B252="","",OPTIMIZACION!$B$5*RETORNOS!B252+OPTIMIZACION!$B$6*RETORNOS!C252+OPTIMIZACION!$B$7*RETORNOS!D252+OPTIMIZACION!$B$8*RETORNOS!E252+OPTIMIZACION!$B$9*RETORNOS!F252+OPTIMIZACION!$B$10*RETORNOS!G252)</f>
        <v>-0.001118206636</v>
      </c>
      <c r="C252" s="7">
        <f>IF(RETORNOS!H252="","",RETORNOS!H252)</f>
        <v>-0.02871341474</v>
      </c>
      <c r="D252" s="7">
        <f>IF(RETORNOS!I252="","",RETORNOS!I252)</f>
        <v>0.006225179132</v>
      </c>
      <c r="E252" s="7">
        <f t="shared" si="2"/>
        <v>-0.01124411781</v>
      </c>
      <c r="F252" s="7">
        <f t="shared" si="3"/>
        <v>0.02759520811</v>
      </c>
      <c r="G252" s="7">
        <f t="shared" si="4"/>
        <v>0.01012591117</v>
      </c>
      <c r="H252" s="5">
        <f t="shared" ref="H252:K252" si="252">IF(B252="","",H251*(1+B252))</f>
        <v>132.533598</v>
      </c>
      <c r="I252" s="5">
        <f t="shared" si="252"/>
        <v>159.5926977</v>
      </c>
      <c r="J252" s="5">
        <f t="shared" si="252"/>
        <v>113.6149915</v>
      </c>
      <c r="K252" s="5">
        <f t="shared" si="252"/>
        <v>136.4940834</v>
      </c>
      <c r="L252" s="7">
        <f t="shared" si="6"/>
        <v>-0.06776580914</v>
      </c>
    </row>
    <row r="253" ht="15.75" customHeight="1">
      <c r="A253" s="4">
        <f>IF(RETORNOS!A253="","",RETORNOS!A253)</f>
        <v>44777</v>
      </c>
      <c r="B253" s="7">
        <f>IF(RETORNOS!B253="","",OPTIMIZACION!$B$5*RETORNOS!B253+OPTIMIZACION!$B$6*RETORNOS!C253+OPTIMIZACION!$B$7*RETORNOS!D253+OPTIMIZACION!$B$8*RETORNOS!E253+OPTIMIZACION!$B$9*RETORNOS!F253+OPTIMIZACION!$B$10*RETORNOS!G253)</f>
        <v>-0.01361246282</v>
      </c>
      <c r="C253" s="7">
        <f>IF(RETORNOS!H253="","",RETORNOS!H253)</f>
        <v>-0.03708497399</v>
      </c>
      <c r="D253" s="7">
        <f>IF(RETORNOS!I253="","",RETORNOS!I253)</f>
        <v>0.002153055602</v>
      </c>
      <c r="E253" s="7">
        <f t="shared" si="2"/>
        <v>-0.0174659592</v>
      </c>
      <c r="F253" s="7">
        <f t="shared" si="3"/>
        <v>0.02347251117</v>
      </c>
      <c r="G253" s="7">
        <f t="shared" si="4"/>
        <v>0.003853496373</v>
      </c>
      <c r="H253" s="5">
        <f t="shared" ref="H253:K253" si="253">IF(B253="","",H252*(1+B253))</f>
        <v>130.7294893</v>
      </c>
      <c r="I253" s="5">
        <f t="shared" si="253"/>
        <v>153.6742066</v>
      </c>
      <c r="J253" s="5">
        <f t="shared" si="253"/>
        <v>113.8596109</v>
      </c>
      <c r="K253" s="5">
        <f t="shared" si="253"/>
        <v>134.1100833</v>
      </c>
      <c r="L253" s="7">
        <f t="shared" si="6"/>
        <v>-0.0804558124</v>
      </c>
    </row>
    <row r="254" ht="15.75" customHeight="1">
      <c r="A254" s="4">
        <f>IF(RETORNOS!A254="","",RETORNOS!A254)</f>
        <v>44778</v>
      </c>
      <c r="B254" s="7">
        <f>IF(RETORNOS!B254="","",OPTIMIZACION!$B$5*RETORNOS!B254+OPTIMIZACION!$B$6*RETORNOS!C254+OPTIMIZACION!$B$7*RETORNOS!D254+OPTIMIZACION!$B$8*RETORNOS!E254+OPTIMIZACION!$B$9*RETORNOS!F254+OPTIMIZACION!$B$10*RETORNOS!G254)</f>
        <v>0.001749260135</v>
      </c>
      <c r="C254" s="7">
        <f>IF(RETORNOS!H254="","",RETORNOS!H254)</f>
        <v>0.0198182564</v>
      </c>
      <c r="D254" s="7">
        <f>IF(RETORNOS!I254="","",RETORNOS!I254)</f>
        <v>-0.003624541703</v>
      </c>
      <c r="E254" s="7">
        <f t="shared" si="2"/>
        <v>0.008096857347</v>
      </c>
      <c r="F254" s="7">
        <f t="shared" si="3"/>
        <v>-0.01806899626</v>
      </c>
      <c r="G254" s="7">
        <f t="shared" si="4"/>
        <v>-0.006347597212</v>
      </c>
      <c r="H254" s="5">
        <f t="shared" ref="H254:K254" si="254">IF(B254="","",H253*(1+B254))</f>
        <v>130.9581692</v>
      </c>
      <c r="I254" s="5">
        <f t="shared" si="254"/>
        <v>156.7197614</v>
      </c>
      <c r="J254" s="5">
        <f t="shared" si="254"/>
        <v>113.446922</v>
      </c>
      <c r="K254" s="5">
        <f t="shared" si="254"/>
        <v>135.1959535</v>
      </c>
      <c r="L254" s="7">
        <f t="shared" si="6"/>
        <v>-0.07884729041</v>
      </c>
    </row>
    <row r="255" ht="15.75" customHeight="1">
      <c r="A255" s="4">
        <f>IF(RETORNOS!A255="","",RETORNOS!A255)</f>
        <v>44781</v>
      </c>
      <c r="B255" s="7">
        <f>IF(RETORNOS!B255="","",OPTIMIZACION!$B$5*RETORNOS!B255+OPTIMIZACION!$B$6*RETORNOS!C255+OPTIMIZACION!$B$7*RETORNOS!D255+OPTIMIZACION!$B$8*RETORNOS!E255+OPTIMIZACION!$B$9*RETORNOS!F255+OPTIMIZACION!$B$10*RETORNOS!G255)</f>
        <v>0.009293048492</v>
      </c>
      <c r="C255" s="7">
        <f>IF(RETORNOS!H255="","",RETORNOS!H255)</f>
        <v>0.005194748941</v>
      </c>
      <c r="D255" s="7">
        <f>IF(RETORNOS!I255="","",RETORNOS!I255)</f>
        <v>0.001481481481</v>
      </c>
      <c r="E255" s="7">
        <f t="shared" si="2"/>
        <v>0.003338115211</v>
      </c>
      <c r="F255" s="7">
        <f t="shared" si="3"/>
        <v>0.00409829955</v>
      </c>
      <c r="G255" s="7">
        <f t="shared" si="4"/>
        <v>0.00595493328</v>
      </c>
      <c r="H255" s="5">
        <f t="shared" ref="H255:K255" si="255">IF(B255="","",H254*(1+B255))</f>
        <v>132.1751698</v>
      </c>
      <c r="I255" s="5">
        <f t="shared" si="255"/>
        <v>157.5338813</v>
      </c>
      <c r="J255" s="5">
        <f t="shared" si="255"/>
        <v>113.6149915</v>
      </c>
      <c r="K255" s="5">
        <f t="shared" si="255"/>
        <v>135.6472532</v>
      </c>
      <c r="L255" s="7">
        <f t="shared" si="6"/>
        <v>-0.07028697361</v>
      </c>
    </row>
    <row r="256" ht="15.75" customHeight="1">
      <c r="A256" s="4">
        <f>IF(RETORNOS!A256="","",RETORNOS!A256)</f>
        <v>44782</v>
      </c>
      <c r="B256" s="7">
        <f>IF(RETORNOS!B256="","",OPTIMIZACION!$B$5*RETORNOS!B256+OPTIMIZACION!$B$6*RETORNOS!C256+OPTIMIZACION!$B$7*RETORNOS!D256+OPTIMIZACION!$B$8*RETORNOS!E256+OPTIMIZACION!$B$9*RETORNOS!F256+OPTIMIZACION!$B$10*RETORNOS!G256)</f>
        <v>0.00734890249</v>
      </c>
      <c r="C256" s="7">
        <f>IF(RETORNOS!H256="","",RETORNOS!H256)</f>
        <v>0.01756286743</v>
      </c>
      <c r="D256" s="7">
        <f>IF(RETORNOS!I256="","",RETORNOS!I256)</f>
        <v>0.01116654289</v>
      </c>
      <c r="E256" s="7">
        <f t="shared" si="2"/>
        <v>0.01436470516</v>
      </c>
      <c r="F256" s="7">
        <f t="shared" si="3"/>
        <v>-0.01021396494</v>
      </c>
      <c r="G256" s="7">
        <f t="shared" si="4"/>
        <v>-0.007015802673</v>
      </c>
      <c r="H256" s="5">
        <f t="shared" ref="H256:K256" si="256">IF(B256="","",H255*(1+B256))</f>
        <v>133.1465122</v>
      </c>
      <c r="I256" s="5">
        <f t="shared" si="256"/>
        <v>160.3006279</v>
      </c>
      <c r="J256" s="5">
        <f t="shared" si="256"/>
        <v>114.8836782</v>
      </c>
      <c r="K256" s="5">
        <f t="shared" si="256"/>
        <v>137.595786</v>
      </c>
      <c r="L256" s="7">
        <f t="shared" si="6"/>
        <v>-0.06345460324</v>
      </c>
    </row>
    <row r="257" ht="15.75" customHeight="1">
      <c r="A257" s="4">
        <f>IF(RETORNOS!A257="","",RETORNOS!A257)</f>
        <v>44783</v>
      </c>
      <c r="B257" s="7">
        <f>IF(RETORNOS!B257="","",OPTIMIZACION!$B$5*RETORNOS!B257+OPTIMIZACION!$B$6*RETORNOS!C257+OPTIMIZACION!$B$7*RETORNOS!D257+OPTIMIZACION!$B$8*RETORNOS!E257+OPTIMIZACION!$B$9*RETORNOS!F257+OPTIMIZACION!$B$10*RETORNOS!G257)</f>
        <v>0.007192034588</v>
      </c>
      <c r="C257" s="7">
        <f>IF(RETORNOS!H257="","",RETORNOS!H257)</f>
        <v>0.007220293046</v>
      </c>
      <c r="D257" s="7">
        <f>IF(RETORNOS!I257="","",RETORNOS!I257)</f>
        <v>0.004388861413</v>
      </c>
      <c r="E257" s="7">
        <f t="shared" si="2"/>
        <v>0.00580457723</v>
      </c>
      <c r="F257" s="7">
        <f t="shared" si="3"/>
        <v>-0.00002825845822</v>
      </c>
      <c r="G257" s="7">
        <f t="shared" si="4"/>
        <v>0.001387457358</v>
      </c>
      <c r="H257" s="5">
        <f t="shared" ref="H257:K257" si="257">IF(B257="","",H256*(1+B257))</f>
        <v>134.1041065</v>
      </c>
      <c r="I257" s="5">
        <f t="shared" si="257"/>
        <v>161.4580454</v>
      </c>
      <c r="J257" s="5">
        <f t="shared" si="257"/>
        <v>115.3878867</v>
      </c>
      <c r="K257" s="5">
        <f t="shared" si="257"/>
        <v>138.3944714</v>
      </c>
      <c r="L257" s="7">
        <f t="shared" si="6"/>
        <v>-0.05671893635</v>
      </c>
    </row>
    <row r="258" ht="15.75" customHeight="1">
      <c r="A258" s="4">
        <f>IF(RETORNOS!A258="","",RETORNOS!A258)</f>
        <v>44784</v>
      </c>
      <c r="B258" s="7">
        <f>IF(RETORNOS!B258="","",OPTIMIZACION!$B$5*RETORNOS!B258+OPTIMIZACION!$B$6*RETORNOS!C258+OPTIMIZACION!$B$7*RETORNOS!D258+OPTIMIZACION!$B$8*RETORNOS!E258+OPTIMIZACION!$B$9*RETORNOS!F258+OPTIMIZACION!$B$10*RETORNOS!G258)</f>
        <v>0.01745881191</v>
      </c>
      <c r="C258" s="7">
        <f>IF(RETORNOS!H258="","",RETORNOS!H258)</f>
        <v>0.03440716193</v>
      </c>
      <c r="D258" s="7">
        <f>IF(RETORNOS!I258="","",RETORNOS!I258)</f>
        <v>-0.0001297341923</v>
      </c>
      <c r="E258" s="7">
        <f t="shared" si="2"/>
        <v>0.01713871387</v>
      </c>
      <c r="F258" s="7">
        <f t="shared" si="3"/>
        <v>-0.01694835002</v>
      </c>
      <c r="G258" s="7">
        <f t="shared" si="4"/>
        <v>0.0003200980394</v>
      </c>
      <c r="H258" s="5">
        <f t="shared" ref="H258:K258" si="258">IF(B258="","",H257*(1+B258))</f>
        <v>136.4454049</v>
      </c>
      <c r="I258" s="5">
        <f t="shared" si="258"/>
        <v>167.0133585</v>
      </c>
      <c r="J258" s="5">
        <f t="shared" si="258"/>
        <v>115.372917</v>
      </c>
      <c r="K258" s="5">
        <f t="shared" si="258"/>
        <v>140.7663746</v>
      </c>
      <c r="L258" s="7">
        <f t="shared" si="6"/>
        <v>-0.04025036969</v>
      </c>
    </row>
    <row r="259" ht="15.75" customHeight="1">
      <c r="A259" s="4">
        <f>IF(RETORNOS!A259="","",RETORNOS!A259)</f>
        <v>44785</v>
      </c>
      <c r="B259" s="7">
        <f>IF(RETORNOS!B259="","",OPTIMIZACION!$B$5*RETORNOS!B259+OPTIMIZACION!$B$6*RETORNOS!C259+OPTIMIZACION!$B$7*RETORNOS!D259+OPTIMIZACION!$B$8*RETORNOS!E259+OPTIMIZACION!$B$9*RETORNOS!F259+OPTIMIZACION!$B$10*RETORNOS!G259)</f>
        <v>0.01833753887</v>
      </c>
      <c r="C259" s="7">
        <f>IF(RETORNOS!H259="","",RETORNOS!H259)</f>
        <v>0.007571710603</v>
      </c>
      <c r="D259" s="7">
        <f>IF(RETORNOS!I259="","",RETORNOS!I259)</f>
        <v>0.01628965147</v>
      </c>
      <c r="E259" s="7">
        <f t="shared" si="2"/>
        <v>0.01193068104</v>
      </c>
      <c r="F259" s="7">
        <f t="shared" si="3"/>
        <v>0.01076582826</v>
      </c>
      <c r="G259" s="7">
        <f t="shared" si="4"/>
        <v>0.00640685783</v>
      </c>
      <c r="H259" s="5">
        <f t="shared" ref="H259:K259" si="259">IF(B259="","",H258*(1+B259))</f>
        <v>138.9474778</v>
      </c>
      <c r="I259" s="5">
        <f t="shared" si="259"/>
        <v>168.2779354</v>
      </c>
      <c r="J259" s="5">
        <f t="shared" si="259"/>
        <v>117.2523016</v>
      </c>
      <c r="K259" s="5">
        <f t="shared" si="259"/>
        <v>142.4458133</v>
      </c>
      <c r="L259" s="7">
        <f t="shared" si="6"/>
        <v>-0.02265092354</v>
      </c>
    </row>
    <row r="260" ht="15.75" customHeight="1">
      <c r="A260" s="4">
        <f>IF(RETORNOS!A260="","",RETORNOS!A260)</f>
        <v>44788</v>
      </c>
      <c r="B260" s="7">
        <f>IF(RETORNOS!B260="","",OPTIMIZACION!$B$5*RETORNOS!B260+OPTIMIZACION!$B$6*RETORNOS!C260+OPTIMIZACION!$B$7*RETORNOS!D260+OPTIMIZACION!$B$8*RETORNOS!E260+OPTIMIZACION!$B$9*RETORNOS!F260+OPTIMIZACION!$B$10*RETORNOS!G260)</f>
        <v>-0.001219852006</v>
      </c>
      <c r="C260" s="7">
        <f>IF(RETORNOS!H260="","",RETORNOS!H260)</f>
        <v>-0.01949586224</v>
      </c>
      <c r="D260" s="7">
        <f>IF(RETORNOS!I260="","",RETORNOS!I260)</f>
        <v>0.008345060716</v>
      </c>
      <c r="E260" s="7">
        <f t="shared" si="2"/>
        <v>-0.005575400764</v>
      </c>
      <c r="F260" s="7">
        <f t="shared" si="3"/>
        <v>0.01827601024</v>
      </c>
      <c r="G260" s="7">
        <f t="shared" si="4"/>
        <v>0.004355548758</v>
      </c>
      <c r="H260" s="5">
        <f t="shared" ref="H260:K260" si="260">IF(B260="","",H259*(1+B260))</f>
        <v>138.7779825</v>
      </c>
      <c r="I260" s="5">
        <f t="shared" si="260"/>
        <v>164.9972119</v>
      </c>
      <c r="J260" s="5">
        <f t="shared" si="260"/>
        <v>118.2307792</v>
      </c>
      <c r="K260" s="5">
        <f t="shared" si="260"/>
        <v>141.6516208</v>
      </c>
      <c r="L260" s="7">
        <f t="shared" si="6"/>
        <v>-0.02384314477</v>
      </c>
    </row>
    <row r="261" ht="15.75" customHeight="1">
      <c r="A261" s="4">
        <f>IF(RETORNOS!A261="","",RETORNOS!A261)</f>
        <v>44789</v>
      </c>
      <c r="B261" s="7">
        <f>IF(RETORNOS!B261="","",OPTIMIZACION!$B$5*RETORNOS!B261+OPTIMIZACION!$B$6*RETORNOS!C261+OPTIMIZACION!$B$7*RETORNOS!D261+OPTIMIZACION!$B$8*RETORNOS!E261+OPTIMIZACION!$B$9*RETORNOS!F261+OPTIMIZACION!$B$10*RETORNOS!G261)</f>
        <v>0.003267746018</v>
      </c>
      <c r="C261" s="7">
        <f>IF(RETORNOS!H261="","",RETORNOS!H261)</f>
        <v>-0.00234217502</v>
      </c>
      <c r="D261" s="7">
        <f>IF(RETORNOS!I261="","",RETORNOS!I261)</f>
        <v>0.002840197864</v>
      </c>
      <c r="E261" s="7">
        <f t="shared" si="2"/>
        <v>0.0002490114223</v>
      </c>
      <c r="F261" s="7">
        <f t="shared" si="3"/>
        <v>0.005609921038</v>
      </c>
      <c r="G261" s="7">
        <f t="shared" si="4"/>
        <v>0.003018734596</v>
      </c>
      <c r="H261" s="5">
        <f t="shared" ref="H261:K261" si="261">IF(B261="","",H260*(1+B261))</f>
        <v>139.2314737</v>
      </c>
      <c r="I261" s="5">
        <f t="shared" si="261"/>
        <v>164.6107596</v>
      </c>
      <c r="J261" s="5">
        <f t="shared" si="261"/>
        <v>118.566578</v>
      </c>
      <c r="K261" s="5">
        <f t="shared" si="261"/>
        <v>141.6868937</v>
      </c>
      <c r="L261" s="7">
        <f t="shared" si="6"/>
        <v>-0.02065331209</v>
      </c>
    </row>
    <row r="262" ht="15.75" customHeight="1">
      <c r="A262" s="4">
        <f>IF(RETORNOS!A262="","",RETORNOS!A262)</f>
        <v>44790</v>
      </c>
      <c r="B262" s="7">
        <f>IF(RETORNOS!B262="","",OPTIMIZACION!$B$5*RETORNOS!B262+OPTIMIZACION!$B$6*RETORNOS!C262+OPTIMIZACION!$B$7*RETORNOS!D262+OPTIMIZACION!$B$8*RETORNOS!E262+OPTIMIZACION!$B$9*RETORNOS!F262+OPTIMIZACION!$B$10*RETORNOS!G262)</f>
        <v>0.001239609348</v>
      </c>
      <c r="C262" s="7">
        <f>IF(RETORNOS!H262="","",RETORNOS!H262)</f>
        <v>0.008339101875</v>
      </c>
      <c r="D262" s="7">
        <f>IF(RETORNOS!I262="","",RETORNOS!I262)</f>
        <v>-0.001672893388</v>
      </c>
      <c r="E262" s="7">
        <f t="shared" si="2"/>
        <v>0.003333104243</v>
      </c>
      <c r="F262" s="7">
        <f t="shared" si="3"/>
        <v>-0.007099492527</v>
      </c>
      <c r="G262" s="7">
        <f t="shared" si="4"/>
        <v>-0.002093494895</v>
      </c>
      <c r="H262" s="5">
        <f t="shared" ref="H262:K262" si="262">IF(B262="","",H261*(1+B262))</f>
        <v>139.4040663</v>
      </c>
      <c r="I262" s="5">
        <f t="shared" si="262"/>
        <v>165.9834655</v>
      </c>
      <c r="J262" s="5">
        <f t="shared" si="262"/>
        <v>118.3682287</v>
      </c>
      <c r="K262" s="5">
        <f t="shared" si="262"/>
        <v>142.1591509</v>
      </c>
      <c r="L262" s="7">
        <f t="shared" si="6"/>
        <v>-0.01943930478</v>
      </c>
    </row>
    <row r="263" ht="15.75" customHeight="1">
      <c r="A263" s="4">
        <f>IF(RETORNOS!A263="","",RETORNOS!A263)</f>
        <v>44791</v>
      </c>
      <c r="B263" s="7">
        <f>IF(RETORNOS!B263="","",OPTIMIZACION!$B$5*RETORNOS!B263+OPTIMIZACION!$B$6*RETORNOS!C263+OPTIMIZACION!$B$7*RETORNOS!D263+OPTIMIZACION!$B$8*RETORNOS!E263+OPTIMIZACION!$B$9*RETORNOS!F263+OPTIMIZACION!$B$10*RETORNOS!G263)</f>
        <v>0.01950956482</v>
      </c>
      <c r="C263" s="7">
        <f>IF(RETORNOS!H263="","",RETORNOS!H263)</f>
        <v>0.02687283095</v>
      </c>
      <c r="D263" s="7">
        <f>IF(RETORNOS!I263="","",RETORNOS!I263)</f>
        <v>0.003745167642</v>
      </c>
      <c r="E263" s="7">
        <f t="shared" si="2"/>
        <v>0.0153089993</v>
      </c>
      <c r="F263" s="7">
        <f t="shared" si="3"/>
        <v>-0.007363266134</v>
      </c>
      <c r="G263" s="7">
        <f t="shared" si="4"/>
        <v>0.004200565521</v>
      </c>
      <c r="H263" s="5">
        <f t="shared" ref="H263:K263" si="263">IF(B263="","",H262*(1+B263))</f>
        <v>142.123779</v>
      </c>
      <c r="I263" s="5">
        <f t="shared" si="263"/>
        <v>170.4439111</v>
      </c>
      <c r="J263" s="5">
        <f t="shared" si="263"/>
        <v>118.8115376</v>
      </c>
      <c r="K263" s="5">
        <f t="shared" si="263"/>
        <v>144.3354652</v>
      </c>
      <c r="L263" s="7">
        <f t="shared" si="6"/>
        <v>-0.0003089923414</v>
      </c>
    </row>
    <row r="264" ht="15.75" customHeight="1">
      <c r="A264" s="4">
        <f>IF(RETORNOS!A264="","",RETORNOS!A264)</f>
        <v>44792</v>
      </c>
      <c r="B264" s="7">
        <f>IF(RETORNOS!B264="","",OPTIMIZACION!$B$5*RETORNOS!B264+OPTIMIZACION!$B$6*RETORNOS!C264+OPTIMIZACION!$B$7*RETORNOS!D264+OPTIMIZACION!$B$8*RETORNOS!E264+OPTIMIZACION!$B$9*RETORNOS!F264+OPTIMIZACION!$B$10*RETORNOS!G264)</f>
        <v>-0.009217030785</v>
      </c>
      <c r="C264" s="7">
        <f>IF(RETORNOS!H264="","",RETORNOS!H264)</f>
        <v>-0.0002531897643</v>
      </c>
      <c r="D264" s="7">
        <f>IF(RETORNOS!I264="","",RETORNOS!I264)</f>
        <v>-0.0005183008894</v>
      </c>
      <c r="E264" s="7">
        <f t="shared" si="2"/>
        <v>-0.0003857453269</v>
      </c>
      <c r="F264" s="7">
        <f t="shared" si="3"/>
        <v>-0.00896384102</v>
      </c>
      <c r="G264" s="7">
        <f t="shared" si="4"/>
        <v>-0.008831285458</v>
      </c>
      <c r="H264" s="5">
        <f t="shared" ref="H264:K264" si="264">IF(B264="","",H263*(1+B264))</f>
        <v>140.8138197</v>
      </c>
      <c r="I264" s="5">
        <f t="shared" si="264"/>
        <v>170.4007564</v>
      </c>
      <c r="J264" s="5">
        <f t="shared" si="264"/>
        <v>118.7499575</v>
      </c>
      <c r="K264" s="5">
        <f t="shared" si="264"/>
        <v>144.2797885</v>
      </c>
      <c r="L264" s="7">
        <f t="shared" si="6"/>
        <v>-0.009523175134</v>
      </c>
    </row>
    <row r="265" ht="15.75" customHeight="1">
      <c r="A265" s="4">
        <f>IF(RETORNOS!A265="","",RETORNOS!A265)</f>
        <v>44795</v>
      </c>
      <c r="B265" s="7">
        <f>IF(RETORNOS!B265="","",OPTIMIZACION!$B$5*RETORNOS!B265+OPTIMIZACION!$B$6*RETORNOS!C265+OPTIMIZACION!$B$7*RETORNOS!D265+OPTIMIZACION!$B$8*RETORNOS!E265+OPTIMIZACION!$B$9*RETORNOS!F265+OPTIMIZACION!$B$10*RETORNOS!G265)</f>
        <v>-0.007025788923</v>
      </c>
      <c r="C265" s="7">
        <f>IF(RETORNOS!H265="","",RETORNOS!H265)</f>
        <v>-0.001883753621</v>
      </c>
      <c r="D265" s="7">
        <f>IF(RETORNOS!I265="","",RETORNOS!I265)</f>
        <v>-0.01363752267</v>
      </c>
      <c r="E265" s="7">
        <f t="shared" si="2"/>
        <v>-0.007760638145</v>
      </c>
      <c r="F265" s="7">
        <f t="shared" si="3"/>
        <v>-0.005142035302</v>
      </c>
      <c r="G265" s="7">
        <f t="shared" si="4"/>
        <v>0.0007348492219</v>
      </c>
      <c r="H265" s="5">
        <f t="shared" ref="H265:K265" si="265">IF(B265="","",H264*(1+B265))</f>
        <v>139.8244915</v>
      </c>
      <c r="I265" s="5">
        <f t="shared" si="265"/>
        <v>170.0797634</v>
      </c>
      <c r="J265" s="5">
        <f t="shared" si="265"/>
        <v>117.1305022</v>
      </c>
      <c r="K265" s="5">
        <f t="shared" si="265"/>
        <v>143.1600853</v>
      </c>
      <c r="L265" s="7">
        <f t="shared" si="6"/>
        <v>-0.01648205624</v>
      </c>
    </row>
    <row r="266" ht="15.75" customHeight="1">
      <c r="A266" s="4">
        <f>IF(RETORNOS!A266="","",RETORNOS!A266)</f>
        <v>44796</v>
      </c>
      <c r="B266" s="7">
        <f>IF(RETORNOS!B266="","",OPTIMIZACION!$B$5*RETORNOS!B266+OPTIMIZACION!$B$6*RETORNOS!C266+OPTIMIZACION!$B$7*RETORNOS!D266+OPTIMIZACION!$B$8*RETORNOS!E266+OPTIMIZACION!$B$9*RETORNOS!F266+OPTIMIZACION!$B$10*RETORNOS!G266)</f>
        <v>0.01911265804</v>
      </c>
      <c r="C266" s="7">
        <f>IF(RETORNOS!H266="","",RETORNOS!H266)</f>
        <v>0.03605843245</v>
      </c>
      <c r="D266" s="7">
        <f>IF(RETORNOS!I266="","",RETORNOS!I266)</f>
        <v>-0.006000981768</v>
      </c>
      <c r="E266" s="7">
        <f t="shared" si="2"/>
        <v>0.01502872534</v>
      </c>
      <c r="F266" s="7">
        <f t="shared" si="3"/>
        <v>-0.01694577441</v>
      </c>
      <c r="G266" s="7">
        <f t="shared" si="4"/>
        <v>0.004083932702</v>
      </c>
      <c r="H266" s="5">
        <f t="shared" ref="H266:K266" si="266">IF(B266="","",H265*(1+B266))</f>
        <v>142.4969092</v>
      </c>
      <c r="I266" s="5">
        <f t="shared" si="266"/>
        <v>176.212573</v>
      </c>
      <c r="J266" s="5">
        <f t="shared" si="266"/>
        <v>116.4276042</v>
      </c>
      <c r="K266" s="5">
        <f t="shared" si="266"/>
        <v>145.3115989</v>
      </c>
      <c r="L266" s="7">
        <f t="shared" si="6"/>
        <v>0</v>
      </c>
    </row>
    <row r="267" ht="15.75" customHeight="1">
      <c r="A267" s="4">
        <f>IF(RETORNOS!A267="","",RETORNOS!A267)</f>
        <v>44797</v>
      </c>
      <c r="B267" s="7">
        <f>IF(RETORNOS!B267="","",OPTIMIZACION!$B$5*RETORNOS!B267+OPTIMIZACION!$B$6*RETORNOS!C267+OPTIMIZACION!$B$7*RETORNOS!D267+OPTIMIZACION!$B$8*RETORNOS!E267+OPTIMIZACION!$B$9*RETORNOS!F267+OPTIMIZACION!$B$10*RETORNOS!G267)</f>
        <v>0.009270376324</v>
      </c>
      <c r="C267" s="7">
        <f>IF(RETORNOS!H267="","",RETORNOS!H267)</f>
        <v>0.01229183406</v>
      </c>
      <c r="D267" s="7">
        <f>IF(RETORNOS!I267="","",RETORNOS!I267)</f>
        <v>0.003147181125</v>
      </c>
      <c r="E267" s="7">
        <f t="shared" si="2"/>
        <v>0.007719507593</v>
      </c>
      <c r="F267" s="7">
        <f t="shared" si="3"/>
        <v>-0.003021457737</v>
      </c>
      <c r="G267" s="7">
        <f t="shared" si="4"/>
        <v>0.001550868731</v>
      </c>
      <c r="H267" s="5">
        <f t="shared" ref="H267:K267" si="267">IF(B267="","",H266*(1+B267))</f>
        <v>143.8179092</v>
      </c>
      <c r="I267" s="5">
        <f t="shared" si="267"/>
        <v>178.3785487</v>
      </c>
      <c r="J267" s="5">
        <f t="shared" si="267"/>
        <v>116.794023</v>
      </c>
      <c r="K267" s="5">
        <f t="shared" si="267"/>
        <v>146.4333329</v>
      </c>
      <c r="L267" s="7">
        <f t="shared" si="6"/>
        <v>0</v>
      </c>
    </row>
    <row r="268" ht="15.75" customHeight="1">
      <c r="A268" s="4">
        <f>IF(RETORNOS!A268="","",RETORNOS!A268)</f>
        <v>44798</v>
      </c>
      <c r="B268" s="7">
        <f>IF(RETORNOS!B268="","",OPTIMIZACION!$B$5*RETORNOS!B268+OPTIMIZACION!$B$6*RETORNOS!C268+OPTIMIZACION!$B$7*RETORNOS!D268+OPTIMIZACION!$B$8*RETORNOS!E268+OPTIMIZACION!$B$9*RETORNOS!F268+OPTIMIZACION!$B$10*RETORNOS!G268)</f>
        <v>0.01104605745</v>
      </c>
      <c r="C268" s="7">
        <f>IF(RETORNOS!H268="","",RETORNOS!H268)</f>
        <v>0.007695465085</v>
      </c>
      <c r="D268" s="7">
        <f>IF(RETORNOS!I268="","",RETORNOS!I268)</f>
        <v>0.006155181655</v>
      </c>
      <c r="E268" s="7">
        <f t="shared" si="2"/>
        <v>0.00692532337</v>
      </c>
      <c r="F268" s="7">
        <f t="shared" si="3"/>
        <v>0.003350592363</v>
      </c>
      <c r="G268" s="7">
        <f t="shared" si="4"/>
        <v>0.004120734078</v>
      </c>
      <c r="H268" s="5">
        <f t="shared" ref="H268:K268" si="268">IF(B268="","",H267*(1+B268))</f>
        <v>145.4065301</v>
      </c>
      <c r="I268" s="5">
        <f t="shared" si="268"/>
        <v>179.7512546</v>
      </c>
      <c r="J268" s="5">
        <f t="shared" si="268"/>
        <v>117.5129114</v>
      </c>
      <c r="K268" s="5">
        <f t="shared" si="268"/>
        <v>147.4474311</v>
      </c>
      <c r="L268" s="7">
        <f t="shared" si="6"/>
        <v>0</v>
      </c>
    </row>
    <row r="269" ht="15.75" customHeight="1">
      <c r="A269" s="4">
        <f>IF(RETORNOS!A269="","",RETORNOS!A269)</f>
        <v>44799</v>
      </c>
      <c r="B269" s="7">
        <f>IF(RETORNOS!B269="","",OPTIMIZACION!$B$5*RETORNOS!B269+OPTIMIZACION!$B$6*RETORNOS!C269+OPTIMIZACION!$B$7*RETORNOS!D269+OPTIMIZACION!$B$8*RETORNOS!E269+OPTIMIZACION!$B$9*RETORNOS!F269+OPTIMIZACION!$B$10*RETORNOS!G269)</f>
        <v>-0.01795693178</v>
      </c>
      <c r="C269" s="7">
        <f>IF(RETORNOS!H269="","",RETORNOS!H269)</f>
        <v>-0.01169107928</v>
      </c>
      <c r="D269" s="7">
        <f>IF(RETORNOS!I269="","",RETORNOS!I269)</f>
        <v>-0.01535316921</v>
      </c>
      <c r="E269" s="7">
        <f t="shared" si="2"/>
        <v>-0.01352212425</v>
      </c>
      <c r="F269" s="7">
        <f t="shared" si="3"/>
        <v>-0.006265852504</v>
      </c>
      <c r="G269" s="7">
        <f t="shared" si="4"/>
        <v>-0.004434807537</v>
      </c>
      <c r="H269" s="5">
        <f t="shared" ref="H269:K269" si="269">IF(B269="","",H268*(1+B269))</f>
        <v>142.795475</v>
      </c>
      <c r="I269" s="5">
        <f t="shared" si="269"/>
        <v>177.6497685</v>
      </c>
      <c r="J269" s="5">
        <f t="shared" si="269"/>
        <v>115.7087158</v>
      </c>
      <c r="K269" s="5">
        <f t="shared" si="269"/>
        <v>145.4536286</v>
      </c>
      <c r="L269" s="7">
        <f t="shared" si="6"/>
        <v>-0.01795693178</v>
      </c>
    </row>
    <row r="270" ht="15.75" customHeight="1">
      <c r="A270" s="4">
        <f>IF(RETORNOS!A270="","",RETORNOS!A270)</f>
        <v>44802</v>
      </c>
      <c r="B270" s="7">
        <f>IF(RETORNOS!B270="","",OPTIMIZACION!$B$5*RETORNOS!B270+OPTIMIZACION!$B$6*RETORNOS!C270+OPTIMIZACION!$B$7*RETORNOS!D270+OPTIMIZACION!$B$8*RETORNOS!E270+OPTIMIZACION!$B$9*RETORNOS!F270+OPTIMIZACION!$B$10*RETORNOS!G270)</f>
        <v>0.0141716982</v>
      </c>
      <c r="C270" s="7">
        <f>IF(RETORNOS!H270="","",RETORNOS!H270)</f>
        <v>0.01508832456</v>
      </c>
      <c r="D270" s="7">
        <f>IF(RETORNOS!I270="","",RETORNOS!I270)</f>
        <v>0.003040300149</v>
      </c>
      <c r="E270" s="7">
        <f t="shared" si="2"/>
        <v>0.009064312356</v>
      </c>
      <c r="F270" s="7">
        <f t="shared" si="3"/>
        <v>-0.0009166263674</v>
      </c>
      <c r="G270" s="7">
        <f t="shared" si="4"/>
        <v>0.00510738584</v>
      </c>
      <c r="H270" s="5">
        <f t="shared" ref="H270:K270" si="270">IF(B270="","",H269*(1+B270))</f>
        <v>144.8191293</v>
      </c>
      <c r="I270" s="5">
        <f t="shared" si="270"/>
        <v>180.3302058</v>
      </c>
      <c r="J270" s="5">
        <f t="shared" si="270"/>
        <v>116.060505</v>
      </c>
      <c r="K270" s="5">
        <f t="shared" si="270"/>
        <v>146.7720657</v>
      </c>
      <c r="L270" s="7">
        <f t="shared" si="6"/>
        <v>-0.004039713807</v>
      </c>
    </row>
    <row r="271" ht="15.75" customHeight="1">
      <c r="A271" s="4">
        <f>IF(RETORNOS!A271="","",RETORNOS!A271)</f>
        <v>44803</v>
      </c>
      <c r="B271" s="7">
        <f>IF(RETORNOS!B271="","",OPTIMIZACION!$B$5*RETORNOS!B271+OPTIMIZACION!$B$6*RETORNOS!C271+OPTIMIZACION!$B$7*RETORNOS!D271+OPTIMIZACION!$B$8*RETORNOS!E271+OPTIMIZACION!$B$9*RETORNOS!F271+OPTIMIZACION!$B$10*RETORNOS!G271)</f>
        <v>-0.02783126294</v>
      </c>
      <c r="C271" s="7">
        <f>IF(RETORNOS!H271="","",RETORNOS!H271)</f>
        <v>-0.03389315522</v>
      </c>
      <c r="D271" s="7">
        <f>IF(RETORNOS!I271="","",RETORNOS!I271)</f>
        <v>-0.01461897447</v>
      </c>
      <c r="E271" s="7">
        <f t="shared" si="2"/>
        <v>-0.02425606485</v>
      </c>
      <c r="F271" s="7">
        <f t="shared" si="3"/>
        <v>0.006061892282</v>
      </c>
      <c r="G271" s="7">
        <f t="shared" si="4"/>
        <v>-0.003575198093</v>
      </c>
      <c r="H271" s="5">
        <f t="shared" ref="H271:K271" si="271">IF(B271="","",H270*(1+B271))</f>
        <v>140.7886301</v>
      </c>
      <c r="I271" s="5">
        <f t="shared" si="271"/>
        <v>174.2182462</v>
      </c>
      <c r="J271" s="5">
        <f t="shared" si="271"/>
        <v>114.3638195</v>
      </c>
      <c r="K271" s="5">
        <f t="shared" si="271"/>
        <v>143.211953</v>
      </c>
      <c r="L271" s="7">
        <f t="shared" si="6"/>
        <v>-0.03175854641</v>
      </c>
    </row>
    <row r="272" ht="15.75" customHeight="1">
      <c r="A272" s="4">
        <f>IF(RETORNOS!A272="","",RETORNOS!A272)</f>
        <v>44804</v>
      </c>
      <c r="B272" s="7">
        <f>IF(RETORNOS!B272="","",OPTIMIZACION!$B$5*RETORNOS!B272+OPTIMIZACION!$B$6*RETORNOS!C272+OPTIMIZACION!$B$7*RETORNOS!D272+OPTIMIZACION!$B$8*RETORNOS!E272+OPTIMIZACION!$B$9*RETORNOS!F272+OPTIMIZACION!$B$10*RETORNOS!G272)</f>
        <v>-0.005075717931</v>
      </c>
      <c r="C272" s="7">
        <f>IF(RETORNOS!H272="","",RETORNOS!H272)</f>
        <v>-0.009109404702</v>
      </c>
      <c r="D272" s="7">
        <f>IF(RETORNOS!I272="","",RETORNOS!I272)</f>
        <v>-0.006547769564</v>
      </c>
      <c r="E272" s="7">
        <f t="shared" si="2"/>
        <v>-0.007828587133</v>
      </c>
      <c r="F272" s="7">
        <f t="shared" si="3"/>
        <v>0.004033686771</v>
      </c>
      <c r="G272" s="7">
        <f t="shared" si="4"/>
        <v>0.002752869202</v>
      </c>
      <c r="H272" s="5">
        <f t="shared" ref="H272:K272" si="272">IF(B272="","",H271*(1+B272))</f>
        <v>140.0740267</v>
      </c>
      <c r="I272" s="5">
        <f t="shared" si="272"/>
        <v>172.6312217</v>
      </c>
      <c r="J272" s="5">
        <f t="shared" si="272"/>
        <v>113.6149915</v>
      </c>
      <c r="K272" s="5">
        <f t="shared" si="272"/>
        <v>142.0908057</v>
      </c>
      <c r="L272" s="7">
        <f t="shared" si="6"/>
        <v>-0.03667306692</v>
      </c>
    </row>
    <row r="273" ht="15.75" customHeight="1">
      <c r="A273" s="4">
        <f>IF(RETORNOS!A273="","",RETORNOS!A273)</f>
        <v>44805</v>
      </c>
      <c r="B273" s="7">
        <f>IF(RETORNOS!B273="","",OPTIMIZACION!$B$5*RETORNOS!B273+OPTIMIZACION!$B$6*RETORNOS!C273+OPTIMIZACION!$B$7*RETORNOS!D273+OPTIMIZACION!$B$8*RETORNOS!E273+OPTIMIZACION!$B$9*RETORNOS!F273+OPTIMIZACION!$B$10*RETORNOS!G273)</f>
        <v>0.003146479802</v>
      </c>
      <c r="C273" s="7">
        <f>IF(RETORNOS!H273="","",RETORNOS!H273)</f>
        <v>-0.02459370945</v>
      </c>
      <c r="D273" s="7">
        <f>IF(RETORNOS!I273="","",RETORNOS!I273)</f>
        <v>0.01439163453</v>
      </c>
      <c r="E273" s="7">
        <f t="shared" si="2"/>
        <v>-0.005101037461</v>
      </c>
      <c r="F273" s="7">
        <f t="shared" si="3"/>
        <v>0.02774018925</v>
      </c>
      <c r="G273" s="7">
        <f t="shared" si="4"/>
        <v>0.008247517263</v>
      </c>
      <c r="H273" s="5">
        <f t="shared" ref="H273:K273" si="273">IF(B273="","",H272*(1+B273))</f>
        <v>140.5147668</v>
      </c>
      <c r="I273" s="5">
        <f t="shared" si="273"/>
        <v>168.3855796</v>
      </c>
      <c r="J273" s="5">
        <f t="shared" si="273"/>
        <v>115.250097</v>
      </c>
      <c r="K273" s="5">
        <f t="shared" si="273"/>
        <v>141.3659952</v>
      </c>
      <c r="L273" s="7">
        <f t="shared" si="6"/>
        <v>-0.03364197818</v>
      </c>
    </row>
    <row r="274" ht="15.75" customHeight="1">
      <c r="A274" s="4">
        <f>IF(RETORNOS!A274="","",RETORNOS!A274)</f>
        <v>44806</v>
      </c>
      <c r="B274" s="7">
        <f>IF(RETORNOS!B274="","",OPTIMIZACION!$B$5*RETORNOS!B274+OPTIMIZACION!$B$6*RETORNOS!C274+OPTIMIZACION!$B$7*RETORNOS!D274+OPTIMIZACION!$B$8*RETORNOS!E274+OPTIMIZACION!$B$9*RETORNOS!F274+OPTIMIZACION!$B$10*RETORNOS!G274)</f>
        <v>0.005058183554</v>
      </c>
      <c r="C274" s="7">
        <f>IF(RETORNOS!H274="","",RETORNOS!H274)</f>
        <v>0.01833443718</v>
      </c>
      <c r="D274" s="7">
        <f>IF(RETORNOS!I274="","",RETORNOS!I274)</f>
        <v>-0.01073357934</v>
      </c>
      <c r="E274" s="7">
        <f t="shared" si="2"/>
        <v>0.003800428923</v>
      </c>
      <c r="F274" s="7">
        <f t="shared" si="3"/>
        <v>-0.01327625363</v>
      </c>
      <c r="G274" s="7">
        <f t="shared" si="4"/>
        <v>0.001257754631</v>
      </c>
      <c r="H274" s="5">
        <f t="shared" ref="H274:K274" si="274">IF(B274="","",H273*(1+B274))</f>
        <v>141.2255163</v>
      </c>
      <c r="I274" s="5">
        <f t="shared" si="274"/>
        <v>171.4728344</v>
      </c>
      <c r="J274" s="5">
        <f t="shared" si="274"/>
        <v>114.0130509</v>
      </c>
      <c r="K274" s="5">
        <f t="shared" si="274"/>
        <v>141.9032466</v>
      </c>
      <c r="L274" s="7">
        <f t="shared" si="6"/>
        <v>-0.02875396193</v>
      </c>
    </row>
    <row r="275" ht="15.75" customHeight="1">
      <c r="A275" s="4">
        <f>IF(RETORNOS!A275="","",RETORNOS!A275)</f>
        <v>44810</v>
      </c>
      <c r="B275" s="7">
        <f>IF(RETORNOS!B275="","",OPTIMIZACION!$B$5*RETORNOS!B275+OPTIMIZACION!$B$6*RETORNOS!C275+OPTIMIZACION!$B$7*RETORNOS!D275+OPTIMIZACION!$B$8*RETORNOS!E275+OPTIMIZACION!$B$9*RETORNOS!F275+OPTIMIZACION!$B$10*RETORNOS!G275)</f>
        <v>-0.003428080514</v>
      </c>
      <c r="C275" s="7">
        <f>IF(RETORNOS!H275="","",RETORNOS!H275)</f>
        <v>-0.00925242551</v>
      </c>
      <c r="D275" s="7">
        <f>IF(RETORNOS!I275="","",RETORNOS!I275)</f>
        <v>0.00254540246</v>
      </c>
      <c r="E275" s="7">
        <f t="shared" si="2"/>
        <v>-0.003353511525</v>
      </c>
      <c r="F275" s="7">
        <f t="shared" si="3"/>
        <v>0.005824344996</v>
      </c>
      <c r="G275" s="7">
        <f t="shared" si="4"/>
        <v>-0.00007456898867</v>
      </c>
      <c r="H275" s="5">
        <f t="shared" ref="H275:K275" si="275">IF(B275="","",H274*(1+B275))</f>
        <v>140.7413838</v>
      </c>
      <c r="I275" s="5">
        <f t="shared" si="275"/>
        <v>169.8862948</v>
      </c>
      <c r="J275" s="5">
        <f t="shared" si="275"/>
        <v>114.30326</v>
      </c>
      <c r="K275" s="5">
        <f t="shared" si="275"/>
        <v>141.4273724</v>
      </c>
      <c r="L275" s="7">
        <f t="shared" si="6"/>
        <v>-0.03208347154</v>
      </c>
    </row>
    <row r="276" ht="15.75" customHeight="1">
      <c r="A276" s="4">
        <f>IF(RETORNOS!A276="","",RETORNOS!A276)</f>
        <v>44811</v>
      </c>
      <c r="B276" s="7">
        <f>IF(RETORNOS!B276="","",OPTIMIZACION!$B$5*RETORNOS!B276+OPTIMIZACION!$B$6*RETORNOS!C276+OPTIMIZACION!$B$7*RETORNOS!D276+OPTIMIZACION!$B$8*RETORNOS!E276+OPTIMIZACION!$B$9*RETORNOS!F276+OPTIMIZACION!$B$10*RETORNOS!G276)</f>
        <v>0.01781974106</v>
      </c>
      <c r="C276" s="7">
        <f>IF(RETORNOS!H276="","",RETORNOS!H276)</f>
        <v>-0.01161360296</v>
      </c>
      <c r="D276" s="7">
        <f>IF(RETORNOS!I276="","",RETORNOS!I276)</f>
        <v>0.03128283433</v>
      </c>
      <c r="E276" s="7">
        <f t="shared" si="2"/>
        <v>0.009834615685</v>
      </c>
      <c r="F276" s="7">
        <f t="shared" si="3"/>
        <v>0.02943334402</v>
      </c>
      <c r="G276" s="7">
        <f t="shared" si="4"/>
        <v>0.007985125377</v>
      </c>
      <c r="H276" s="5">
        <f t="shared" ref="H276:K276" si="276">IF(B276="","",H275*(1+B276))</f>
        <v>143.2493588</v>
      </c>
      <c r="I276" s="5">
        <f t="shared" si="276"/>
        <v>167.9133028</v>
      </c>
      <c r="J276" s="5">
        <f t="shared" si="276"/>
        <v>117.8789899</v>
      </c>
      <c r="K276" s="5">
        <f t="shared" si="276"/>
        <v>142.8182563</v>
      </c>
      <c r="L276" s="7">
        <f t="shared" si="6"/>
        <v>-0.01483544964</v>
      </c>
    </row>
    <row r="277" ht="15.75" customHeight="1">
      <c r="A277" s="4">
        <f>IF(RETORNOS!A277="","",RETORNOS!A277)</f>
        <v>44812</v>
      </c>
      <c r="B277" s="7">
        <f>IF(RETORNOS!B277="","",OPTIMIZACION!$B$5*RETORNOS!B277+OPTIMIZACION!$B$6*RETORNOS!C277+OPTIMIZACION!$B$7*RETORNOS!D277+OPTIMIZACION!$B$8*RETORNOS!E277+OPTIMIZACION!$B$9*RETORNOS!F277+OPTIMIZACION!$B$10*RETORNOS!G277)</f>
        <v>0.0007411673399</v>
      </c>
      <c r="C277" s="7">
        <f>IF(RETORNOS!H277="","",RETORNOS!H277)</f>
        <v>0.004340217617</v>
      </c>
      <c r="D277" s="7">
        <f>IF(RETORNOS!I277="","",RETORNOS!I277)</f>
        <v>-0.0007735001169</v>
      </c>
      <c r="E277" s="7">
        <f t="shared" si="2"/>
        <v>0.00178335875</v>
      </c>
      <c r="F277" s="7">
        <f t="shared" si="3"/>
        <v>-0.003599050277</v>
      </c>
      <c r="G277" s="7">
        <f t="shared" si="4"/>
        <v>-0.00104219141</v>
      </c>
      <c r="H277" s="5">
        <f t="shared" ref="H277:K277" si="277">IF(B277="","",H276*(1+B277))</f>
        <v>143.3555306</v>
      </c>
      <c r="I277" s="5">
        <f t="shared" si="277"/>
        <v>168.6420831</v>
      </c>
      <c r="J277" s="5">
        <f t="shared" si="277"/>
        <v>117.7878105</v>
      </c>
      <c r="K277" s="5">
        <f t="shared" si="277"/>
        <v>143.0729525</v>
      </c>
      <c r="L277" s="7">
        <f t="shared" si="6"/>
        <v>-0.01410527785</v>
      </c>
    </row>
    <row r="278" ht="15.75" customHeight="1">
      <c r="A278" s="4">
        <f>IF(RETORNOS!A278="","",RETORNOS!A278)</f>
        <v>44813</v>
      </c>
      <c r="B278" s="7">
        <f>IF(RETORNOS!B278="","",OPTIMIZACION!$B$5*RETORNOS!B278+OPTIMIZACION!$B$6*RETORNOS!C278+OPTIMIZACION!$B$7*RETORNOS!D278+OPTIMIZACION!$B$8*RETORNOS!E278+OPTIMIZACION!$B$9*RETORNOS!F278+OPTIMIZACION!$B$10*RETORNOS!G278)</f>
        <v>0.01543100097</v>
      </c>
      <c r="C278" s="7">
        <f>IF(RETORNOS!H278="","",RETORNOS!H278)</f>
        <v>0.02492531606</v>
      </c>
      <c r="D278" s="7">
        <f>IF(RETORNOS!I278="","",RETORNOS!I278)</f>
        <v>0.004023581132</v>
      </c>
      <c r="E278" s="7">
        <f t="shared" si="2"/>
        <v>0.0144744486</v>
      </c>
      <c r="F278" s="7">
        <f t="shared" si="3"/>
        <v>-0.009494315085</v>
      </c>
      <c r="G278" s="7">
        <f t="shared" si="4"/>
        <v>0.000956552379</v>
      </c>
      <c r="H278" s="5">
        <f t="shared" ref="H278:K278" si="278">IF(B278="","",H277*(1+B278))</f>
        <v>145.5676499</v>
      </c>
      <c r="I278" s="5">
        <f t="shared" si="278"/>
        <v>172.8455403</v>
      </c>
      <c r="J278" s="5">
        <f t="shared" si="278"/>
        <v>118.2617393</v>
      </c>
      <c r="K278" s="5">
        <f t="shared" si="278"/>
        <v>145.1438546</v>
      </c>
      <c r="L278" s="7">
        <f t="shared" si="6"/>
        <v>0</v>
      </c>
    </row>
    <row r="279" ht="15.75" customHeight="1">
      <c r="A279" s="4">
        <f>IF(RETORNOS!A279="","",RETORNOS!A279)</f>
        <v>44816</v>
      </c>
      <c r="B279" s="7">
        <f>IF(RETORNOS!B279="","",OPTIMIZACION!$B$5*RETORNOS!B279+OPTIMIZACION!$B$6*RETORNOS!C279+OPTIMIZACION!$B$7*RETORNOS!D279+OPTIMIZACION!$B$8*RETORNOS!E279+OPTIMIZACION!$B$9*RETORNOS!F279+OPTIMIZACION!$B$10*RETORNOS!G279)</f>
        <v>0.01572951474</v>
      </c>
      <c r="C279" s="7">
        <f>IF(RETORNOS!H279="","",RETORNOS!H279)</f>
        <v>0.01836349967</v>
      </c>
      <c r="D279" s="7">
        <f>IF(RETORNOS!I279="","",RETORNOS!I279)</f>
        <v>0.009559783891</v>
      </c>
      <c r="E279" s="7">
        <f t="shared" si="2"/>
        <v>0.01396164178</v>
      </c>
      <c r="F279" s="7">
        <f t="shared" si="3"/>
        <v>-0.002633984925</v>
      </c>
      <c r="G279" s="7">
        <f t="shared" si="4"/>
        <v>0.001767872964</v>
      </c>
      <c r="H279" s="5">
        <f t="shared" ref="H279:K279" si="279">IF(B279="","",H278*(1+B279))</f>
        <v>147.8573584</v>
      </c>
      <c r="I279" s="5">
        <f t="shared" si="279"/>
        <v>176.0195893</v>
      </c>
      <c r="J279" s="5">
        <f t="shared" si="279"/>
        <v>119.392296</v>
      </c>
      <c r="K279" s="5">
        <f t="shared" si="279"/>
        <v>147.1703011</v>
      </c>
      <c r="L279" s="7">
        <f t="shared" si="6"/>
        <v>0</v>
      </c>
    </row>
    <row r="280" ht="15.75" customHeight="1">
      <c r="A280" s="4">
        <f>IF(RETORNOS!A280="","",RETORNOS!A280)</f>
        <v>44817</v>
      </c>
      <c r="B280" s="7">
        <f>IF(RETORNOS!B280="","",OPTIMIZACION!$B$5*RETORNOS!B280+OPTIMIZACION!$B$6*RETORNOS!C280+OPTIMIZACION!$B$7*RETORNOS!D280+OPTIMIZACION!$B$8*RETORNOS!E280+OPTIMIZACION!$B$9*RETORNOS!F280+OPTIMIZACION!$B$10*RETORNOS!G280)</f>
        <v>-0.02351970451</v>
      </c>
      <c r="C280" s="7">
        <f>IF(RETORNOS!H280="","",RETORNOS!H280)</f>
        <v>-0.02521941303</v>
      </c>
      <c r="D280" s="7">
        <f>IF(RETORNOS!I280="","",RETORNOS!I280)</f>
        <v>-0.0266267721</v>
      </c>
      <c r="E280" s="7">
        <f t="shared" si="2"/>
        <v>-0.02592309256</v>
      </c>
      <c r="F280" s="7">
        <f t="shared" si="3"/>
        <v>0.001699708514</v>
      </c>
      <c r="G280" s="7">
        <f t="shared" si="4"/>
        <v>0.002403388053</v>
      </c>
      <c r="H280" s="5">
        <f t="shared" ref="H280:K280" si="280">IF(B280="","",H279*(1+B280))</f>
        <v>144.379797</v>
      </c>
      <c r="I280" s="5">
        <f t="shared" si="280"/>
        <v>171.5804786</v>
      </c>
      <c r="J280" s="5">
        <f t="shared" si="280"/>
        <v>116.2132646</v>
      </c>
      <c r="K280" s="5">
        <f t="shared" si="280"/>
        <v>143.3551917</v>
      </c>
      <c r="L280" s="7">
        <f t="shared" si="6"/>
        <v>-0.02351970451</v>
      </c>
    </row>
    <row r="281" ht="15.75" customHeight="1">
      <c r="A281" s="4">
        <f>IF(RETORNOS!A281="","",RETORNOS!A281)</f>
        <v>44818</v>
      </c>
      <c r="B281" s="7">
        <f>IF(RETORNOS!B281="","",OPTIMIZACION!$B$5*RETORNOS!B281+OPTIMIZACION!$B$6*RETORNOS!C281+OPTIMIZACION!$B$7*RETORNOS!D281+OPTIMIZACION!$B$8*RETORNOS!E281+OPTIMIZACION!$B$9*RETORNOS!F281+OPTIMIZACION!$B$10*RETORNOS!G281)</f>
        <v>0.01860466676</v>
      </c>
      <c r="C281" s="7">
        <f>IF(RETORNOS!H281="","",RETORNOS!H281)</f>
        <v>0.02824571369</v>
      </c>
      <c r="D281" s="7">
        <f>IF(RETORNOS!I281="","",RETORNOS!I281)</f>
        <v>0.008153263794</v>
      </c>
      <c r="E281" s="7">
        <f t="shared" si="2"/>
        <v>0.01819948874</v>
      </c>
      <c r="F281" s="7">
        <f t="shared" si="3"/>
        <v>-0.009641046924</v>
      </c>
      <c r="G281" s="7">
        <f t="shared" si="4"/>
        <v>0.0004051780231</v>
      </c>
      <c r="H281" s="5">
        <f t="shared" ref="H281:K281" si="281">IF(B281="","",H280*(1+B281))</f>
        <v>147.0659351</v>
      </c>
      <c r="I281" s="5">
        <f t="shared" si="281"/>
        <v>176.4268917</v>
      </c>
      <c r="J281" s="5">
        <f t="shared" si="281"/>
        <v>117.160782</v>
      </c>
      <c r="K281" s="5">
        <f t="shared" si="281"/>
        <v>145.9641829</v>
      </c>
      <c r="L281" s="7">
        <f t="shared" si="6"/>
        <v>-0.005352614012</v>
      </c>
    </row>
    <row r="282" ht="15.75" customHeight="1">
      <c r="A282" s="4">
        <f>IF(RETORNOS!A282="","",RETORNOS!A282)</f>
        <v>44819</v>
      </c>
      <c r="B282" s="7">
        <f>IF(RETORNOS!B282="","",OPTIMIZACION!$B$5*RETORNOS!B282+OPTIMIZACION!$B$6*RETORNOS!C282+OPTIMIZACION!$B$7*RETORNOS!D282+OPTIMIZACION!$B$8*RETORNOS!E282+OPTIMIZACION!$B$9*RETORNOS!F282+OPTIMIZACION!$B$10*RETORNOS!G282)</f>
        <v>-0.02769354909</v>
      </c>
      <c r="C282" s="7">
        <f>IF(RETORNOS!H282="","",RETORNOS!H282)</f>
        <v>-0.02576857751</v>
      </c>
      <c r="D282" s="7">
        <f>IF(RETORNOS!I282="","",RETORNOS!I282)</f>
        <v>-0.0249124478</v>
      </c>
      <c r="E282" s="7">
        <f t="shared" si="2"/>
        <v>-0.02534051265</v>
      </c>
      <c r="F282" s="7">
        <f t="shared" si="3"/>
        <v>-0.001924971587</v>
      </c>
      <c r="G282" s="7">
        <f t="shared" si="4"/>
        <v>-0.002353036439</v>
      </c>
      <c r="H282" s="5">
        <f t="shared" ref="H282:K282" si="282">IF(B282="","",H281*(1+B282))</f>
        <v>142.9931574</v>
      </c>
      <c r="I282" s="5">
        <f t="shared" si="282"/>
        <v>171.8806216</v>
      </c>
      <c r="J282" s="5">
        <f t="shared" si="282"/>
        <v>114.2420201</v>
      </c>
      <c r="K282" s="5">
        <f t="shared" si="282"/>
        <v>142.2653757</v>
      </c>
      <c r="L282" s="7">
        <f t="shared" si="6"/>
        <v>-0.03289793023</v>
      </c>
    </row>
    <row r="283" ht="15.75" customHeight="1">
      <c r="A283" s="4">
        <f>IF(RETORNOS!A283="","",RETORNOS!A283)</f>
        <v>44820</v>
      </c>
      <c r="B283" s="7">
        <f>IF(RETORNOS!B283="","",OPTIMIZACION!$B$5*RETORNOS!B283+OPTIMIZACION!$B$6*RETORNOS!C283+OPTIMIZACION!$B$7*RETORNOS!D283+OPTIMIZACION!$B$8*RETORNOS!E283+OPTIMIZACION!$B$9*RETORNOS!F283+OPTIMIZACION!$B$10*RETORNOS!G283)</f>
        <v>-0.00909619482</v>
      </c>
      <c r="C283" s="7">
        <f>IF(RETORNOS!H283="","",RETORNOS!H283)</f>
        <v>-0.02133277665</v>
      </c>
      <c r="D283" s="7">
        <f>IF(RETORNOS!I283="","",RETORNOS!I283)</f>
        <v>-0.003746422583</v>
      </c>
      <c r="E283" s="7">
        <f t="shared" si="2"/>
        <v>-0.01253959961</v>
      </c>
      <c r="F283" s="7">
        <f t="shared" si="3"/>
        <v>0.01223658183</v>
      </c>
      <c r="G283" s="7">
        <f t="shared" si="4"/>
        <v>0.003443404795</v>
      </c>
      <c r="H283" s="5">
        <f t="shared" ref="H283:K283" si="283">IF(B283="","",H282*(1+B283))</f>
        <v>141.6924637</v>
      </c>
      <c r="I283" s="5">
        <f t="shared" si="283"/>
        <v>168.2139307</v>
      </c>
      <c r="J283" s="5">
        <f t="shared" si="283"/>
        <v>113.8140212</v>
      </c>
      <c r="K283" s="5">
        <f t="shared" si="283"/>
        <v>140.4814248</v>
      </c>
      <c r="L283" s="7">
        <f t="shared" si="6"/>
        <v>-0.04169487906</v>
      </c>
    </row>
    <row r="284" ht="15.75" customHeight="1">
      <c r="A284" s="4">
        <f>IF(RETORNOS!A284="","",RETORNOS!A284)</f>
        <v>44823</v>
      </c>
      <c r="B284" s="7">
        <f>IF(RETORNOS!B284="","",OPTIMIZACION!$B$5*RETORNOS!B284+OPTIMIZACION!$B$6*RETORNOS!C284+OPTIMIZACION!$B$7*RETORNOS!D284+OPTIMIZACION!$B$8*RETORNOS!E284+OPTIMIZACION!$B$9*RETORNOS!F284+OPTIMIZACION!$B$10*RETORNOS!G284)</f>
        <v>0.01168800822</v>
      </c>
      <c r="C284" s="7">
        <f>IF(RETORNOS!H284="","",RETORNOS!H284)</f>
        <v>0.0006428069043</v>
      </c>
      <c r="D284" s="7">
        <f>IF(RETORNOS!I284="","",RETORNOS!I284)</f>
        <v>0.0133829952</v>
      </c>
      <c r="E284" s="7">
        <f t="shared" si="2"/>
        <v>0.00701290105</v>
      </c>
      <c r="F284" s="7">
        <f t="shared" si="3"/>
        <v>0.01104520132</v>
      </c>
      <c r="G284" s="7">
        <f t="shared" si="4"/>
        <v>0.00467510717</v>
      </c>
      <c r="H284" s="5">
        <f t="shared" ref="H284:K284" si="284">IF(B284="","",H283*(1+B284))</f>
        <v>143.3485664</v>
      </c>
      <c r="I284" s="5">
        <f t="shared" si="284"/>
        <v>168.3220598</v>
      </c>
      <c r="J284" s="5">
        <f t="shared" si="284"/>
        <v>115.3371937</v>
      </c>
      <c r="K284" s="5">
        <f t="shared" si="284"/>
        <v>141.4666072</v>
      </c>
      <c r="L284" s="7">
        <f t="shared" si="6"/>
        <v>-0.03049420093</v>
      </c>
    </row>
    <row r="285" ht="15.75" customHeight="1">
      <c r="A285" s="4">
        <f>IF(RETORNOS!A285="","",RETORNOS!A285)</f>
        <v>44824</v>
      </c>
      <c r="B285" s="7">
        <f>IF(RETORNOS!B285="","",OPTIMIZACION!$B$5*RETORNOS!B285+OPTIMIZACION!$B$6*RETORNOS!C285+OPTIMIZACION!$B$7*RETORNOS!D285+OPTIMIZACION!$B$8*RETORNOS!E285+OPTIMIZACION!$B$9*RETORNOS!F285+OPTIMIZACION!$B$10*RETORNOS!G285)</f>
        <v>-0.01033009334</v>
      </c>
      <c r="C285" s="7">
        <f>IF(RETORNOS!H285="","",RETORNOS!H285)</f>
        <v>-0.006959748112</v>
      </c>
      <c r="D285" s="7">
        <f>IF(RETORNOS!I285="","",RETORNOS!I285)</f>
        <v>-0.01454251547</v>
      </c>
      <c r="E285" s="7">
        <f t="shared" si="2"/>
        <v>-0.01075113179</v>
      </c>
      <c r="F285" s="7">
        <f t="shared" si="3"/>
        <v>-0.003370345232</v>
      </c>
      <c r="G285" s="7">
        <f t="shared" si="4"/>
        <v>0.0004210384478</v>
      </c>
      <c r="H285" s="5">
        <f t="shared" ref="H285:K285" si="285">IF(B285="","",H284*(1+B285))</f>
        <v>141.8677624</v>
      </c>
      <c r="I285" s="5">
        <f t="shared" si="285"/>
        <v>167.1505806</v>
      </c>
      <c r="J285" s="5">
        <f t="shared" si="285"/>
        <v>113.6599008</v>
      </c>
      <c r="K285" s="5">
        <f t="shared" si="285"/>
        <v>139.945681</v>
      </c>
      <c r="L285" s="7">
        <f t="shared" si="6"/>
        <v>-0.04050928634</v>
      </c>
    </row>
    <row r="286" ht="15.75" customHeight="1">
      <c r="A286" s="4">
        <f>IF(RETORNOS!A286="","",RETORNOS!A286)</f>
        <v>44825</v>
      </c>
      <c r="B286" s="7">
        <f>IF(RETORNOS!B286="","",OPTIMIZACION!$B$5*RETORNOS!B286+OPTIMIZACION!$B$6*RETORNOS!C286+OPTIMIZACION!$B$7*RETORNOS!D286+OPTIMIZACION!$B$8*RETORNOS!E286+OPTIMIZACION!$B$9*RETORNOS!F286+OPTIMIZACION!$B$10*RETORNOS!G286)</f>
        <v>-0.01742633867</v>
      </c>
      <c r="C286" s="7">
        <f>IF(RETORNOS!H286="","",RETORNOS!H286)</f>
        <v>-0.01465234406</v>
      </c>
      <c r="D286" s="7">
        <f>IF(RETORNOS!I286="","",RETORNOS!I286)</f>
        <v>-0.01367054203</v>
      </c>
      <c r="E286" s="7">
        <f t="shared" si="2"/>
        <v>-0.01416144304</v>
      </c>
      <c r="F286" s="7">
        <f t="shared" si="3"/>
        <v>-0.002773994613</v>
      </c>
      <c r="G286" s="7">
        <f t="shared" si="4"/>
        <v>-0.003264895625</v>
      </c>
      <c r="H286" s="5">
        <f t="shared" ref="H286:K286" si="286">IF(B286="","",H285*(1+B286))</f>
        <v>139.3955267</v>
      </c>
      <c r="I286" s="5">
        <f t="shared" si="286"/>
        <v>164.7014328</v>
      </c>
      <c r="J286" s="5">
        <f t="shared" si="286"/>
        <v>112.1061083</v>
      </c>
      <c r="K286" s="5">
        <f t="shared" si="286"/>
        <v>137.9638482</v>
      </c>
      <c r="L286" s="7">
        <f t="shared" si="6"/>
        <v>-0.05722969646</v>
      </c>
    </row>
    <row r="287" ht="15.75" customHeight="1">
      <c r="A287" s="4">
        <f>IF(RETORNOS!A287="","",RETORNOS!A287)</f>
        <v>44826</v>
      </c>
      <c r="B287" s="7">
        <f>IF(RETORNOS!B287="","",OPTIMIZACION!$B$5*RETORNOS!B287+OPTIMIZACION!$B$6*RETORNOS!C287+OPTIMIZACION!$B$7*RETORNOS!D287+OPTIMIZACION!$B$8*RETORNOS!E287+OPTIMIZACION!$B$9*RETORNOS!F287+OPTIMIZACION!$B$10*RETORNOS!G287)</f>
        <v>-0.005685795544</v>
      </c>
      <c r="C287" s="7">
        <f>IF(RETORNOS!H287="","",RETORNOS!H287)</f>
        <v>-0.003550483996</v>
      </c>
      <c r="D287" s="7">
        <f>IF(RETORNOS!I287="","",RETORNOS!I287)</f>
        <v>-0.003568946523</v>
      </c>
      <c r="E287" s="7">
        <f t="shared" si="2"/>
        <v>-0.00355971526</v>
      </c>
      <c r="F287" s="7">
        <f t="shared" si="3"/>
        <v>-0.002135311548</v>
      </c>
      <c r="G287" s="7">
        <f t="shared" si="4"/>
        <v>-0.002126080284</v>
      </c>
      <c r="H287" s="5">
        <f t="shared" ref="H287:K287" si="287">IF(B287="","",H286*(1+B287))</f>
        <v>138.6029522</v>
      </c>
      <c r="I287" s="5">
        <f t="shared" si="287"/>
        <v>164.116663</v>
      </c>
      <c r="J287" s="5">
        <f t="shared" si="287"/>
        <v>111.7060076</v>
      </c>
      <c r="K287" s="5">
        <f t="shared" si="287"/>
        <v>137.4727362</v>
      </c>
      <c r="L287" s="7">
        <f t="shared" si="6"/>
        <v>-0.06259009565</v>
      </c>
    </row>
    <row r="288" ht="15.75" customHeight="1">
      <c r="A288" s="4">
        <f>IF(RETORNOS!A288="","",RETORNOS!A288)</f>
        <v>44827</v>
      </c>
      <c r="B288" s="7">
        <f>IF(RETORNOS!B288="","",OPTIMIZACION!$B$5*RETORNOS!B288+OPTIMIZACION!$B$6*RETORNOS!C288+OPTIMIZACION!$B$7*RETORNOS!D288+OPTIMIZACION!$B$8*RETORNOS!E288+OPTIMIZACION!$B$9*RETORNOS!F288+OPTIMIZACION!$B$10*RETORNOS!G288)</f>
        <v>-0.04290501002</v>
      </c>
      <c r="C288" s="7">
        <f>IF(RETORNOS!H288="","",RETORNOS!H288)</f>
        <v>-0.06895818191</v>
      </c>
      <c r="D288" s="7">
        <f>IF(RETORNOS!I288="","",RETORNOS!I288)</f>
        <v>-0.01157057012</v>
      </c>
      <c r="E288" s="7">
        <f t="shared" si="2"/>
        <v>-0.04026437602</v>
      </c>
      <c r="F288" s="7">
        <f t="shared" si="3"/>
        <v>0.02605317189</v>
      </c>
      <c r="G288" s="7">
        <f t="shared" si="4"/>
        <v>-0.002640634004</v>
      </c>
      <c r="H288" s="5">
        <f t="shared" ref="H288:K288" si="288">IF(B288="","",H287*(1+B288))</f>
        <v>132.6561912</v>
      </c>
      <c r="I288" s="5">
        <f t="shared" si="288"/>
        <v>152.7994763</v>
      </c>
      <c r="J288" s="5">
        <f t="shared" si="288"/>
        <v>110.4135054</v>
      </c>
      <c r="K288" s="5">
        <f t="shared" si="288"/>
        <v>131.9374823</v>
      </c>
      <c r="L288" s="7">
        <f t="shared" si="6"/>
        <v>-0.102809677</v>
      </c>
    </row>
    <row r="289" ht="15.75" customHeight="1">
      <c r="A289" s="4">
        <f>IF(RETORNOS!A289="","",RETORNOS!A289)</f>
        <v>44830</v>
      </c>
      <c r="B289" s="7">
        <f>IF(RETORNOS!B289="","",OPTIMIZACION!$B$5*RETORNOS!B289+OPTIMIZACION!$B$6*RETORNOS!C289+OPTIMIZACION!$B$7*RETORNOS!D289+OPTIMIZACION!$B$8*RETORNOS!E289+OPTIMIZACION!$B$9*RETORNOS!F289+OPTIMIZACION!$B$10*RETORNOS!G289)</f>
        <v>-0.02028863128</v>
      </c>
      <c r="C289" s="7">
        <f>IF(RETORNOS!H289="","",RETORNOS!H289)</f>
        <v>-0.02454891059</v>
      </c>
      <c r="D289" s="7">
        <f>IF(RETORNOS!I289="","",RETORNOS!I289)</f>
        <v>-0.02410841391</v>
      </c>
      <c r="E289" s="7">
        <f t="shared" si="2"/>
        <v>-0.02432866225</v>
      </c>
      <c r="F289" s="7">
        <f t="shared" si="3"/>
        <v>0.004260279312</v>
      </c>
      <c r="G289" s="7">
        <f t="shared" si="4"/>
        <v>0.00404003097</v>
      </c>
      <c r="H289" s="5">
        <f t="shared" ref="H289:K289" si="289">IF(B289="","",H288*(1+B289))</f>
        <v>129.9647786</v>
      </c>
      <c r="I289" s="5">
        <f t="shared" si="289"/>
        <v>149.0484156</v>
      </c>
      <c r="J289" s="5">
        <f t="shared" si="289"/>
        <v>107.7516109</v>
      </c>
      <c r="K289" s="5">
        <f t="shared" si="289"/>
        <v>128.7276198</v>
      </c>
      <c r="L289" s="7">
        <f t="shared" si="6"/>
        <v>-0.1210124406</v>
      </c>
    </row>
    <row r="290" ht="15.75" customHeight="1">
      <c r="A290" s="4">
        <f>IF(RETORNOS!A290="","",RETORNOS!A290)</f>
        <v>44831</v>
      </c>
      <c r="B290" s="7">
        <f>IF(RETORNOS!B290="","",OPTIMIZACION!$B$5*RETORNOS!B290+OPTIMIZACION!$B$6*RETORNOS!C290+OPTIMIZACION!$B$7*RETORNOS!D290+OPTIMIZACION!$B$8*RETORNOS!E290+OPTIMIZACION!$B$9*RETORNOS!F290+OPTIMIZACION!$B$10*RETORNOS!G290)</f>
        <v>-0.003115400907</v>
      </c>
      <c r="C290" s="7">
        <f>IF(RETORNOS!H290="","",RETORNOS!H290)</f>
        <v>0.01120400794</v>
      </c>
      <c r="D290" s="7">
        <f>IF(RETORNOS!I290="","",RETORNOS!I290)</f>
        <v>-0.0168545357</v>
      </c>
      <c r="E290" s="7">
        <f t="shared" si="2"/>
        <v>-0.002825263879</v>
      </c>
      <c r="F290" s="7">
        <f t="shared" si="3"/>
        <v>-0.01431940885</v>
      </c>
      <c r="G290" s="7">
        <f t="shared" si="4"/>
        <v>-0.0002901370287</v>
      </c>
      <c r="H290" s="5">
        <f t="shared" ref="H290:K290" si="290">IF(B290="","",H289*(1+B290))</f>
        <v>129.5598862</v>
      </c>
      <c r="I290" s="5">
        <f t="shared" si="290"/>
        <v>150.7183553</v>
      </c>
      <c r="J290" s="5">
        <f t="shared" si="290"/>
        <v>105.9355076</v>
      </c>
      <c r="K290" s="5">
        <f t="shared" si="290"/>
        <v>128.3639304</v>
      </c>
      <c r="L290" s="7">
        <f t="shared" si="6"/>
        <v>-0.1237508393</v>
      </c>
    </row>
    <row r="291" ht="15.75" customHeight="1">
      <c r="A291" s="4">
        <f>IF(RETORNOS!A291="","",RETORNOS!A291)</f>
        <v>44832</v>
      </c>
      <c r="B291" s="7">
        <f>IF(RETORNOS!B291="","",OPTIMIZACION!$B$5*RETORNOS!B291+OPTIMIZACION!$B$6*RETORNOS!C291+OPTIMIZACION!$B$7*RETORNOS!D291+OPTIMIZACION!$B$8*RETORNOS!E291+OPTIMIZACION!$B$9*RETORNOS!F291+OPTIMIZACION!$B$10*RETORNOS!G291)</f>
        <v>0.02414053528</v>
      </c>
      <c r="C291" s="7">
        <f>IF(RETORNOS!H291="","",RETORNOS!H291)</f>
        <v>0.04430339023</v>
      </c>
      <c r="D291" s="7">
        <f>IF(RETORNOS!I291="","",RETORNOS!I291)</f>
        <v>0.01075241191</v>
      </c>
      <c r="E291" s="7">
        <f t="shared" si="2"/>
        <v>0.02752790107</v>
      </c>
      <c r="F291" s="7">
        <f t="shared" si="3"/>
        <v>-0.02016285495</v>
      </c>
      <c r="G291" s="7">
        <f t="shared" si="4"/>
        <v>-0.003387365791</v>
      </c>
      <c r="H291" s="5">
        <f t="shared" ref="H291:K291" si="291">IF(B291="","",H290*(1+B291))</f>
        <v>132.6875312</v>
      </c>
      <c r="I291" s="5">
        <f t="shared" si="291"/>
        <v>157.3956894</v>
      </c>
      <c r="J291" s="5">
        <f t="shared" si="291"/>
        <v>107.0745698</v>
      </c>
      <c r="K291" s="5">
        <f t="shared" si="291"/>
        <v>131.8975199</v>
      </c>
      <c r="L291" s="7">
        <f t="shared" si="6"/>
        <v>-0.1025977155</v>
      </c>
    </row>
    <row r="292" ht="15.75" customHeight="1">
      <c r="A292" s="4">
        <f>IF(RETORNOS!A292="","",RETORNOS!A292)</f>
        <v>44833</v>
      </c>
      <c r="B292" s="7">
        <f>IF(RETORNOS!B292="","",OPTIMIZACION!$B$5*RETORNOS!B292+OPTIMIZACION!$B$6*RETORNOS!C292+OPTIMIZACION!$B$7*RETORNOS!D292+OPTIMIZACION!$B$8*RETORNOS!E292+OPTIMIZACION!$B$9*RETORNOS!F292+OPTIMIZACION!$B$10*RETORNOS!G292)</f>
        <v>-0.020997455</v>
      </c>
      <c r="C292" s="7">
        <f>IF(RETORNOS!H292="","",RETORNOS!H292)</f>
        <v>0</v>
      </c>
      <c r="D292" s="7">
        <f>IF(RETORNOS!I292="","",RETORNOS!I292)</f>
        <v>-0.04009278088</v>
      </c>
      <c r="E292" s="7">
        <f t="shared" si="2"/>
        <v>-0.02004639044</v>
      </c>
      <c r="F292" s="7">
        <f t="shared" si="3"/>
        <v>-0.020997455</v>
      </c>
      <c r="G292" s="7">
        <f t="shared" si="4"/>
        <v>-0.0009510645536</v>
      </c>
      <c r="H292" s="5">
        <f t="shared" ref="H292:K292" si="292">IF(B292="","",H291*(1+B292))</f>
        <v>129.9014308</v>
      </c>
      <c r="I292" s="5">
        <f t="shared" si="292"/>
        <v>157.3956894</v>
      </c>
      <c r="J292" s="5">
        <f t="shared" si="292"/>
        <v>102.7816525</v>
      </c>
      <c r="K292" s="5">
        <f t="shared" si="292"/>
        <v>129.2534507</v>
      </c>
      <c r="L292" s="7">
        <f t="shared" si="6"/>
        <v>-0.1214408796</v>
      </c>
    </row>
    <row r="293" ht="15.75" customHeight="1">
      <c r="A293" s="4">
        <f>IF(RETORNOS!A293="","",RETORNOS!A293)</f>
        <v>44834</v>
      </c>
      <c r="B293" s="7">
        <f>IF(RETORNOS!B293="","",OPTIMIZACION!$B$5*RETORNOS!B293+OPTIMIZACION!$B$6*RETORNOS!C293+OPTIMIZACION!$B$7*RETORNOS!D293+OPTIMIZACION!$B$8*RETORNOS!E293+OPTIMIZACION!$B$9*RETORNOS!F293+OPTIMIZACION!$B$10*RETORNOS!G293)</f>
        <v>-0.01364176539</v>
      </c>
      <c r="C293" s="7">
        <f>IF(RETORNOS!H293="","",RETORNOS!H293)</f>
        <v>-0.007991250905</v>
      </c>
      <c r="D293" s="7">
        <f>IF(RETORNOS!I293="","",RETORNOS!I293)</f>
        <v>-0.01930804828</v>
      </c>
      <c r="E293" s="7">
        <f t="shared" si="2"/>
        <v>-0.01364964959</v>
      </c>
      <c r="F293" s="7">
        <f t="shared" si="3"/>
        <v>-0.005650514481</v>
      </c>
      <c r="G293" s="7">
        <f t="shared" si="4"/>
        <v>0.000007884203883</v>
      </c>
      <c r="H293" s="5">
        <f t="shared" ref="H293:K293" si="293">IF(B293="","",H292*(1+B293))</f>
        <v>128.1293459</v>
      </c>
      <c r="I293" s="5">
        <f t="shared" si="293"/>
        <v>156.1379009</v>
      </c>
      <c r="J293" s="5">
        <f t="shared" si="293"/>
        <v>100.7971394</v>
      </c>
      <c r="K293" s="5">
        <f t="shared" si="293"/>
        <v>127.4891864</v>
      </c>
      <c r="L293" s="7">
        <f t="shared" si="6"/>
        <v>-0.133425977</v>
      </c>
    </row>
    <row r="294" ht="15.75" customHeight="1">
      <c r="A294" s="4">
        <f>IF(RETORNOS!A294="","",RETORNOS!A294)</f>
        <v>44837</v>
      </c>
      <c r="B294" s="7">
        <f>IF(RETORNOS!B294="","",OPTIMIZACION!$B$5*RETORNOS!B294+OPTIMIZACION!$B$6*RETORNOS!C294+OPTIMIZACION!$B$7*RETORNOS!D294+OPTIMIZACION!$B$8*RETORNOS!E294+OPTIMIZACION!$B$9*RETORNOS!F294+OPTIMIZACION!$B$10*RETORNOS!G294)</f>
        <v>0.04053120662</v>
      </c>
      <c r="C294" s="7">
        <f>IF(RETORNOS!H294="","",RETORNOS!H294)</f>
        <v>0.05651359736</v>
      </c>
      <c r="D294" s="7">
        <f>IF(RETORNOS!I294="","",RETORNOS!I294)</f>
        <v>0.02930782498</v>
      </c>
      <c r="E294" s="7">
        <f t="shared" si="2"/>
        <v>0.04291071117</v>
      </c>
      <c r="F294" s="7">
        <f t="shared" si="3"/>
        <v>-0.01598239074</v>
      </c>
      <c r="G294" s="7">
        <f t="shared" si="4"/>
        <v>-0.002379504551</v>
      </c>
      <c r="H294" s="5">
        <f t="shared" ref="H294:K294" si="294">IF(B294="","",H293*(1+B294))</f>
        <v>133.3225829</v>
      </c>
      <c r="I294" s="5">
        <f t="shared" si="294"/>
        <v>164.9618154</v>
      </c>
      <c r="J294" s="5">
        <f t="shared" si="294"/>
        <v>103.7512843</v>
      </c>
      <c r="K294" s="5">
        <f t="shared" si="294"/>
        <v>132.9598381</v>
      </c>
      <c r="L294" s="7">
        <f t="shared" si="6"/>
        <v>-0.09830268621</v>
      </c>
    </row>
    <row r="295" ht="15.75" customHeight="1">
      <c r="A295" s="4">
        <f>IF(RETORNOS!A295="","",RETORNOS!A295)</f>
        <v>44838</v>
      </c>
      <c r="B295" s="7">
        <f>IF(RETORNOS!B295="","",OPTIMIZACION!$B$5*RETORNOS!B295+OPTIMIZACION!$B$6*RETORNOS!C295+OPTIMIZACION!$B$7*RETORNOS!D295+OPTIMIZACION!$B$8*RETORNOS!E295+OPTIMIZACION!$B$9*RETORNOS!F295+OPTIMIZACION!$B$10*RETORNOS!G295)</f>
        <v>0.03384166953</v>
      </c>
      <c r="C295" s="7">
        <f>IF(RETORNOS!H295="","",RETORNOS!H295)</f>
        <v>0.04297358389</v>
      </c>
      <c r="D295" s="7">
        <f>IF(RETORNOS!I295="","",RETORNOS!I295)</f>
        <v>0.02120661612</v>
      </c>
      <c r="E295" s="7">
        <f t="shared" si="2"/>
        <v>0.0320901</v>
      </c>
      <c r="F295" s="7">
        <f t="shared" si="3"/>
        <v>-0.009131914359</v>
      </c>
      <c r="G295" s="7">
        <f t="shared" si="4"/>
        <v>0.001751569522</v>
      </c>
      <c r="H295" s="5">
        <f t="shared" ref="H295:K295" si="295">IF(B295="","",H294*(1+B295))</f>
        <v>137.8344417</v>
      </c>
      <c r="I295" s="5">
        <f t="shared" si="295"/>
        <v>172.0508158</v>
      </c>
      <c r="J295" s="5">
        <f t="shared" si="295"/>
        <v>105.951498</v>
      </c>
      <c r="K295" s="5">
        <f t="shared" si="295"/>
        <v>137.2265326</v>
      </c>
      <c r="L295" s="7">
        <f t="shared" si="6"/>
        <v>-0.0677877437</v>
      </c>
    </row>
    <row r="296" ht="15.75" customHeight="1">
      <c r="A296" s="4">
        <f>IF(RETORNOS!A296="","",RETORNOS!A296)</f>
        <v>44839</v>
      </c>
      <c r="B296" s="7">
        <f>IF(RETORNOS!B296="","",OPTIMIZACION!$B$5*RETORNOS!B296+OPTIMIZACION!$B$6*RETORNOS!C296+OPTIMIZACION!$B$7*RETORNOS!D296+OPTIMIZACION!$B$8*RETORNOS!E296+OPTIMIZACION!$B$9*RETORNOS!F296+OPTIMIZACION!$B$10*RETORNOS!G296)</f>
        <v>0.008818375294</v>
      </c>
      <c r="C296" s="7">
        <f>IF(RETORNOS!H296="","",RETORNOS!H296)</f>
        <v>0.02066911104</v>
      </c>
      <c r="D296" s="7">
        <f>IF(RETORNOS!I296="","",RETORNOS!I296)</f>
        <v>-0.02222086642</v>
      </c>
      <c r="E296" s="7">
        <f t="shared" si="2"/>
        <v>-0.0007758776923</v>
      </c>
      <c r="F296" s="7">
        <f t="shared" si="3"/>
        <v>-0.01185073574</v>
      </c>
      <c r="G296" s="7">
        <f t="shared" si="4"/>
        <v>0.009594252987</v>
      </c>
      <c r="H296" s="5">
        <f t="shared" ref="H296:K296" si="296">IF(B296="","",H295*(1+B296))</f>
        <v>139.0499175</v>
      </c>
      <c r="I296" s="5">
        <f t="shared" si="296"/>
        <v>175.6069532</v>
      </c>
      <c r="J296" s="5">
        <f t="shared" si="296"/>
        <v>103.5971639</v>
      </c>
      <c r="K296" s="5">
        <f t="shared" si="296"/>
        <v>137.1200616</v>
      </c>
      <c r="L296" s="7">
        <f t="shared" si="6"/>
        <v>-0.05956714617</v>
      </c>
    </row>
    <row r="297" ht="15.75" customHeight="1">
      <c r="A297" s="4">
        <f>IF(RETORNOS!A297="","",RETORNOS!A297)</f>
        <v>44840</v>
      </c>
      <c r="B297" s="7">
        <f>IF(RETORNOS!B297="","",OPTIMIZACION!$B$5*RETORNOS!B297+OPTIMIZACION!$B$6*RETORNOS!C297+OPTIMIZACION!$B$7*RETORNOS!D297+OPTIMIZACION!$B$8*RETORNOS!E297+OPTIMIZACION!$B$9*RETORNOS!F297+OPTIMIZACION!$B$10*RETORNOS!G297)</f>
        <v>-0.01082950429</v>
      </c>
      <c r="C297" s="7">
        <f>IF(RETORNOS!H297="","",RETORNOS!H297)</f>
        <v>0.01777652604</v>
      </c>
      <c r="D297" s="7">
        <f>IF(RETORNOS!I297="","",RETORNOS!I297)</f>
        <v>-0.03297219367</v>
      </c>
      <c r="E297" s="7">
        <f t="shared" si="2"/>
        <v>-0.007597833815</v>
      </c>
      <c r="F297" s="7">
        <f t="shared" si="3"/>
        <v>-0.02860603033</v>
      </c>
      <c r="G297" s="7">
        <f t="shared" si="4"/>
        <v>-0.003231670476</v>
      </c>
      <c r="H297" s="5">
        <f t="shared" ref="H297:K297" si="297">IF(B297="","",H296*(1+B297))</f>
        <v>137.5440759</v>
      </c>
      <c r="I297" s="5">
        <f t="shared" si="297"/>
        <v>178.7286348</v>
      </c>
      <c r="J297" s="5">
        <f t="shared" si="297"/>
        <v>100.1813382</v>
      </c>
      <c r="K297" s="5">
        <f t="shared" si="297"/>
        <v>136.0782461</v>
      </c>
      <c r="L297" s="7">
        <f t="shared" si="6"/>
        <v>-0.0697515678</v>
      </c>
    </row>
    <row r="298" ht="15.75" customHeight="1">
      <c r="A298" s="4">
        <f>IF(RETORNOS!A298="","",RETORNOS!A298)</f>
        <v>44841</v>
      </c>
      <c r="B298" s="7">
        <f>IF(RETORNOS!B298="","",OPTIMIZACION!$B$5*RETORNOS!B298+OPTIMIZACION!$B$6*RETORNOS!C298+OPTIMIZACION!$B$7*RETORNOS!D298+OPTIMIZACION!$B$8*RETORNOS!E298+OPTIMIZACION!$B$9*RETORNOS!F298+OPTIMIZACION!$B$10*RETORNOS!G298)</f>
        <v>-0.01799829774</v>
      </c>
      <c r="C298" s="7">
        <f>IF(RETORNOS!H298="","",RETORNOS!H298)</f>
        <v>-0.007767206275</v>
      </c>
      <c r="D298" s="7">
        <f>IF(RETORNOS!I298="","",RETORNOS!I298)</f>
        <v>-0.02073293735</v>
      </c>
      <c r="E298" s="7">
        <f t="shared" si="2"/>
        <v>-0.01425007181</v>
      </c>
      <c r="F298" s="7">
        <f t="shared" si="3"/>
        <v>-0.01023109147</v>
      </c>
      <c r="G298" s="7">
        <f t="shared" si="4"/>
        <v>-0.003748225928</v>
      </c>
      <c r="H298" s="5">
        <f t="shared" ref="H298:K298" si="298">IF(B298="","",H297*(1+B298))</f>
        <v>135.0685166</v>
      </c>
      <c r="I298" s="5">
        <f t="shared" si="298"/>
        <v>177.3404126</v>
      </c>
      <c r="J298" s="5">
        <f t="shared" si="298"/>
        <v>98.10428475</v>
      </c>
      <c r="K298" s="5">
        <f t="shared" si="298"/>
        <v>134.1391214</v>
      </c>
      <c r="L298" s="7">
        <f t="shared" si="6"/>
        <v>-0.08649445605</v>
      </c>
    </row>
    <row r="299" ht="15.75" customHeight="1">
      <c r="A299" s="4">
        <f>IF(RETORNOS!A299="","",RETORNOS!A299)</f>
        <v>44844</v>
      </c>
      <c r="B299" s="7">
        <f>IF(RETORNOS!B299="","",OPTIMIZACION!$B$5*RETORNOS!B299+OPTIMIZACION!$B$6*RETORNOS!C299+OPTIMIZACION!$B$7*RETORNOS!D299+OPTIMIZACION!$B$8*RETORNOS!E299+OPTIMIZACION!$B$9*RETORNOS!F299+OPTIMIZACION!$B$10*RETORNOS!G299)</f>
        <v>-0.01483956644</v>
      </c>
      <c r="C299" s="7">
        <f>IF(RETORNOS!H299="","",RETORNOS!H299)</f>
        <v>-0.02053655896</v>
      </c>
      <c r="D299" s="7">
        <f>IF(RETORNOS!I299="","",RETORNOS!I299)</f>
        <v>0.001727043842</v>
      </c>
      <c r="E299" s="7">
        <f t="shared" si="2"/>
        <v>-0.009404757558</v>
      </c>
      <c r="F299" s="7">
        <f t="shared" si="3"/>
        <v>0.005696992514</v>
      </c>
      <c r="G299" s="7">
        <f t="shared" si="4"/>
        <v>-0.005434808886</v>
      </c>
      <c r="H299" s="5">
        <f t="shared" ref="H299:K299" si="299">IF(B299="","",H298*(1+B299))</f>
        <v>133.0641584</v>
      </c>
      <c r="I299" s="5">
        <f t="shared" si="299"/>
        <v>173.6984508</v>
      </c>
      <c r="J299" s="5">
        <f t="shared" si="299"/>
        <v>98.27371515</v>
      </c>
      <c r="K299" s="5">
        <f t="shared" si="299"/>
        <v>132.8775754</v>
      </c>
      <c r="L299" s="7">
        <f t="shared" si="6"/>
        <v>-0.1000504823</v>
      </c>
    </row>
    <row r="300" ht="15.75" customHeight="1">
      <c r="A300" s="4">
        <f>IF(RETORNOS!A300="","",RETORNOS!A300)</f>
        <v>44845</v>
      </c>
      <c r="B300" s="7">
        <f>IF(RETORNOS!B300="","",OPTIMIZACION!$B$5*RETORNOS!B300+OPTIMIZACION!$B$6*RETORNOS!C300+OPTIMIZACION!$B$7*RETORNOS!D300+OPTIMIZACION!$B$8*RETORNOS!E300+OPTIMIZACION!$B$9*RETORNOS!F300+OPTIMIZACION!$B$10*RETORNOS!G300)</f>
        <v>-0.002364151501</v>
      </c>
      <c r="C300" s="7">
        <f>IF(RETORNOS!H300="","",RETORNOS!H300)</f>
        <v>-0.007989347537</v>
      </c>
      <c r="D300" s="7">
        <f>IF(RETORNOS!I300="","",RETORNOS!I300)</f>
        <v>-0.003603921732</v>
      </c>
      <c r="E300" s="7">
        <f t="shared" si="2"/>
        <v>-0.005796634634</v>
      </c>
      <c r="F300" s="7">
        <f t="shared" si="3"/>
        <v>0.005625196036</v>
      </c>
      <c r="G300" s="7">
        <f t="shared" si="4"/>
        <v>0.003432483133</v>
      </c>
      <c r="H300" s="5">
        <f t="shared" ref="H300:K300" si="300">IF(B300="","",H299*(1+B300))</f>
        <v>132.7495746</v>
      </c>
      <c r="I300" s="5">
        <f t="shared" si="300"/>
        <v>172.3107135</v>
      </c>
      <c r="J300" s="5">
        <f t="shared" si="300"/>
        <v>97.91954438</v>
      </c>
      <c r="K300" s="5">
        <f t="shared" si="300"/>
        <v>132.1073327</v>
      </c>
      <c r="L300" s="7">
        <f t="shared" si="6"/>
        <v>-0.1021780993</v>
      </c>
    </row>
    <row r="301" ht="15.75" customHeight="1">
      <c r="A301" s="4">
        <f>IF(RETORNOS!A301="","",RETORNOS!A301)</f>
        <v>44846</v>
      </c>
      <c r="B301" s="7">
        <f>IF(RETORNOS!B301="","",OPTIMIZACION!$B$5*RETORNOS!B301+OPTIMIZACION!$B$6*RETORNOS!C301+OPTIMIZACION!$B$7*RETORNOS!D301+OPTIMIZACION!$B$8*RETORNOS!E301+OPTIMIZACION!$B$9*RETORNOS!F301+OPTIMIZACION!$B$10*RETORNOS!G301)</f>
        <v>-0.01422582246</v>
      </c>
      <c r="C301" s="7">
        <f>IF(RETORNOS!H301="","",RETORNOS!H301)</f>
        <v>0.008053691275</v>
      </c>
      <c r="D301" s="7">
        <f>IF(RETORNOS!I301="","",RETORNOS!I301)</f>
        <v>-0.03331352867</v>
      </c>
      <c r="E301" s="7">
        <f t="shared" si="2"/>
        <v>-0.0126299187</v>
      </c>
      <c r="F301" s="7">
        <f t="shared" si="3"/>
        <v>-0.02227951373</v>
      </c>
      <c r="G301" s="7">
        <f t="shared" si="4"/>
        <v>-0.001595903762</v>
      </c>
      <c r="H301" s="5">
        <f t="shared" ref="H301:K301" si="301">IF(B301="","",H300*(1+B301))</f>
        <v>130.8611027</v>
      </c>
      <c r="I301" s="5">
        <f t="shared" si="301"/>
        <v>173.6984508</v>
      </c>
      <c r="J301" s="5">
        <f t="shared" si="301"/>
        <v>94.65749883</v>
      </c>
      <c r="K301" s="5">
        <f t="shared" si="301"/>
        <v>130.4388278</v>
      </c>
      <c r="L301" s="7">
        <f t="shared" si="6"/>
        <v>-0.1149503542</v>
      </c>
    </row>
    <row r="302" ht="15.75" customHeight="1">
      <c r="A302" s="4">
        <f>IF(RETORNOS!A302="","",RETORNOS!A302)</f>
        <v>44847</v>
      </c>
      <c r="B302" s="7">
        <f>IF(RETORNOS!B302="","",OPTIMIZACION!$B$5*RETORNOS!B302+OPTIMIZACION!$B$6*RETORNOS!C302+OPTIMIZACION!$B$7*RETORNOS!D302+OPTIMIZACION!$B$8*RETORNOS!E302+OPTIMIZACION!$B$9*RETORNOS!F302+OPTIMIZACION!$B$10*RETORNOS!G302)</f>
        <v>0.03342191346</v>
      </c>
      <c r="C302" s="7">
        <f>IF(RETORNOS!H302="","",RETORNOS!H302)</f>
        <v>0.04081490228</v>
      </c>
      <c r="D302" s="7">
        <f>IF(RETORNOS!I302="","",RETORNOS!I302)</f>
        <v>0.0250338757</v>
      </c>
      <c r="E302" s="7">
        <f t="shared" si="2"/>
        <v>0.03292438899</v>
      </c>
      <c r="F302" s="7">
        <f t="shared" si="3"/>
        <v>-0.007392988824</v>
      </c>
      <c r="G302" s="7">
        <f t="shared" si="4"/>
        <v>0.0004975244654</v>
      </c>
      <c r="H302" s="5">
        <f t="shared" ref="H302:K302" si="302">IF(B302="","",H301*(1+B302))</f>
        <v>135.2347311</v>
      </c>
      <c r="I302" s="5">
        <f t="shared" si="302"/>
        <v>180.7879361</v>
      </c>
      <c r="J302" s="5">
        <f t="shared" si="302"/>
        <v>97.02714289</v>
      </c>
      <c r="K302" s="5">
        <f t="shared" si="302"/>
        <v>134.7334465</v>
      </c>
      <c r="L302" s="7">
        <f t="shared" si="6"/>
        <v>-0.08537030157</v>
      </c>
    </row>
    <row r="303" ht="15.75" customHeight="1">
      <c r="A303" s="4">
        <f>IF(RETORNOS!A303="","",RETORNOS!A303)</f>
        <v>44848</v>
      </c>
      <c r="B303" s="7">
        <f>IF(RETORNOS!B303="","",OPTIMIZACION!$B$5*RETORNOS!B303+OPTIMIZACION!$B$6*RETORNOS!C303+OPTIMIZACION!$B$7*RETORNOS!D303+OPTIMIZACION!$B$8*RETORNOS!E303+OPTIMIZACION!$B$9*RETORNOS!F303+OPTIMIZACION!$B$10*RETORNOS!G303)</f>
        <v>-0.02226110742</v>
      </c>
      <c r="C303" s="7">
        <f>IF(RETORNOS!H303="","",RETORNOS!H303)</f>
        <v>-0.0372967</v>
      </c>
      <c r="D303" s="7">
        <f>IF(RETORNOS!I303="","",RETORNOS!I303)</f>
        <v>-0.01442907836</v>
      </c>
      <c r="E303" s="7">
        <f t="shared" si="2"/>
        <v>-0.02586288918</v>
      </c>
      <c r="F303" s="7">
        <f t="shared" si="3"/>
        <v>0.01503559257</v>
      </c>
      <c r="G303" s="7">
        <f t="shared" si="4"/>
        <v>0.003601781756</v>
      </c>
      <c r="H303" s="5">
        <f t="shared" ref="H303:K303" si="303">IF(B303="","",H302*(1+B303))</f>
        <v>132.2242563</v>
      </c>
      <c r="I303" s="5">
        <f t="shared" si="303"/>
        <v>174.0451427</v>
      </c>
      <c r="J303" s="5">
        <f t="shared" si="303"/>
        <v>95.62713064</v>
      </c>
      <c r="K303" s="5">
        <f t="shared" si="303"/>
        <v>131.2488503</v>
      </c>
      <c r="L303" s="7">
        <f t="shared" si="6"/>
        <v>-0.1057309715</v>
      </c>
    </row>
    <row r="304" ht="15.75" customHeight="1">
      <c r="A304" s="4">
        <f>IF(RETORNOS!A304="","",RETORNOS!A304)</f>
        <v>44851</v>
      </c>
      <c r="B304" s="7">
        <f>IF(RETORNOS!B304="","",OPTIMIZACION!$B$5*RETORNOS!B304+OPTIMIZACION!$B$6*RETORNOS!C304+OPTIMIZACION!$B$7*RETORNOS!D304+OPTIMIZACION!$B$8*RETORNOS!E304+OPTIMIZACION!$B$9*RETORNOS!F304+OPTIMIZACION!$B$10*RETORNOS!G304)</f>
        <v>0.02229106276</v>
      </c>
      <c r="C304" s="7">
        <f>IF(RETORNOS!H304="","",RETORNOS!H304)</f>
        <v>0.01245883736</v>
      </c>
      <c r="D304" s="7">
        <f>IF(RETORNOS!I304="","",RETORNOS!I304)</f>
        <v>0.02091983221</v>
      </c>
      <c r="E304" s="7">
        <f t="shared" si="2"/>
        <v>0.01668933479</v>
      </c>
      <c r="F304" s="7">
        <f t="shared" si="3"/>
        <v>0.009832225395</v>
      </c>
      <c r="G304" s="7">
        <f t="shared" si="4"/>
        <v>0.005601727968</v>
      </c>
      <c r="H304" s="5">
        <f t="shared" ref="H304:K304" si="304">IF(B304="","",H303*(1+B304))</f>
        <v>135.1716755</v>
      </c>
      <c r="I304" s="5">
        <f t="shared" si="304"/>
        <v>176.2135428</v>
      </c>
      <c r="J304" s="5">
        <f t="shared" si="304"/>
        <v>97.62763417</v>
      </c>
      <c r="K304" s="5">
        <f t="shared" si="304"/>
        <v>133.4393063</v>
      </c>
      <c r="L304" s="7">
        <f t="shared" si="6"/>
        <v>-0.0857967645</v>
      </c>
    </row>
    <row r="305" ht="15.75" customHeight="1">
      <c r="A305" s="4">
        <f>IF(RETORNOS!A305="","",RETORNOS!A305)</f>
        <v>44852</v>
      </c>
      <c r="B305" s="7">
        <f>IF(RETORNOS!B305="","",OPTIMIZACION!$B$5*RETORNOS!B305+OPTIMIZACION!$B$6*RETORNOS!C305+OPTIMIZACION!$B$7*RETORNOS!D305+OPTIMIZACION!$B$8*RETORNOS!E305+OPTIMIZACION!$B$9*RETORNOS!F305+OPTIMIZACION!$B$10*RETORNOS!G305)</f>
        <v>0.010286011</v>
      </c>
      <c r="C305" s="7">
        <f>IF(RETORNOS!H305="","",RETORNOS!H305)</f>
        <v>0.008733840744</v>
      </c>
      <c r="D305" s="7">
        <f>IF(RETORNOS!I305="","",RETORNOS!I305)</f>
        <v>0.01827476974</v>
      </c>
      <c r="E305" s="7">
        <f t="shared" si="2"/>
        <v>0.01350430524</v>
      </c>
      <c r="F305" s="7">
        <f t="shared" si="3"/>
        <v>0.001552170257</v>
      </c>
      <c r="G305" s="7">
        <f t="shared" si="4"/>
        <v>-0.00321829424</v>
      </c>
      <c r="H305" s="5">
        <f t="shared" ref="H305:K305" si="305">IF(B305="","",H304*(1+B305))</f>
        <v>136.5620528</v>
      </c>
      <c r="I305" s="5">
        <f t="shared" si="305"/>
        <v>177.7525638</v>
      </c>
      <c r="J305" s="5">
        <f t="shared" si="305"/>
        <v>99.4117567</v>
      </c>
      <c r="K305" s="5">
        <f t="shared" si="305"/>
        <v>135.2413115</v>
      </c>
      <c r="L305" s="7">
        <f t="shared" si="6"/>
        <v>-0.07639325996</v>
      </c>
    </row>
    <row r="306" ht="15.75" customHeight="1">
      <c r="A306" s="4">
        <f>IF(RETORNOS!A306="","",RETORNOS!A306)</f>
        <v>44853</v>
      </c>
      <c r="B306" s="7">
        <f>IF(RETORNOS!B306="","",OPTIMIZACION!$B$5*RETORNOS!B306+OPTIMIZACION!$B$6*RETORNOS!C306+OPTIMIZACION!$B$7*RETORNOS!D306+OPTIMIZACION!$B$8*RETORNOS!E306+OPTIMIZACION!$B$9*RETORNOS!F306+OPTIMIZACION!$B$10*RETORNOS!G306)</f>
        <v>0.006309017459</v>
      </c>
      <c r="C306" s="7">
        <f>IF(RETORNOS!H306="","",RETORNOS!H306)</f>
        <v>0.02951815117</v>
      </c>
      <c r="D306" s="7">
        <f>IF(RETORNOS!I306="","",RETORNOS!I306)</f>
        <v>-0.01299465771</v>
      </c>
      <c r="E306" s="7">
        <f t="shared" si="2"/>
        <v>0.008261746727</v>
      </c>
      <c r="F306" s="7">
        <f t="shared" si="3"/>
        <v>-0.02320913371</v>
      </c>
      <c r="G306" s="7">
        <f t="shared" si="4"/>
        <v>-0.001952729267</v>
      </c>
      <c r="H306" s="5">
        <f t="shared" ref="H306:K306" si="306">IF(B306="","",H305*(1+B306))</f>
        <v>137.4236252</v>
      </c>
      <c r="I306" s="5">
        <f t="shared" si="306"/>
        <v>182.9994909</v>
      </c>
      <c r="J306" s="5">
        <f t="shared" si="306"/>
        <v>98.11993495</v>
      </c>
      <c r="K306" s="5">
        <f t="shared" si="306"/>
        <v>136.3586409</v>
      </c>
      <c r="L306" s="7">
        <f t="shared" si="6"/>
        <v>-0.07056620892</v>
      </c>
    </row>
    <row r="307" ht="15.75" customHeight="1">
      <c r="A307" s="4">
        <f>IF(RETORNOS!A307="","",RETORNOS!A307)</f>
        <v>44854</v>
      </c>
      <c r="B307" s="7">
        <f>IF(RETORNOS!B307="","",OPTIMIZACION!$B$5*RETORNOS!B307+OPTIMIZACION!$B$6*RETORNOS!C307+OPTIMIZACION!$B$7*RETORNOS!D307+OPTIMIZACION!$B$8*RETORNOS!E307+OPTIMIZACION!$B$9*RETORNOS!F307+OPTIMIZACION!$B$10*RETORNOS!G307)</f>
        <v>-0.009744012215</v>
      </c>
      <c r="C307" s="7">
        <f>IF(RETORNOS!H307="","",RETORNOS!H307)</f>
        <v>0.0009512226788</v>
      </c>
      <c r="D307" s="7">
        <f>IF(RETORNOS!I307="","",RETORNOS!I307)</f>
        <v>-0.02524618585</v>
      </c>
      <c r="E307" s="7">
        <f t="shared" si="2"/>
        <v>-0.01214748159</v>
      </c>
      <c r="F307" s="7">
        <f t="shared" si="3"/>
        <v>-0.01069523489</v>
      </c>
      <c r="G307" s="7">
        <f t="shared" si="4"/>
        <v>0.002403469372</v>
      </c>
      <c r="H307" s="5">
        <f t="shared" ref="H307:K307" si="307">IF(B307="","",H306*(1+B307))</f>
        <v>136.0845677</v>
      </c>
      <c r="I307" s="5">
        <f t="shared" si="307"/>
        <v>183.1735641</v>
      </c>
      <c r="J307" s="5">
        <f t="shared" si="307"/>
        <v>95.64278084</v>
      </c>
      <c r="K307" s="5">
        <f t="shared" si="307"/>
        <v>134.7022268</v>
      </c>
      <c r="L307" s="7">
        <f t="shared" si="6"/>
        <v>-0.07962262313</v>
      </c>
    </row>
    <row r="308" ht="15.75" customHeight="1">
      <c r="A308" s="4">
        <f>IF(RETORNOS!A308="","",RETORNOS!A308)</f>
        <v>44855</v>
      </c>
      <c r="B308" s="7">
        <f>IF(RETORNOS!B308="","",OPTIMIZACION!$B$5*RETORNOS!B308+OPTIMIZACION!$B$6*RETORNOS!C308+OPTIMIZACION!$B$7*RETORNOS!D308+OPTIMIZACION!$B$8*RETORNOS!E308+OPTIMIZACION!$B$9*RETORNOS!F308+OPTIMIZACION!$B$10*RETORNOS!G308)</f>
        <v>0.01837481289</v>
      </c>
      <c r="C308" s="7">
        <f>IF(RETORNOS!H308="","",RETORNOS!H308)</f>
        <v>0.02887751212</v>
      </c>
      <c r="D308" s="7">
        <f>IF(RETORNOS!I308="","",RETORNOS!I308)</f>
        <v>0.01850106183</v>
      </c>
      <c r="E308" s="7">
        <f t="shared" si="2"/>
        <v>0.02368928698</v>
      </c>
      <c r="F308" s="7">
        <f t="shared" si="3"/>
        <v>-0.01050269924</v>
      </c>
      <c r="G308" s="7">
        <f t="shared" si="4"/>
        <v>-0.005314474087</v>
      </c>
      <c r="H308" s="5">
        <f t="shared" ref="H308:K308" si="308">IF(B308="","",H307*(1+B308))</f>
        <v>138.5850962</v>
      </c>
      <c r="I308" s="5">
        <f t="shared" si="308"/>
        <v>188.463161</v>
      </c>
      <c r="J308" s="5">
        <f t="shared" si="308"/>
        <v>97.41227384</v>
      </c>
      <c r="K308" s="5">
        <f t="shared" si="308"/>
        <v>137.8932265</v>
      </c>
      <c r="L308" s="7">
        <f t="shared" si="6"/>
        <v>-0.06271086104</v>
      </c>
    </row>
    <row r="309" ht="15.75" customHeight="1">
      <c r="A309" s="4">
        <f>IF(RETORNOS!A309="","",RETORNOS!A309)</f>
        <v>44858</v>
      </c>
      <c r="B309" s="7">
        <f>IF(RETORNOS!B309="","",OPTIMIZACION!$B$5*RETORNOS!B309+OPTIMIZACION!$B$6*RETORNOS!C309+OPTIMIZACION!$B$7*RETORNOS!D309+OPTIMIZACION!$B$8*RETORNOS!E309+OPTIMIZACION!$B$9*RETORNOS!F309+OPTIMIZACION!$B$10*RETORNOS!G309)</f>
        <v>0.002911187466</v>
      </c>
      <c r="C309" s="7">
        <f>IF(RETORNOS!H309="","",RETORNOS!H309)</f>
        <v>0.004713425286</v>
      </c>
      <c r="D309" s="7">
        <f>IF(RETORNOS!I309="","",RETORNOS!I309)</f>
        <v>0.00836825929</v>
      </c>
      <c r="E309" s="7">
        <f t="shared" si="2"/>
        <v>0.006540842288</v>
      </c>
      <c r="F309" s="7">
        <f t="shared" si="3"/>
        <v>-0.001802237821</v>
      </c>
      <c r="G309" s="7">
        <f t="shared" si="4"/>
        <v>-0.003629654823</v>
      </c>
      <c r="H309" s="5">
        <f t="shared" ref="H309:K309" si="309">IF(B309="","",H308*(1+B309))</f>
        <v>138.9885434</v>
      </c>
      <c r="I309" s="5">
        <f t="shared" si="309"/>
        <v>189.351468</v>
      </c>
      <c r="J309" s="5">
        <f t="shared" si="309"/>
        <v>98.227445</v>
      </c>
      <c r="K309" s="5">
        <f t="shared" si="309"/>
        <v>138.7951644</v>
      </c>
      <c r="L309" s="7">
        <f t="shared" si="6"/>
        <v>-0.05998223665</v>
      </c>
    </row>
    <row r="310" ht="15.75" customHeight="1">
      <c r="A310" s="4">
        <f>IF(RETORNOS!A310="","",RETORNOS!A310)</f>
        <v>44859</v>
      </c>
      <c r="B310" s="7">
        <f>IF(RETORNOS!B310="","",OPTIMIZACION!$B$5*RETORNOS!B310+OPTIMIZACION!$B$6*RETORNOS!C310+OPTIMIZACION!$B$7*RETORNOS!D310+OPTIMIZACION!$B$8*RETORNOS!E310+OPTIMIZACION!$B$9*RETORNOS!F310+OPTIMIZACION!$B$10*RETORNOS!G310)</f>
        <v>0.01624534752</v>
      </c>
      <c r="C310" s="7">
        <f>IF(RETORNOS!H310="","",RETORNOS!H310)</f>
        <v>0.001031986459</v>
      </c>
      <c r="D310" s="7">
        <f>IF(RETORNOS!I310="","",RETORNOS!I310)</f>
        <v>0.02005084581</v>
      </c>
      <c r="E310" s="7">
        <f t="shared" si="2"/>
        <v>0.01054141614</v>
      </c>
      <c r="F310" s="7">
        <f t="shared" si="3"/>
        <v>0.01521336106</v>
      </c>
      <c r="G310" s="7">
        <f t="shared" si="4"/>
        <v>0.005703931381</v>
      </c>
      <c r="H310" s="5">
        <f t="shared" ref="H310:K310" si="310">IF(B310="","",H309*(1+B310))</f>
        <v>141.2464605</v>
      </c>
      <c r="I310" s="5">
        <f t="shared" si="310"/>
        <v>189.5468761</v>
      </c>
      <c r="J310" s="5">
        <f t="shared" si="310"/>
        <v>100.1969884</v>
      </c>
      <c r="K310" s="5">
        <f t="shared" si="310"/>
        <v>140.258262</v>
      </c>
      <c r="L310" s="7">
        <f t="shared" si="6"/>
        <v>-0.04471132141</v>
      </c>
    </row>
    <row r="311" ht="15.75" customHeight="1">
      <c r="A311" s="4">
        <f>IF(RETORNOS!A311="","",RETORNOS!A311)</f>
        <v>44860</v>
      </c>
      <c r="B311" s="7">
        <f>IF(RETORNOS!B311="","",OPTIMIZACION!$B$5*RETORNOS!B311+OPTIMIZACION!$B$6*RETORNOS!C311+OPTIMIZACION!$B$7*RETORNOS!D311+OPTIMIZACION!$B$8*RETORNOS!E311+OPTIMIZACION!$B$9*RETORNOS!F311+OPTIMIZACION!$B$10*RETORNOS!G311)</f>
        <v>0.00574866022</v>
      </c>
      <c r="C311" s="7">
        <f>IF(RETORNOS!H311="","",RETORNOS!H311)</f>
        <v>0.01360920105</v>
      </c>
      <c r="D311" s="7">
        <f>IF(RETORNOS!I311="","",RETORNOS!I311)</f>
        <v>-0.0004617918202</v>
      </c>
      <c r="E311" s="7">
        <f t="shared" si="2"/>
        <v>0.006573704614</v>
      </c>
      <c r="F311" s="7">
        <f t="shared" si="3"/>
        <v>-0.007860540828</v>
      </c>
      <c r="G311" s="7">
        <f t="shared" si="4"/>
        <v>-0.0008250443942</v>
      </c>
      <c r="H311" s="5">
        <f t="shared" ref="H311:K311" si="311">IF(B311="","",H310*(1+B311))</f>
        <v>142.0584385</v>
      </c>
      <c r="I311" s="5">
        <f t="shared" si="311"/>
        <v>192.1264577</v>
      </c>
      <c r="J311" s="5">
        <f t="shared" si="311"/>
        <v>100.1507182</v>
      </c>
      <c r="K311" s="5">
        <f t="shared" si="311"/>
        <v>141.1802784</v>
      </c>
      <c r="L311" s="7">
        <f t="shared" si="6"/>
        <v>-0.03921969139</v>
      </c>
    </row>
    <row r="312" ht="15.75" customHeight="1">
      <c r="A312" s="4">
        <f>IF(RETORNOS!A312="","",RETORNOS!A312)</f>
        <v>44861</v>
      </c>
      <c r="B312" s="7">
        <f>IF(RETORNOS!B312="","",OPTIMIZACION!$B$5*RETORNOS!B312+OPTIMIZACION!$B$6*RETORNOS!C312+OPTIMIZACION!$B$7*RETORNOS!D312+OPTIMIZACION!$B$8*RETORNOS!E312+OPTIMIZACION!$B$9*RETORNOS!F312+OPTIMIZACION!$B$10*RETORNOS!G312)</f>
        <v>0.003670802188</v>
      </c>
      <c r="C312" s="7">
        <f>IF(RETORNOS!H312="","",RETORNOS!H312)</f>
        <v>0.003608996749</v>
      </c>
      <c r="D312" s="7">
        <f>IF(RETORNOS!I312="","",RETORNOS!I312)</f>
        <v>0.00798997177</v>
      </c>
      <c r="E312" s="7">
        <f t="shared" si="2"/>
        <v>0.00579948426</v>
      </c>
      <c r="F312" s="7">
        <f t="shared" si="3"/>
        <v>0.00006180543858</v>
      </c>
      <c r="G312" s="7">
        <f t="shared" si="4"/>
        <v>-0.002128682072</v>
      </c>
      <c r="H312" s="5">
        <f t="shared" ref="H312:K312" si="312">IF(B312="","",H311*(1+B312))</f>
        <v>142.5799069</v>
      </c>
      <c r="I312" s="5">
        <f t="shared" si="312"/>
        <v>192.8198414</v>
      </c>
      <c r="J312" s="5">
        <f t="shared" si="312"/>
        <v>100.9509196</v>
      </c>
      <c r="K312" s="5">
        <f t="shared" si="312"/>
        <v>141.9990512</v>
      </c>
      <c r="L312" s="7">
        <f t="shared" si="6"/>
        <v>-0.03569285693</v>
      </c>
    </row>
    <row r="313" ht="15.75" customHeight="1">
      <c r="A313" s="4">
        <f>IF(RETORNOS!A313="","",RETORNOS!A313)</f>
        <v>44862</v>
      </c>
      <c r="B313" s="7">
        <f>IF(RETORNOS!B313="","",OPTIMIZACION!$B$5*RETORNOS!B313+OPTIMIZACION!$B$6*RETORNOS!C313+OPTIMIZACION!$B$7*RETORNOS!D313+OPTIMIZACION!$B$8*RETORNOS!E313+OPTIMIZACION!$B$9*RETORNOS!F313+OPTIMIZACION!$B$10*RETORNOS!G313)</f>
        <v>0.01693134164</v>
      </c>
      <c r="C313" s="7">
        <f>IF(RETORNOS!H313="","",RETORNOS!H313)</f>
        <v>0.003485371999</v>
      </c>
      <c r="D313" s="7">
        <f>IF(RETORNOS!I313="","",RETORNOS!I313)</f>
        <v>0.02743317797</v>
      </c>
      <c r="E313" s="7">
        <f t="shared" si="2"/>
        <v>0.01545927498</v>
      </c>
      <c r="F313" s="7">
        <f t="shared" si="3"/>
        <v>0.01344596964</v>
      </c>
      <c r="G313" s="7">
        <f t="shared" si="4"/>
        <v>0.001472066653</v>
      </c>
      <c r="H313" s="5">
        <f t="shared" ref="H313:K313" si="313">IF(B313="","",H312*(1+B313))</f>
        <v>144.993976</v>
      </c>
      <c r="I313" s="5">
        <f t="shared" si="313"/>
        <v>193.4918903</v>
      </c>
      <c r="J313" s="5">
        <f t="shared" si="313"/>
        <v>103.7203242</v>
      </c>
      <c r="K313" s="5">
        <f t="shared" si="313"/>
        <v>144.1942535</v>
      </c>
      <c r="L313" s="7">
        <f t="shared" si="6"/>
        <v>-0.01936584325</v>
      </c>
    </row>
    <row r="314" ht="15.75" customHeight="1">
      <c r="A314" s="4">
        <f>IF(RETORNOS!A314="","",RETORNOS!A314)</f>
        <v>44865</v>
      </c>
      <c r="B314" s="7">
        <f>IF(RETORNOS!B314="","",OPTIMIZACION!$B$5*RETORNOS!B314+OPTIMIZACION!$B$6*RETORNOS!C314+OPTIMIZACION!$B$7*RETORNOS!D314+OPTIMIZACION!$B$8*RETORNOS!E314+OPTIMIZACION!$B$9*RETORNOS!F314+OPTIMIZACION!$B$10*RETORNOS!G314)</f>
        <v>-0.00280895984</v>
      </c>
      <c r="C314" s="7">
        <f>IF(RETORNOS!H314="","",RETORNOS!H314)</f>
        <v>0.008405003909</v>
      </c>
      <c r="D314" s="7">
        <f>IF(RETORNOS!I314="","",RETORNOS!I314)</f>
        <v>-0.009345242586</v>
      </c>
      <c r="E314" s="7">
        <f t="shared" si="2"/>
        <v>-0.0004701193383</v>
      </c>
      <c r="F314" s="7">
        <f t="shared" si="3"/>
        <v>-0.01121396375</v>
      </c>
      <c r="G314" s="7">
        <f t="shared" si="4"/>
        <v>-0.002338840502</v>
      </c>
      <c r="H314" s="5">
        <f t="shared" ref="H314:K314" si="314">IF(B314="","",H313*(1+B314))</f>
        <v>144.5866937</v>
      </c>
      <c r="I314" s="5">
        <f t="shared" si="314"/>
        <v>195.1181904</v>
      </c>
      <c r="J314" s="5">
        <f t="shared" si="314"/>
        <v>102.7510326</v>
      </c>
      <c r="K314" s="5">
        <f t="shared" si="314"/>
        <v>144.126465</v>
      </c>
      <c r="L314" s="7">
        <f t="shared" si="6"/>
        <v>-0.02212040521</v>
      </c>
    </row>
    <row r="315" ht="15.75" customHeight="1">
      <c r="A315" s="4">
        <f>IF(RETORNOS!A315="","",RETORNOS!A315)</f>
        <v>44866</v>
      </c>
      <c r="B315" s="7">
        <f>IF(RETORNOS!B315="","",OPTIMIZACION!$B$5*RETORNOS!B315+OPTIMIZACION!$B$6*RETORNOS!C315+OPTIMIZACION!$B$7*RETORNOS!D315+OPTIMIZACION!$B$8*RETORNOS!E315+OPTIMIZACION!$B$9*RETORNOS!F315+OPTIMIZACION!$B$10*RETORNOS!G315)</f>
        <v>0.01573697117</v>
      </c>
      <c r="C315" s="7">
        <f>IF(RETORNOS!H315="","",RETORNOS!H315)</f>
        <v>0.009664464888</v>
      </c>
      <c r="D315" s="7">
        <f>IF(RETORNOS!I315="","",RETORNOS!I315)</f>
        <v>0.003890573884</v>
      </c>
      <c r="E315" s="7">
        <f t="shared" si="2"/>
        <v>0.006777519386</v>
      </c>
      <c r="F315" s="7">
        <f t="shared" si="3"/>
        <v>0.006072506282</v>
      </c>
      <c r="G315" s="7">
        <f t="shared" si="4"/>
        <v>0.008959451784</v>
      </c>
      <c r="H315" s="5">
        <f t="shared" ref="H315:K315" si="315">IF(B315="","",H314*(1+B315))</f>
        <v>146.8620504</v>
      </c>
      <c r="I315" s="5">
        <f t="shared" si="315"/>
        <v>197.0039033</v>
      </c>
      <c r="J315" s="5">
        <f t="shared" si="315"/>
        <v>103.1507931</v>
      </c>
      <c r="K315" s="5">
        <f t="shared" si="315"/>
        <v>145.103285</v>
      </c>
      <c r="L315" s="7">
        <f t="shared" si="6"/>
        <v>-0.006731542218</v>
      </c>
    </row>
    <row r="316" ht="15.75" customHeight="1">
      <c r="A316" s="4">
        <f>IF(RETORNOS!A316="","",RETORNOS!A316)</f>
        <v>44867</v>
      </c>
      <c r="B316" s="7">
        <f>IF(RETORNOS!B316="","",OPTIMIZACION!$B$5*RETORNOS!B316+OPTIMIZACION!$B$6*RETORNOS!C316+OPTIMIZACION!$B$7*RETORNOS!D316+OPTIMIZACION!$B$8*RETORNOS!E316+OPTIMIZACION!$B$9*RETORNOS!F316+OPTIMIZACION!$B$10*RETORNOS!G316)</f>
        <v>-0.01498853463</v>
      </c>
      <c r="C316" s="7">
        <f>IF(RETORNOS!H316="","",RETORNOS!H316)</f>
        <v>-0.02409849098</v>
      </c>
      <c r="D316" s="7">
        <f>IF(RETORNOS!I316="","",RETORNOS!I316)</f>
        <v>-0.0096903891</v>
      </c>
      <c r="E316" s="7">
        <f t="shared" si="2"/>
        <v>-0.01689444004</v>
      </c>
      <c r="F316" s="7">
        <f t="shared" si="3"/>
        <v>0.009109956353</v>
      </c>
      <c r="G316" s="7">
        <f t="shared" si="4"/>
        <v>0.001905905411</v>
      </c>
      <c r="H316" s="5">
        <f t="shared" ref="H316:K316" si="316">IF(B316="","",H315*(1+B316))</f>
        <v>144.6608034</v>
      </c>
      <c r="I316" s="5">
        <f t="shared" si="316"/>
        <v>192.2564065</v>
      </c>
      <c r="J316" s="5">
        <f t="shared" si="316"/>
        <v>102.1512217</v>
      </c>
      <c r="K316" s="5">
        <f t="shared" si="316"/>
        <v>142.6518462</v>
      </c>
      <c r="L316" s="7">
        <f t="shared" si="6"/>
        <v>-0.02161918089</v>
      </c>
    </row>
    <row r="317" ht="15.75" customHeight="1">
      <c r="A317" s="4">
        <f>IF(RETORNOS!A317="","",RETORNOS!A317)</f>
        <v>44868</v>
      </c>
      <c r="B317" s="7">
        <f>IF(RETORNOS!B317="","",OPTIMIZACION!$B$5*RETORNOS!B317+OPTIMIZACION!$B$6*RETORNOS!C317+OPTIMIZACION!$B$7*RETORNOS!D317+OPTIMIZACION!$B$8*RETORNOS!E317+OPTIMIZACION!$B$9*RETORNOS!F317+OPTIMIZACION!$B$10*RETORNOS!G317)</f>
        <v>0.01086872382</v>
      </c>
      <c r="C317" s="7">
        <f>IF(RETORNOS!H317="","",RETORNOS!H317)</f>
        <v>0.01849432535</v>
      </c>
      <c r="D317" s="7">
        <f>IF(RETORNOS!I317="","",RETORNOS!I317)</f>
        <v>0.004369706477</v>
      </c>
      <c r="E317" s="7">
        <f t="shared" si="2"/>
        <v>0.01143201591</v>
      </c>
      <c r="F317" s="7">
        <f t="shared" si="3"/>
        <v>-0.007625601523</v>
      </c>
      <c r="G317" s="7">
        <f t="shared" si="4"/>
        <v>-0.0005632920883</v>
      </c>
      <c r="H317" s="5">
        <f t="shared" ref="H317:K317" si="317">IF(B317="","",H316*(1+B317))</f>
        <v>146.2330818</v>
      </c>
      <c r="I317" s="5">
        <f t="shared" si="317"/>
        <v>195.8120591</v>
      </c>
      <c r="J317" s="5">
        <f t="shared" si="317"/>
        <v>102.5975926</v>
      </c>
      <c r="K317" s="5">
        <f t="shared" si="317"/>
        <v>144.2826444</v>
      </c>
      <c r="L317" s="7">
        <f t="shared" si="6"/>
        <v>-0.01098542998</v>
      </c>
    </row>
    <row r="318" ht="15.75" customHeight="1">
      <c r="A318" s="4">
        <f>IF(RETORNOS!A318="","",RETORNOS!A318)</f>
        <v>44869</v>
      </c>
      <c r="B318" s="7">
        <f>IF(RETORNOS!B318="","",OPTIMIZACION!$B$5*RETORNOS!B318+OPTIMIZACION!$B$6*RETORNOS!C318+OPTIMIZACION!$B$7*RETORNOS!D318+OPTIMIZACION!$B$8*RETORNOS!E318+OPTIMIZACION!$B$9*RETORNOS!F318+OPTIMIZACION!$B$10*RETORNOS!G318)</f>
        <v>0.005337763508</v>
      </c>
      <c r="C318" s="7">
        <f>IF(RETORNOS!H318="","",RETORNOS!H318)</f>
        <v>0.01217830143</v>
      </c>
      <c r="D318" s="7">
        <f>IF(RETORNOS!I318="","",RETORNOS!I318)</f>
        <v>0.006141377698</v>
      </c>
      <c r="E318" s="7">
        <f t="shared" si="2"/>
        <v>0.009159839562</v>
      </c>
      <c r="F318" s="7">
        <f t="shared" si="3"/>
        <v>-0.006840537919</v>
      </c>
      <c r="G318" s="7">
        <f t="shared" si="4"/>
        <v>-0.003822076055</v>
      </c>
      <c r="H318" s="5">
        <f t="shared" ref="H318:K318" si="318">IF(B318="","",H317*(1+B318))</f>
        <v>147.0136394</v>
      </c>
      <c r="I318" s="5">
        <f t="shared" si="318"/>
        <v>198.1967173</v>
      </c>
      <c r="J318" s="5">
        <f t="shared" si="318"/>
        <v>103.2276832</v>
      </c>
      <c r="K318" s="5">
        <f t="shared" si="318"/>
        <v>145.6042503</v>
      </c>
      <c r="L318" s="7">
        <f t="shared" si="6"/>
        <v>-0.005706304097</v>
      </c>
    </row>
    <row r="319" ht="15.75" customHeight="1">
      <c r="A319" s="4">
        <f>IF(RETORNOS!A319="","",RETORNOS!A319)</f>
        <v>44872</v>
      </c>
      <c r="B319" s="7">
        <f>IF(RETORNOS!B319="","",OPTIMIZACION!$B$5*RETORNOS!B319+OPTIMIZACION!$B$6*RETORNOS!C319+OPTIMIZACION!$B$7*RETORNOS!D319+OPTIMIZACION!$B$8*RETORNOS!E319+OPTIMIZACION!$B$9*RETORNOS!F319+OPTIMIZACION!$B$10*RETORNOS!G319)</f>
        <v>0.001517191436</v>
      </c>
      <c r="C319" s="7">
        <f>IF(RETORNOS!H319="","",RETORNOS!H319)</f>
        <v>0.01717182343</v>
      </c>
      <c r="D319" s="7">
        <f>IF(RETORNOS!I319="","",RETORNOS!I319)</f>
        <v>-0.01907630853</v>
      </c>
      <c r="E319" s="7">
        <f t="shared" si="2"/>
        <v>-0.0009522425486</v>
      </c>
      <c r="F319" s="7">
        <f t="shared" si="3"/>
        <v>-0.015654632</v>
      </c>
      <c r="G319" s="7">
        <f t="shared" si="4"/>
        <v>0.002469433985</v>
      </c>
      <c r="H319" s="5">
        <f t="shared" ref="H319:K319" si="319">IF(B319="","",H318*(1+B319))</f>
        <v>147.2366872</v>
      </c>
      <c r="I319" s="5">
        <f t="shared" si="319"/>
        <v>201.6001164</v>
      </c>
      <c r="J319" s="5">
        <f t="shared" si="319"/>
        <v>101.25848</v>
      </c>
      <c r="K319" s="5">
        <f t="shared" si="319"/>
        <v>145.4655997</v>
      </c>
      <c r="L319" s="7">
        <f t="shared" si="6"/>
        <v>-0.004197770217</v>
      </c>
    </row>
    <row r="320" ht="15.75" customHeight="1">
      <c r="A320" s="4">
        <f>IF(RETORNOS!A320="","",RETORNOS!A320)</f>
        <v>44873</v>
      </c>
      <c r="B320" s="7">
        <f>IF(RETORNOS!B320="","",OPTIMIZACION!$B$5*RETORNOS!B320+OPTIMIZACION!$B$6*RETORNOS!C320+OPTIMIZACION!$B$7*RETORNOS!D320+OPTIMIZACION!$B$8*RETORNOS!E320+OPTIMIZACION!$B$9*RETORNOS!F320+OPTIMIZACION!$B$10*RETORNOS!G320)</f>
        <v>0.002646057629</v>
      </c>
      <c r="C320" s="7">
        <f>IF(RETORNOS!H320="","",RETORNOS!H320)</f>
        <v>0.0009692859033</v>
      </c>
      <c r="D320" s="7">
        <f>IF(RETORNOS!I320="","",RETORNOS!I320)</f>
        <v>0.006988660227</v>
      </c>
      <c r="E320" s="7">
        <f t="shared" si="2"/>
        <v>0.003978973065</v>
      </c>
      <c r="F320" s="7">
        <f t="shared" si="3"/>
        <v>0.001676771726</v>
      </c>
      <c r="G320" s="7">
        <f t="shared" si="4"/>
        <v>-0.001332915436</v>
      </c>
      <c r="H320" s="5">
        <f t="shared" ref="H320:K320" si="320">IF(B320="","",H319*(1+B320))</f>
        <v>147.626284</v>
      </c>
      <c r="I320" s="5">
        <f t="shared" si="320"/>
        <v>201.7955245</v>
      </c>
      <c r="J320" s="5">
        <f t="shared" si="320"/>
        <v>101.9661411</v>
      </c>
      <c r="K320" s="5">
        <f t="shared" si="320"/>
        <v>146.0444034</v>
      </c>
      <c r="L320" s="7">
        <f t="shared" si="6"/>
        <v>-0.00156282013</v>
      </c>
    </row>
    <row r="321" ht="15.75" customHeight="1">
      <c r="A321" s="4">
        <f>IF(RETORNOS!A321="","",RETORNOS!A321)</f>
        <v>44874</v>
      </c>
      <c r="B321" s="7">
        <f>IF(RETORNOS!B321="","",OPTIMIZACION!$B$5*RETORNOS!B321+OPTIMIZACION!$B$6*RETORNOS!C321+OPTIMIZACION!$B$7*RETORNOS!D321+OPTIMIZACION!$B$8*RETORNOS!E321+OPTIMIZACION!$B$9*RETORNOS!F321+OPTIMIZACION!$B$10*RETORNOS!G321)</f>
        <v>-0.03195533549</v>
      </c>
      <c r="C321" s="7">
        <f>IF(RETORNOS!H321="","",RETORNOS!H321)</f>
        <v>-0.04888111434</v>
      </c>
      <c r="D321" s="7">
        <f>IF(RETORNOS!I321="","",RETORNOS!I321)</f>
        <v>-0.007841043693</v>
      </c>
      <c r="E321" s="7">
        <f t="shared" si="2"/>
        <v>-0.02836107902</v>
      </c>
      <c r="F321" s="7">
        <f t="shared" si="3"/>
        <v>0.01692577885</v>
      </c>
      <c r="G321" s="7">
        <f t="shared" si="4"/>
        <v>-0.003594256471</v>
      </c>
      <c r="H321" s="5">
        <f t="shared" ref="H321:K321" si="321">IF(B321="","",H320*(1+B321))</f>
        <v>142.9088365</v>
      </c>
      <c r="I321" s="5">
        <f t="shared" si="321"/>
        <v>191.9315344</v>
      </c>
      <c r="J321" s="5">
        <f t="shared" si="321"/>
        <v>101.1666202</v>
      </c>
      <c r="K321" s="5">
        <f t="shared" si="321"/>
        <v>141.9024265</v>
      </c>
      <c r="L321" s="7">
        <f t="shared" si="6"/>
        <v>-0.03346821518</v>
      </c>
    </row>
    <row r="322" ht="15.75" customHeight="1">
      <c r="A322" s="4">
        <f>IF(RETORNOS!A322="","",RETORNOS!A322)</f>
        <v>44875</v>
      </c>
      <c r="B322" s="7">
        <f>IF(RETORNOS!B322="","",OPTIMIZACION!$B$5*RETORNOS!B322+OPTIMIZACION!$B$6*RETORNOS!C322+OPTIMIZACION!$B$7*RETORNOS!D322+OPTIMIZACION!$B$8*RETORNOS!E322+OPTIMIZACION!$B$9*RETORNOS!F322+OPTIMIZACION!$B$10*RETORNOS!G322)</f>
        <v>0.02756470877</v>
      </c>
      <c r="C322" s="7">
        <f>IF(RETORNOS!H322="","",RETORNOS!H322)</f>
        <v>0.02225197686</v>
      </c>
      <c r="D322" s="7">
        <f>IF(RETORNOS!I322="","",RETORNOS!I322)</f>
        <v>0.04713894167</v>
      </c>
      <c r="E322" s="7">
        <f t="shared" si="2"/>
        <v>0.03469545926</v>
      </c>
      <c r="F322" s="7">
        <f t="shared" si="3"/>
        <v>0.005312731913</v>
      </c>
      <c r="G322" s="7">
        <f t="shared" si="4"/>
        <v>-0.007130750492</v>
      </c>
      <c r="H322" s="5">
        <f t="shared" ref="H322:K322" si="322">IF(B322="","",H321*(1+B322))</f>
        <v>146.848077</v>
      </c>
      <c r="I322" s="5">
        <f t="shared" si="322"/>
        <v>196.2023905</v>
      </c>
      <c r="J322" s="5">
        <f t="shared" si="322"/>
        <v>105.9355076</v>
      </c>
      <c r="K322" s="5">
        <f t="shared" si="322"/>
        <v>146.8257964</v>
      </c>
      <c r="L322" s="7">
        <f t="shared" si="6"/>
        <v>-0.006826048011</v>
      </c>
    </row>
    <row r="323" ht="15.75" customHeight="1">
      <c r="A323" s="4">
        <f>IF(RETORNOS!A323="","",RETORNOS!A323)</f>
        <v>44876</v>
      </c>
      <c r="B323" s="7">
        <f>IF(RETORNOS!B323="","",OPTIMIZACION!$B$5*RETORNOS!B323+OPTIMIZACION!$B$6*RETORNOS!C323+OPTIMIZACION!$B$7*RETORNOS!D323+OPTIMIZACION!$B$8*RETORNOS!E323+OPTIMIZACION!$B$9*RETORNOS!F323+OPTIMIZACION!$B$10*RETORNOS!G323)</f>
        <v>0.01222002297</v>
      </c>
      <c r="C323" s="7">
        <f>IF(RETORNOS!H323="","",RETORNOS!H323)</f>
        <v>0.02906301435</v>
      </c>
      <c r="D323" s="7">
        <f>IF(RETORNOS!I323="","",RETORNOS!I323)</f>
        <v>-0.01118276531</v>
      </c>
      <c r="E323" s="7">
        <f t="shared" si="2"/>
        <v>0.008940124519</v>
      </c>
      <c r="F323" s="7">
        <f t="shared" si="3"/>
        <v>-0.01684299137</v>
      </c>
      <c r="G323" s="7">
        <f t="shared" si="4"/>
        <v>0.003279898455</v>
      </c>
      <c r="H323" s="5">
        <f t="shared" ref="H323:K323" si="323">IF(B323="","",H322*(1+B323))</f>
        <v>148.6425639</v>
      </c>
      <c r="I323" s="5">
        <f t="shared" si="323"/>
        <v>201.9046234</v>
      </c>
      <c r="J323" s="5">
        <f t="shared" si="323"/>
        <v>104.7508557</v>
      </c>
      <c r="K323" s="5">
        <f t="shared" si="323"/>
        <v>148.1384373</v>
      </c>
      <c r="L323" s="7">
        <f t="shared" si="6"/>
        <v>0</v>
      </c>
    </row>
    <row r="324" ht="15.75" customHeight="1">
      <c r="A324" s="4">
        <f>IF(RETORNOS!A324="","",RETORNOS!A324)</f>
        <v>44879</v>
      </c>
      <c r="B324" s="7">
        <f>IF(RETORNOS!B324="","",OPTIMIZACION!$B$5*RETORNOS!B324+OPTIMIZACION!$B$6*RETORNOS!C324+OPTIMIZACION!$B$7*RETORNOS!D324+OPTIMIZACION!$B$8*RETORNOS!E324+OPTIMIZACION!$B$9*RETORNOS!F324+OPTIMIZACION!$B$10*RETORNOS!G324)</f>
        <v>-0.002804753855</v>
      </c>
      <c r="C324" s="7">
        <f>IF(RETORNOS!H324="","",RETORNOS!H324)</f>
        <v>-0.00032420905</v>
      </c>
      <c r="D324" s="7">
        <f>IF(RETORNOS!I324="","",RETORNOS!I324)</f>
        <v>-0.01189710611</v>
      </c>
      <c r="E324" s="7">
        <f t="shared" si="2"/>
        <v>-0.00611065758</v>
      </c>
      <c r="F324" s="7">
        <f t="shared" si="3"/>
        <v>-0.002480544805</v>
      </c>
      <c r="G324" s="7">
        <f t="shared" si="4"/>
        <v>0.003305903724</v>
      </c>
      <c r="H324" s="5">
        <f t="shared" ref="H324:K324" si="324">IF(B324="","",H323*(1+B324))</f>
        <v>148.2256581</v>
      </c>
      <c r="I324" s="5">
        <f t="shared" si="324"/>
        <v>201.8391641</v>
      </c>
      <c r="J324" s="5">
        <f t="shared" si="324"/>
        <v>103.5046236</v>
      </c>
      <c r="K324" s="5">
        <f t="shared" si="324"/>
        <v>147.233214</v>
      </c>
      <c r="L324" s="7">
        <f t="shared" si="6"/>
        <v>-0.002804753855</v>
      </c>
    </row>
    <row r="325" ht="15.75" customHeight="1">
      <c r="A325" s="4">
        <f>IF(RETORNOS!A325="","",RETORNOS!A325)</f>
        <v>44880</v>
      </c>
      <c r="B325" s="7">
        <f>IF(RETORNOS!B325="","",OPTIMIZACION!$B$5*RETORNOS!B325+OPTIMIZACION!$B$6*RETORNOS!C325+OPTIMIZACION!$B$7*RETORNOS!D325+OPTIMIZACION!$B$8*RETORNOS!E325+OPTIMIZACION!$B$9*RETORNOS!F325+OPTIMIZACION!$B$10*RETORNOS!G325)</f>
        <v>0.007540480495</v>
      </c>
      <c r="C325" s="7">
        <f>IF(RETORNOS!H325="","",RETORNOS!H325)</f>
        <v>0.01052699856</v>
      </c>
      <c r="D325" s="7">
        <f>IF(RETORNOS!I325="","",RETORNOS!I325)</f>
        <v>0.01100165337</v>
      </c>
      <c r="E325" s="7">
        <f t="shared" si="2"/>
        <v>0.01076432596</v>
      </c>
      <c r="F325" s="7">
        <f t="shared" si="3"/>
        <v>-0.002986518061</v>
      </c>
      <c r="G325" s="7">
        <f t="shared" si="4"/>
        <v>-0.003223845468</v>
      </c>
      <c r="H325" s="5">
        <f t="shared" ref="H325:K325" si="325">IF(B325="","",H324*(1+B325))</f>
        <v>149.3433507</v>
      </c>
      <c r="I325" s="5">
        <f t="shared" si="325"/>
        <v>203.9639246</v>
      </c>
      <c r="J325" s="5">
        <f t="shared" si="325"/>
        <v>104.6433456</v>
      </c>
      <c r="K325" s="5">
        <f t="shared" si="325"/>
        <v>148.8180803</v>
      </c>
      <c r="L325" s="7">
        <f t="shared" si="6"/>
        <v>0</v>
      </c>
    </row>
    <row r="326" ht="15.75" customHeight="1">
      <c r="A326" s="4">
        <f>IF(RETORNOS!A326="","",RETORNOS!A326)</f>
        <v>44881</v>
      </c>
      <c r="B326" s="7">
        <f>IF(RETORNOS!B326="","",OPTIMIZACION!$B$5*RETORNOS!B326+OPTIMIZACION!$B$6*RETORNOS!C326+OPTIMIZACION!$B$7*RETORNOS!D326+OPTIMIZACION!$B$8*RETORNOS!E326+OPTIMIZACION!$B$9*RETORNOS!F326+OPTIMIZACION!$B$10*RETORNOS!G326)</f>
        <v>-0.00893972795</v>
      </c>
      <c r="C326" s="7">
        <f>IF(RETORNOS!H326="","",RETORNOS!H326)</f>
        <v>-0.02040913359</v>
      </c>
      <c r="D326" s="7">
        <f>IF(RETORNOS!I326="","",RETORNOS!I326)</f>
        <v>0.008970199042</v>
      </c>
      <c r="E326" s="7">
        <f t="shared" si="2"/>
        <v>-0.005719467275</v>
      </c>
      <c r="F326" s="7">
        <f t="shared" si="3"/>
        <v>0.01146940564</v>
      </c>
      <c r="G326" s="7">
        <f t="shared" si="4"/>
        <v>-0.003220260674</v>
      </c>
      <c r="H326" s="5">
        <f t="shared" ref="H326:K326" si="326">IF(B326="","",H325*(1+B326))</f>
        <v>148.0082618</v>
      </c>
      <c r="I326" s="5">
        <f t="shared" si="326"/>
        <v>199.8011977</v>
      </c>
      <c r="J326" s="5">
        <f t="shared" si="326"/>
        <v>105.5820172</v>
      </c>
      <c r="K326" s="5">
        <f t="shared" si="326"/>
        <v>147.9669202</v>
      </c>
      <c r="L326" s="7">
        <f t="shared" si="6"/>
        <v>-0.00893972795</v>
      </c>
    </row>
    <row r="327" ht="15.75" customHeight="1">
      <c r="A327" s="4">
        <f>IF(RETORNOS!A327="","",RETORNOS!A327)</f>
        <v>44882</v>
      </c>
      <c r="B327" s="7">
        <f>IF(RETORNOS!B327="","",OPTIMIZACION!$B$5*RETORNOS!B327+OPTIMIZACION!$B$6*RETORNOS!C327+OPTIMIZACION!$B$7*RETORNOS!D327+OPTIMIZACION!$B$8*RETORNOS!E327+OPTIMIZACION!$B$9*RETORNOS!F327+OPTIMIZACION!$B$10*RETORNOS!G327)</f>
        <v>-0.01143456007</v>
      </c>
      <c r="C327" s="7">
        <f>IF(RETORNOS!H327="","",RETORNOS!H327)</f>
        <v>0.002169586953</v>
      </c>
      <c r="D327" s="7">
        <f>IF(RETORNOS!I327="","",RETORNOS!I327)</f>
        <v>-0.01748766647</v>
      </c>
      <c r="E327" s="7">
        <f t="shared" si="2"/>
        <v>-0.007659039761</v>
      </c>
      <c r="F327" s="7">
        <f t="shared" si="3"/>
        <v>-0.01360414702</v>
      </c>
      <c r="G327" s="7">
        <f t="shared" si="4"/>
        <v>-0.003775520311</v>
      </c>
      <c r="H327" s="5">
        <f t="shared" ref="H327:K327" si="327">IF(B327="","",H326*(1+B327))</f>
        <v>146.3158525</v>
      </c>
      <c r="I327" s="5">
        <f t="shared" si="327"/>
        <v>200.2346837</v>
      </c>
      <c r="J327" s="5">
        <f t="shared" si="327"/>
        <v>103.7356341</v>
      </c>
      <c r="K327" s="5">
        <f t="shared" si="327"/>
        <v>146.8336357</v>
      </c>
      <c r="L327" s="7">
        <f t="shared" si="6"/>
        <v>-0.02027206616</v>
      </c>
    </row>
    <row r="328" ht="15.75" customHeight="1">
      <c r="A328" s="4">
        <f>IF(RETORNOS!A328="","",RETORNOS!A328)</f>
        <v>44883</v>
      </c>
      <c r="B328" s="7">
        <f>IF(RETORNOS!B328="","",OPTIMIZACION!$B$5*RETORNOS!B328+OPTIMIZACION!$B$6*RETORNOS!C328+OPTIMIZACION!$B$7*RETORNOS!D328+OPTIMIZACION!$B$8*RETORNOS!E328+OPTIMIZACION!$B$9*RETORNOS!F328+OPTIMIZACION!$B$10*RETORNOS!G328)</f>
        <v>0.007882526466</v>
      </c>
      <c r="C328" s="7">
        <f>IF(RETORNOS!H328="","",RETORNOS!H328)</f>
        <v>-0.007901606474</v>
      </c>
      <c r="D328" s="7">
        <f>IF(RETORNOS!I328="","",RETORNOS!I328)</f>
        <v>0.02120653578</v>
      </c>
      <c r="E328" s="7">
        <f t="shared" si="2"/>
        <v>0.006652464655</v>
      </c>
      <c r="F328" s="7">
        <f t="shared" si="3"/>
        <v>0.01578413294</v>
      </c>
      <c r="G328" s="7">
        <f t="shared" si="4"/>
        <v>0.001230061811</v>
      </c>
      <c r="H328" s="5">
        <f t="shared" ref="H328:K328" si="328">IF(B328="","",H327*(1+B328))</f>
        <v>147.469191</v>
      </c>
      <c r="I328" s="5">
        <f t="shared" si="328"/>
        <v>198.6525081</v>
      </c>
      <c r="J328" s="5">
        <f t="shared" si="328"/>
        <v>105.9355076</v>
      </c>
      <c r="K328" s="5">
        <f t="shared" si="328"/>
        <v>147.8104412</v>
      </c>
      <c r="L328" s="7">
        <f t="shared" si="6"/>
        <v>-0.0125493348</v>
      </c>
    </row>
    <row r="329" ht="15.75" customHeight="1">
      <c r="A329" s="4">
        <f>IF(RETORNOS!A329="","",RETORNOS!A329)</f>
        <v>44886</v>
      </c>
      <c r="B329" s="7">
        <f>IF(RETORNOS!B329="","",OPTIMIZACION!$B$5*RETORNOS!B329+OPTIMIZACION!$B$6*RETORNOS!C329+OPTIMIZACION!$B$7*RETORNOS!D329+OPTIMIZACION!$B$8*RETORNOS!E329+OPTIMIZACION!$B$9*RETORNOS!F329+OPTIMIZACION!$B$10*RETORNOS!G329)</f>
        <v>-0.004995873283</v>
      </c>
      <c r="C329" s="7">
        <f>IF(RETORNOS!H329="","",RETORNOS!H329)</f>
        <v>-0.01353214984</v>
      </c>
      <c r="D329" s="7">
        <f>IF(RETORNOS!I329="","",RETORNOS!I329)</f>
        <v>0.004505864368</v>
      </c>
      <c r="E329" s="7">
        <f t="shared" si="2"/>
        <v>-0.004513142736</v>
      </c>
      <c r="F329" s="7">
        <f t="shared" si="3"/>
        <v>0.008536276556</v>
      </c>
      <c r="G329" s="7">
        <f t="shared" si="4"/>
        <v>-0.0004827305474</v>
      </c>
      <c r="H329" s="5">
        <f t="shared" ref="H329:K329" si="329">IF(B329="","",H328*(1+B329))</f>
        <v>146.7324536</v>
      </c>
      <c r="I329" s="5">
        <f t="shared" si="329"/>
        <v>195.9643126</v>
      </c>
      <c r="J329" s="5">
        <f t="shared" si="329"/>
        <v>106.4128386</v>
      </c>
      <c r="K329" s="5">
        <f t="shared" si="329"/>
        <v>147.1433516</v>
      </c>
      <c r="L329" s="7">
        <f t="shared" si="6"/>
        <v>-0.01748251319</v>
      </c>
    </row>
    <row r="330" ht="15.75" customHeight="1">
      <c r="A330" s="4">
        <f>IF(RETORNOS!A330="","",RETORNOS!A330)</f>
        <v>44887</v>
      </c>
      <c r="B330" s="7">
        <f>IF(RETORNOS!B330="","",OPTIMIZACION!$B$5*RETORNOS!B330+OPTIMIZACION!$B$6*RETORNOS!C330+OPTIMIZACION!$B$7*RETORNOS!D330+OPTIMIZACION!$B$8*RETORNOS!E330+OPTIMIZACION!$B$9*RETORNOS!F330+OPTIMIZACION!$B$10*RETORNOS!G330)</f>
        <v>0.02092919534</v>
      </c>
      <c r="C330" s="7">
        <f>IF(RETORNOS!H330="","",RETORNOS!H330)</f>
        <v>0.03130544084</v>
      </c>
      <c r="D330" s="7">
        <f>IF(RETORNOS!I330="","",RETORNOS!I330)</f>
        <v>0.008530093518</v>
      </c>
      <c r="E330" s="7">
        <f t="shared" si="2"/>
        <v>0.01991776718</v>
      </c>
      <c r="F330" s="7">
        <f t="shared" si="3"/>
        <v>-0.0103762455</v>
      </c>
      <c r="G330" s="7">
        <f t="shared" si="4"/>
        <v>0.001011428164</v>
      </c>
      <c r="H330" s="5">
        <f t="shared" ref="H330:K330" si="330">IF(B330="","",H329*(1+B330))</f>
        <v>149.8034458</v>
      </c>
      <c r="I330" s="5">
        <f t="shared" si="330"/>
        <v>202.0990617</v>
      </c>
      <c r="J330" s="5">
        <f t="shared" si="330"/>
        <v>107.3205501</v>
      </c>
      <c r="K330" s="5">
        <f t="shared" si="330"/>
        <v>150.0741186</v>
      </c>
      <c r="L330" s="7">
        <f t="shared" si="6"/>
        <v>0</v>
      </c>
    </row>
    <row r="331" ht="15.75" customHeight="1">
      <c r="A331" s="4">
        <f>IF(RETORNOS!A331="","",RETORNOS!A331)</f>
        <v>44888</v>
      </c>
      <c r="B331" s="7">
        <f>IF(RETORNOS!B331="","",OPTIMIZACION!$B$5*RETORNOS!B331+OPTIMIZACION!$B$6*RETORNOS!C331+OPTIMIZACION!$B$7*RETORNOS!D331+OPTIMIZACION!$B$8*RETORNOS!E331+OPTIMIZACION!$B$9*RETORNOS!F331+OPTIMIZACION!$B$10*RETORNOS!G331)</f>
        <v>0.002251474195</v>
      </c>
      <c r="C331" s="7">
        <f>IF(RETORNOS!H331="","",RETORNOS!H331)</f>
        <v>-0.01083495882</v>
      </c>
      <c r="D331" s="7">
        <f>IF(RETORNOS!I331="","",RETORNOS!I331)</f>
        <v>0.01118744115</v>
      </c>
      <c r="E331" s="7">
        <f t="shared" si="2"/>
        <v>0.0001762411686</v>
      </c>
      <c r="F331" s="7">
        <f t="shared" si="3"/>
        <v>0.01308643301</v>
      </c>
      <c r="G331" s="7">
        <f t="shared" si="4"/>
        <v>0.002075233027</v>
      </c>
      <c r="H331" s="5">
        <f t="shared" ref="H331:K331" si="331">IF(B331="","",H330*(1+B331))</f>
        <v>150.1407244</v>
      </c>
      <c r="I331" s="5">
        <f t="shared" si="331"/>
        <v>199.9093267</v>
      </c>
      <c r="J331" s="5">
        <f t="shared" si="331"/>
        <v>108.5211924</v>
      </c>
      <c r="K331" s="5">
        <f t="shared" si="331"/>
        <v>150.1005679</v>
      </c>
      <c r="L331" s="7">
        <f t="shared" si="6"/>
        <v>0</v>
      </c>
    </row>
    <row r="332" ht="15.75" customHeight="1">
      <c r="A332" s="4">
        <f>IF(RETORNOS!A332="","",RETORNOS!A332)</f>
        <v>44890</v>
      </c>
      <c r="B332" s="7">
        <f>IF(RETORNOS!B332="","",OPTIMIZACION!$B$5*RETORNOS!B332+OPTIMIZACION!$B$6*RETORNOS!C332+OPTIMIZACION!$B$7*RETORNOS!D332+OPTIMIZACION!$B$8*RETORNOS!E332+OPTIMIZACION!$B$9*RETORNOS!F332+OPTIMIZACION!$B$10*RETORNOS!G332)</f>
        <v>0.009702891604</v>
      </c>
      <c r="C332" s="7">
        <f>IF(RETORNOS!H332="","",RETORNOS!H332)</f>
        <v>-0.003686787959</v>
      </c>
      <c r="D332" s="7">
        <f>IF(RETORNOS!I332="","",RETORNOS!I332)</f>
        <v>0.005809287336</v>
      </c>
      <c r="E332" s="7">
        <f t="shared" si="2"/>
        <v>0.001061249688</v>
      </c>
      <c r="F332" s="7">
        <f t="shared" si="3"/>
        <v>0.01338967956</v>
      </c>
      <c r="G332" s="7">
        <f t="shared" si="4"/>
        <v>0.008641641916</v>
      </c>
      <c r="H332" s="5">
        <f t="shared" ref="H332:K332" si="332">IF(B332="","",H331*(1+B332))</f>
        <v>151.5975236</v>
      </c>
      <c r="I332" s="5">
        <f t="shared" si="332"/>
        <v>199.1723034</v>
      </c>
      <c r="J332" s="5">
        <f t="shared" si="332"/>
        <v>109.1516232</v>
      </c>
      <c r="K332" s="5">
        <f t="shared" si="332"/>
        <v>150.2598621</v>
      </c>
      <c r="L332" s="7">
        <f t="shared" si="6"/>
        <v>0</v>
      </c>
    </row>
    <row r="333" ht="15.75" customHeight="1">
      <c r="A333" s="4">
        <f>IF(RETORNOS!A333="","",RETORNOS!A333)</f>
        <v>44893</v>
      </c>
      <c r="B333" s="7">
        <f>IF(RETORNOS!B333="","",OPTIMIZACION!$B$5*RETORNOS!B333+OPTIMIZACION!$B$6*RETORNOS!C333+OPTIMIZACION!$B$7*RETORNOS!D333+OPTIMIZACION!$B$8*RETORNOS!E333+OPTIMIZACION!$B$9*RETORNOS!F333+OPTIMIZACION!$B$10*RETORNOS!G333)</f>
        <v>-0.01660150882</v>
      </c>
      <c r="C333" s="7">
        <f>IF(RETORNOS!H333="","",RETORNOS!H333)</f>
        <v>-0.02743187678</v>
      </c>
      <c r="D333" s="7">
        <f>IF(RETORNOS!I333="","",RETORNOS!I333)</f>
        <v>-0.01028598145</v>
      </c>
      <c r="E333" s="7">
        <f t="shared" si="2"/>
        <v>-0.01885892911</v>
      </c>
      <c r="F333" s="7">
        <f t="shared" si="3"/>
        <v>0.01083036796</v>
      </c>
      <c r="G333" s="7">
        <f t="shared" si="4"/>
        <v>0.002257420295</v>
      </c>
      <c r="H333" s="5">
        <f t="shared" ref="H333:K333" si="333">IF(B333="","",H332*(1+B333))</f>
        <v>149.080776</v>
      </c>
      <c r="I333" s="5">
        <f t="shared" si="333"/>
        <v>193.7086334</v>
      </c>
      <c r="J333" s="5">
        <f t="shared" si="333"/>
        <v>108.0288916</v>
      </c>
      <c r="K333" s="5">
        <f t="shared" si="333"/>
        <v>147.426122</v>
      </c>
      <c r="L333" s="7">
        <f t="shared" si="6"/>
        <v>-0.01660150882</v>
      </c>
    </row>
    <row r="334" ht="15.75" customHeight="1">
      <c r="A334" s="4">
        <f>IF(RETORNOS!A334="","",RETORNOS!A334)</f>
        <v>44894</v>
      </c>
      <c r="B334" s="7">
        <f>IF(RETORNOS!B334="","",OPTIMIZACION!$B$5*RETORNOS!B334+OPTIMIZACION!$B$6*RETORNOS!C334+OPTIMIZACION!$B$7*RETORNOS!D334+OPTIMIZACION!$B$8*RETORNOS!E334+OPTIMIZACION!$B$9*RETORNOS!F334+OPTIMIZACION!$B$10*RETORNOS!G334)</f>
        <v>0.0117302883</v>
      </c>
      <c r="C334" s="7">
        <f>IF(RETORNOS!H334="","",RETORNOS!H334)</f>
        <v>0.01511408153</v>
      </c>
      <c r="D334" s="7">
        <f>IF(RETORNOS!I334="","",RETORNOS!I334)</f>
        <v>-0.007410440123</v>
      </c>
      <c r="E334" s="7">
        <f t="shared" si="2"/>
        <v>0.003851820703</v>
      </c>
      <c r="F334" s="7">
        <f t="shared" si="3"/>
        <v>-0.003383793227</v>
      </c>
      <c r="G334" s="7">
        <f t="shared" si="4"/>
        <v>0.007878467599</v>
      </c>
      <c r="H334" s="5">
        <f t="shared" ref="H334:K334" si="334">IF(B334="","",H333*(1+B334))</f>
        <v>150.8295365</v>
      </c>
      <c r="I334" s="5">
        <f t="shared" si="334"/>
        <v>196.6363614</v>
      </c>
      <c r="J334" s="5">
        <f t="shared" si="334"/>
        <v>107.22835</v>
      </c>
      <c r="K334" s="5">
        <f t="shared" si="334"/>
        <v>147.993981</v>
      </c>
      <c r="L334" s="7">
        <f t="shared" si="6"/>
        <v>-0.005065961004</v>
      </c>
    </row>
    <row r="335" ht="15.75" customHeight="1">
      <c r="A335" s="4">
        <f>IF(RETORNOS!A335="","",RETORNOS!A335)</f>
        <v>44895</v>
      </c>
      <c r="B335" s="7">
        <f>IF(RETORNOS!B335="","",OPTIMIZACION!$B$5*RETORNOS!B335+OPTIMIZACION!$B$6*RETORNOS!C335+OPTIMIZACION!$B$7*RETORNOS!D335+OPTIMIZACION!$B$8*RETORNOS!E335+OPTIMIZACION!$B$9*RETORNOS!F335+OPTIMIZACION!$B$10*RETORNOS!G335)</f>
        <v>0.01006137645</v>
      </c>
      <c r="C335" s="7">
        <f>IF(RETORNOS!H335="","",RETORNOS!H335)</f>
        <v>0.004958905934</v>
      </c>
      <c r="D335" s="7">
        <f>IF(RETORNOS!I335="","",RETORNOS!I335)</f>
        <v>0.02496414656</v>
      </c>
      <c r="E335" s="7">
        <f t="shared" si="2"/>
        <v>0.01496152625</v>
      </c>
      <c r="F335" s="7">
        <f t="shared" si="3"/>
        <v>0.005102470515</v>
      </c>
      <c r="G335" s="7">
        <f t="shared" si="4"/>
        <v>-0.004900149799</v>
      </c>
      <c r="H335" s="5">
        <f t="shared" ref="H335:K335" si="335">IF(B335="","",H334*(1+B335))</f>
        <v>152.3470892</v>
      </c>
      <c r="I335" s="5">
        <f t="shared" si="335"/>
        <v>197.6114627</v>
      </c>
      <c r="J335" s="5">
        <f t="shared" si="335"/>
        <v>109.9052142</v>
      </c>
      <c r="K335" s="5">
        <f t="shared" si="335"/>
        <v>150.2081968</v>
      </c>
      <c r="L335" s="7">
        <f t="shared" si="6"/>
        <v>0</v>
      </c>
    </row>
    <row r="336" ht="15.75" customHeight="1">
      <c r="A336" s="4">
        <f>IF(RETORNOS!A336="","",RETORNOS!A336)</f>
        <v>44896</v>
      </c>
      <c r="B336" s="7">
        <f>IF(RETORNOS!B336="","",OPTIMIZACION!$B$5*RETORNOS!B336+OPTIMIZACION!$B$6*RETORNOS!C336+OPTIMIZACION!$B$7*RETORNOS!D336+OPTIMIZACION!$B$8*RETORNOS!E336+OPTIMIZACION!$B$9*RETORNOS!F336+OPTIMIZACION!$B$10*RETORNOS!G336)</f>
        <v>0.0009987923859</v>
      </c>
      <c r="C336" s="7">
        <f>IF(RETORNOS!H336="","",RETORNOS!H336)</f>
        <v>-0.003290442259</v>
      </c>
      <c r="D336" s="7">
        <f>IF(RETORNOS!I336="","",RETORNOS!I336)</f>
        <v>-0.0008358098068</v>
      </c>
      <c r="E336" s="7">
        <f t="shared" si="2"/>
        <v>-0.002063126033</v>
      </c>
      <c r="F336" s="7">
        <f t="shared" si="3"/>
        <v>0.004289234645</v>
      </c>
      <c r="G336" s="7">
        <f t="shared" si="4"/>
        <v>0.003061918419</v>
      </c>
      <c r="H336" s="5">
        <f t="shared" ref="H336:K336" si="336">IF(B336="","",H335*(1+B336))</f>
        <v>152.4992523</v>
      </c>
      <c r="I336" s="5">
        <f t="shared" si="336"/>
        <v>196.9612335</v>
      </c>
      <c r="J336" s="5">
        <f t="shared" si="336"/>
        <v>109.8133544</v>
      </c>
      <c r="K336" s="5">
        <f t="shared" si="336"/>
        <v>149.8982984</v>
      </c>
      <c r="L336" s="7">
        <f t="shared" si="6"/>
        <v>0</v>
      </c>
    </row>
    <row r="337" ht="15.75" customHeight="1">
      <c r="A337" s="4">
        <f>IF(RETORNOS!A337="","",RETORNOS!A337)</f>
        <v>44897</v>
      </c>
      <c r="B337" s="7">
        <f>IF(RETORNOS!B337="","",OPTIMIZACION!$B$5*RETORNOS!B337+OPTIMIZACION!$B$6*RETORNOS!C337+OPTIMIZACION!$B$7*RETORNOS!D337+OPTIMIZACION!$B$8*RETORNOS!E337+OPTIMIZACION!$B$9*RETORNOS!F337+OPTIMIZACION!$B$10*RETORNOS!G337)</f>
        <v>-0.006958758838</v>
      </c>
      <c r="C337" s="7">
        <f>IF(RETORNOS!H337="","",RETORNOS!H337)</f>
        <v>-0.00594530321</v>
      </c>
      <c r="D337" s="7">
        <f>IF(RETORNOS!I337="","",RETORNOS!I337)</f>
        <v>-0.004765002943</v>
      </c>
      <c r="E337" s="7">
        <f t="shared" si="2"/>
        <v>-0.005355153077</v>
      </c>
      <c r="F337" s="7">
        <f t="shared" si="3"/>
        <v>-0.001013455628</v>
      </c>
      <c r="G337" s="7">
        <f t="shared" si="4"/>
        <v>-0.001603605761</v>
      </c>
      <c r="H337" s="5">
        <f t="shared" ref="H337:K337" si="337">IF(B337="","",H336*(1+B337))</f>
        <v>151.4380468</v>
      </c>
      <c r="I337" s="5">
        <f t="shared" si="337"/>
        <v>195.7902393</v>
      </c>
      <c r="J337" s="5">
        <f t="shared" si="337"/>
        <v>109.2900934</v>
      </c>
      <c r="K337" s="5">
        <f t="shared" si="337"/>
        <v>149.09557</v>
      </c>
      <c r="L337" s="7">
        <f t="shared" si="6"/>
        <v>-0.006958758838</v>
      </c>
    </row>
    <row r="338" ht="15.75" customHeight="1">
      <c r="A338" s="4">
        <f>IF(RETORNOS!A338="","",RETORNOS!A338)</f>
        <v>44900</v>
      </c>
      <c r="B338" s="7">
        <f>IF(RETORNOS!B338="","",OPTIMIZACION!$B$5*RETORNOS!B338+OPTIMIZACION!$B$6*RETORNOS!C338+OPTIMIZACION!$B$7*RETORNOS!D338+OPTIMIZACION!$B$8*RETORNOS!E338+OPTIMIZACION!$B$9*RETORNOS!F338+OPTIMIZACION!$B$10*RETORNOS!G338)</f>
        <v>-0.0207593022</v>
      </c>
      <c r="C338" s="7">
        <f>IF(RETORNOS!H338="","",RETORNOS!H338)</f>
        <v>-0.02967398734</v>
      </c>
      <c r="D338" s="7">
        <f>IF(RETORNOS!I338="","",RETORNOS!I338)</f>
        <v>-0.005631443941</v>
      </c>
      <c r="E338" s="7">
        <f t="shared" si="2"/>
        <v>-0.01765271564</v>
      </c>
      <c r="F338" s="7">
        <f t="shared" si="3"/>
        <v>0.008914685139</v>
      </c>
      <c r="G338" s="7">
        <f t="shared" si="4"/>
        <v>-0.00310658656</v>
      </c>
      <c r="H338" s="5">
        <f t="shared" ref="H338:K338" si="338">IF(B338="","",H337*(1+B338))</f>
        <v>148.2942986</v>
      </c>
      <c r="I338" s="5">
        <f t="shared" si="338"/>
        <v>189.9803622</v>
      </c>
      <c r="J338" s="5">
        <f t="shared" si="338"/>
        <v>108.6746324</v>
      </c>
      <c r="K338" s="5">
        <f t="shared" si="338"/>
        <v>146.4636283</v>
      </c>
      <c r="L338" s="7">
        <f t="shared" si="6"/>
        <v>-0.02757360206</v>
      </c>
    </row>
    <row r="339" ht="15.75" customHeight="1">
      <c r="A339" s="4">
        <f>IF(RETORNOS!A339="","",RETORNOS!A339)</f>
        <v>44901</v>
      </c>
      <c r="B339" s="7">
        <f>IF(RETORNOS!B339="","",OPTIMIZACION!$B$5*RETORNOS!B339+OPTIMIZACION!$B$6*RETORNOS!C339+OPTIMIZACION!$B$7*RETORNOS!D339+OPTIMIZACION!$B$8*RETORNOS!E339+OPTIMIZACION!$B$9*RETORNOS!F339+OPTIMIZACION!$B$10*RETORNOS!G339)</f>
        <v>-0.009408204736</v>
      </c>
      <c r="C339" s="7">
        <f>IF(RETORNOS!H339="","",RETORNOS!H339)</f>
        <v>-0.02635998428</v>
      </c>
      <c r="D339" s="7">
        <f>IF(RETORNOS!I339="","",RETORNOS!I339)</f>
        <v>0.006233114084</v>
      </c>
      <c r="E339" s="7">
        <f t="shared" si="2"/>
        <v>-0.0100634351</v>
      </c>
      <c r="F339" s="7">
        <f t="shared" si="3"/>
        <v>0.01695177954</v>
      </c>
      <c r="G339" s="7">
        <f t="shared" si="4"/>
        <v>0.0006552303608</v>
      </c>
      <c r="H339" s="5">
        <f t="shared" ref="H339:K339" si="339">IF(B339="","",H338*(1+B339))</f>
        <v>146.8991155</v>
      </c>
      <c r="I339" s="5">
        <f t="shared" si="339"/>
        <v>184.9724828</v>
      </c>
      <c r="J339" s="5">
        <f t="shared" si="339"/>
        <v>109.3520138</v>
      </c>
      <c r="K339" s="5">
        <f t="shared" si="339"/>
        <v>144.9897011</v>
      </c>
      <c r="L339" s="7">
        <f t="shared" si="6"/>
        <v>-0.0367223887</v>
      </c>
    </row>
    <row r="340" ht="15.75" customHeight="1">
      <c r="A340" s="4">
        <f>IF(RETORNOS!A340="","",RETORNOS!A340)</f>
        <v>44902</v>
      </c>
      <c r="B340" s="7">
        <f>IF(RETORNOS!B340="","",OPTIMIZACION!$B$5*RETORNOS!B340+OPTIMIZACION!$B$6*RETORNOS!C340+OPTIMIZACION!$B$7*RETORNOS!D340+OPTIMIZACION!$B$8*RETORNOS!E340+OPTIMIZACION!$B$9*RETORNOS!F340+OPTIMIZACION!$B$10*RETORNOS!G340)</f>
        <v>0.002451521079</v>
      </c>
      <c r="C340" s="7">
        <f>IF(RETORNOS!H340="","",RETORNOS!H340)</f>
        <v>-0.002343516533</v>
      </c>
      <c r="D340" s="7">
        <f>IF(RETORNOS!I340="","",RETORNOS!I340)</f>
        <v>-0.004645099467</v>
      </c>
      <c r="E340" s="7">
        <f t="shared" si="2"/>
        <v>-0.003494308</v>
      </c>
      <c r="F340" s="7">
        <f t="shared" si="3"/>
        <v>0.004795037612</v>
      </c>
      <c r="G340" s="7">
        <f t="shared" si="4"/>
        <v>0.005945829079</v>
      </c>
      <c r="H340" s="5">
        <f t="shared" ref="H340:K340" si="340">IF(B340="","",H339*(1+B340))</f>
        <v>147.2592418</v>
      </c>
      <c r="I340" s="5">
        <f t="shared" si="340"/>
        <v>184.5389968</v>
      </c>
      <c r="J340" s="5">
        <f t="shared" si="340"/>
        <v>108.8440628</v>
      </c>
      <c r="K340" s="5">
        <f t="shared" si="340"/>
        <v>144.4830624</v>
      </c>
      <c r="L340" s="7">
        <f t="shared" si="6"/>
        <v>-0.03436089333</v>
      </c>
    </row>
    <row r="341" ht="15.75" customHeight="1">
      <c r="A341" s="4">
        <f>IF(RETORNOS!A341="","",RETORNOS!A341)</f>
        <v>44903</v>
      </c>
      <c r="B341" s="7">
        <f>IF(RETORNOS!B341="","",OPTIMIZACION!$B$5*RETORNOS!B341+OPTIMIZACION!$B$6*RETORNOS!C341+OPTIMIZACION!$B$7*RETORNOS!D341+OPTIMIZACION!$B$8*RETORNOS!E341+OPTIMIZACION!$B$9*RETORNOS!F341+OPTIMIZACION!$B$10*RETORNOS!G341)</f>
        <v>-0.004368035121</v>
      </c>
      <c r="C341" s="7">
        <f>IF(RETORNOS!H341="","",RETORNOS!H341)</f>
        <v>-0.004464191874</v>
      </c>
      <c r="D341" s="7">
        <f>IF(RETORNOS!I341="","",RETORNOS!I341)</f>
        <v>0.006501605084</v>
      </c>
      <c r="E341" s="7">
        <f t="shared" si="2"/>
        <v>0.001018706605</v>
      </c>
      <c r="F341" s="7">
        <f t="shared" si="3"/>
        <v>0.00009615675285</v>
      </c>
      <c r="G341" s="7">
        <f t="shared" si="4"/>
        <v>-0.005386741726</v>
      </c>
      <c r="H341" s="5">
        <f t="shared" ref="H341:K341" si="341">IF(B341="","",H340*(1+B341))</f>
        <v>146.6160082</v>
      </c>
      <c r="I341" s="5">
        <f t="shared" si="341"/>
        <v>183.7151793</v>
      </c>
      <c r="J341" s="5">
        <f t="shared" si="341"/>
        <v>109.5517239</v>
      </c>
      <c r="K341" s="5">
        <f t="shared" si="341"/>
        <v>144.6302483</v>
      </c>
      <c r="L341" s="7">
        <f t="shared" si="6"/>
        <v>-0.03857883887</v>
      </c>
    </row>
    <row r="342" ht="15.75" customHeight="1">
      <c r="A342" s="4">
        <f>IF(RETORNOS!A342="","",RETORNOS!A342)</f>
        <v>44904</v>
      </c>
      <c r="B342" s="7">
        <f>IF(RETORNOS!B342="","",OPTIMIZACION!$B$5*RETORNOS!B342+OPTIMIZACION!$B$6*RETORNOS!C342+OPTIMIZACION!$B$7*RETORNOS!D342+OPTIMIZACION!$B$8*RETORNOS!E342+OPTIMIZACION!$B$9*RETORNOS!F342+OPTIMIZACION!$B$10*RETORNOS!G342)</f>
        <v>-0.004637896709</v>
      </c>
      <c r="C342" s="7">
        <f>IF(RETORNOS!H342="","",RETORNOS!H342)</f>
        <v>-0.02431344603</v>
      </c>
      <c r="D342" s="7">
        <f>IF(RETORNOS!I342="","",RETORNOS!I342)</f>
        <v>-0.005192530458</v>
      </c>
      <c r="E342" s="7">
        <f t="shared" si="2"/>
        <v>-0.01475298825</v>
      </c>
      <c r="F342" s="7">
        <f t="shared" si="3"/>
        <v>0.01967554932</v>
      </c>
      <c r="G342" s="7">
        <f t="shared" si="4"/>
        <v>0.01011509154</v>
      </c>
      <c r="H342" s="5">
        <f t="shared" ref="H342:K342" si="342">IF(B342="","",H341*(1+B342))</f>
        <v>145.9360183</v>
      </c>
      <c r="I342" s="5">
        <f t="shared" si="342"/>
        <v>179.2484302</v>
      </c>
      <c r="J342" s="5">
        <f t="shared" si="342"/>
        <v>108.9828732</v>
      </c>
      <c r="K342" s="5">
        <f t="shared" si="342"/>
        <v>142.4965199</v>
      </c>
      <c r="L342" s="7">
        <f t="shared" si="6"/>
        <v>-0.04303781091</v>
      </c>
    </row>
    <row r="343" ht="15.75" customHeight="1">
      <c r="A343" s="4">
        <f>IF(RETORNOS!A343="","",RETORNOS!A343)</f>
        <v>44907</v>
      </c>
      <c r="B343" s="7">
        <f>IF(RETORNOS!B343="","",OPTIMIZACION!$B$5*RETORNOS!B343+OPTIMIZACION!$B$6*RETORNOS!C343+OPTIMIZACION!$B$7*RETORNOS!D343+OPTIMIZACION!$B$8*RETORNOS!E343+OPTIMIZACION!$B$9*RETORNOS!F343+OPTIMIZACION!$B$10*RETORNOS!G343)</f>
        <v>0.0242139615</v>
      </c>
      <c r="C343" s="7">
        <f>IF(RETORNOS!H343="","",RETORNOS!H343)</f>
        <v>0.02624752146</v>
      </c>
      <c r="D343" s="7">
        <f>IF(RETORNOS!I343="","",RETORNOS!I343)</f>
        <v>0.02286711475</v>
      </c>
      <c r="E343" s="7">
        <f t="shared" si="2"/>
        <v>0.0245573181</v>
      </c>
      <c r="F343" s="7">
        <f t="shared" si="3"/>
        <v>-0.002033559959</v>
      </c>
      <c r="G343" s="7">
        <f t="shared" si="4"/>
        <v>-0.0003433566036</v>
      </c>
      <c r="H343" s="5">
        <f t="shared" ref="H343:K343" si="343">IF(B343="","",H342*(1+B343))</f>
        <v>149.4697075</v>
      </c>
      <c r="I343" s="5">
        <f t="shared" si="343"/>
        <v>183.9532572</v>
      </c>
      <c r="J343" s="5">
        <f t="shared" si="343"/>
        <v>111.4749971</v>
      </c>
      <c r="K343" s="5">
        <f t="shared" si="343"/>
        <v>145.9958523</v>
      </c>
      <c r="L343" s="7">
        <f t="shared" si="6"/>
        <v>-0.0198659653</v>
      </c>
    </row>
    <row r="344" ht="15.75" customHeight="1">
      <c r="A344" s="4">
        <f>IF(RETORNOS!A344="","",RETORNOS!A344)</f>
        <v>44908</v>
      </c>
      <c r="B344" s="7">
        <f>IF(RETORNOS!B344="","",OPTIMIZACION!$B$5*RETORNOS!B344+OPTIMIZACION!$B$6*RETORNOS!C344+OPTIMIZACION!$B$7*RETORNOS!D344+OPTIMIZACION!$B$8*RETORNOS!E344+OPTIMIZACION!$B$9*RETORNOS!F344+OPTIMIZACION!$B$10*RETORNOS!G344)</f>
        <v>0.009285675427</v>
      </c>
      <c r="C344" s="7">
        <f>IF(RETORNOS!H344="","",RETORNOS!H344)</f>
        <v>0.01897589726</v>
      </c>
      <c r="D344" s="7">
        <f>IF(RETORNOS!I344="","",RETORNOS!I344)</f>
        <v>0.003039791976</v>
      </c>
      <c r="E344" s="7">
        <f t="shared" si="2"/>
        <v>0.01100784462</v>
      </c>
      <c r="F344" s="7">
        <f t="shared" si="3"/>
        <v>-0.009690221835</v>
      </c>
      <c r="G344" s="7">
        <f t="shared" si="4"/>
        <v>-0.001722169192</v>
      </c>
      <c r="H344" s="5">
        <f t="shared" ref="H344:K344" si="344">IF(B344="","",H343*(1+B344))</f>
        <v>150.8576346</v>
      </c>
      <c r="I344" s="5">
        <f t="shared" si="344"/>
        <v>187.4439353</v>
      </c>
      <c r="J344" s="5">
        <f t="shared" si="344"/>
        <v>111.8138579</v>
      </c>
      <c r="K344" s="5">
        <f t="shared" si="344"/>
        <v>147.6029519</v>
      </c>
      <c r="L344" s="7">
        <f t="shared" si="6"/>
        <v>-0.01076475878</v>
      </c>
    </row>
    <row r="345" ht="15.75" customHeight="1">
      <c r="A345" s="4">
        <f>IF(RETORNOS!A345="","",RETORNOS!A345)</f>
        <v>44909</v>
      </c>
      <c r="B345" s="7">
        <f>IF(RETORNOS!B345="","",OPTIMIZACION!$B$5*RETORNOS!B345+OPTIMIZACION!$B$6*RETORNOS!C345+OPTIMIZACION!$B$7*RETORNOS!D345+OPTIMIZACION!$B$8*RETORNOS!E345+OPTIMIZACION!$B$9*RETORNOS!F345+OPTIMIZACION!$B$10*RETORNOS!G345)</f>
        <v>-0.005350709602</v>
      </c>
      <c r="C345" s="7">
        <f>IF(RETORNOS!H345="","",RETORNOS!H345)</f>
        <v>-0.006130763759</v>
      </c>
      <c r="D345" s="7">
        <f>IF(RETORNOS!I345="","",RETORNOS!I345)</f>
        <v>-0.001238399513</v>
      </c>
      <c r="E345" s="7">
        <f t="shared" si="2"/>
        <v>-0.003684581636</v>
      </c>
      <c r="F345" s="7">
        <f t="shared" si="3"/>
        <v>0.0007800541568</v>
      </c>
      <c r="G345" s="7">
        <f t="shared" si="4"/>
        <v>-0.001666127966</v>
      </c>
      <c r="H345" s="5">
        <f t="shared" ref="H345:K345" si="345">IF(B345="","",H344*(1+B345))</f>
        <v>150.0504393</v>
      </c>
      <c r="I345" s="5">
        <f t="shared" si="345"/>
        <v>186.2947608</v>
      </c>
      <c r="J345" s="5">
        <f t="shared" si="345"/>
        <v>111.6753877</v>
      </c>
      <c r="K345" s="5">
        <f t="shared" si="345"/>
        <v>147.0590968</v>
      </c>
      <c r="L345" s="7">
        <f t="shared" si="6"/>
        <v>-0.01605786929</v>
      </c>
    </row>
    <row r="346" ht="15.75" customHeight="1">
      <c r="A346" s="4">
        <f>IF(RETORNOS!A346="","",RETORNOS!A346)</f>
        <v>44910</v>
      </c>
      <c r="B346" s="7">
        <f>IF(RETORNOS!B346="","",OPTIMIZACION!$B$5*RETORNOS!B346+OPTIMIZACION!$B$6*RETORNOS!C346+OPTIMIZACION!$B$7*RETORNOS!D346+OPTIMIZACION!$B$8*RETORNOS!E346+OPTIMIZACION!$B$9*RETORNOS!F346+OPTIMIZACION!$B$10*RETORNOS!G346)</f>
        <v>-0.009007572872</v>
      </c>
      <c r="C346" s="7">
        <f>IF(RETORNOS!H346="","",RETORNOS!H346)</f>
        <v>-0.006051456905</v>
      </c>
      <c r="D346" s="7">
        <f>IF(RETORNOS!I346="","",RETORNOS!I346)</f>
        <v>-0.01212516337</v>
      </c>
      <c r="E346" s="7">
        <f t="shared" si="2"/>
        <v>-0.009088310137</v>
      </c>
      <c r="F346" s="7">
        <f t="shared" si="3"/>
        <v>-0.002956115967</v>
      </c>
      <c r="G346" s="7">
        <f t="shared" si="4"/>
        <v>0.00008073726546</v>
      </c>
      <c r="H346" s="5">
        <f t="shared" ref="H346:K346" si="346">IF(B346="","",H345*(1+B346))</f>
        <v>148.698849</v>
      </c>
      <c r="I346" s="5">
        <f t="shared" si="346"/>
        <v>185.1674061</v>
      </c>
      <c r="J346" s="5">
        <f t="shared" si="346"/>
        <v>110.3213054</v>
      </c>
      <c r="K346" s="5">
        <f t="shared" si="346"/>
        <v>145.7225781</v>
      </c>
      <c r="L346" s="7">
        <f t="shared" si="6"/>
        <v>-0.02492079973</v>
      </c>
    </row>
    <row r="347" ht="15.75" customHeight="1">
      <c r="A347" s="4">
        <f>IF(RETORNOS!A347="","",RETORNOS!A347)</f>
        <v>44911</v>
      </c>
      <c r="B347" s="7">
        <f>IF(RETORNOS!B347="","",OPTIMIZACION!$B$5*RETORNOS!B347+OPTIMIZACION!$B$6*RETORNOS!C347+OPTIMIZACION!$B$7*RETORNOS!D347+OPTIMIZACION!$B$8*RETORNOS!E347+OPTIMIZACION!$B$9*RETORNOS!F347+OPTIMIZACION!$B$10*RETORNOS!G347)</f>
        <v>-0.01359464575</v>
      </c>
      <c r="C347" s="7">
        <f>IF(RETORNOS!H347="","",RETORNOS!H347)</f>
        <v>-0.01229443804</v>
      </c>
      <c r="D347" s="7">
        <f>IF(RETORNOS!I347="","",RETORNOS!I347)</f>
        <v>-0.01702013489</v>
      </c>
      <c r="E347" s="7">
        <f t="shared" si="2"/>
        <v>-0.01465728647</v>
      </c>
      <c r="F347" s="7">
        <f t="shared" si="3"/>
        <v>-0.001300207707</v>
      </c>
      <c r="G347" s="7">
        <f t="shared" si="4"/>
        <v>0.001062640717</v>
      </c>
      <c r="H347" s="5">
        <f t="shared" ref="H347:K347" si="347">IF(B347="","",H346*(1+B347))</f>
        <v>146.6773408</v>
      </c>
      <c r="I347" s="5">
        <f t="shared" si="347"/>
        <v>182.8908769</v>
      </c>
      <c r="J347" s="5">
        <f t="shared" si="347"/>
        <v>108.4436219</v>
      </c>
      <c r="K347" s="5">
        <f t="shared" si="347"/>
        <v>143.5866806</v>
      </c>
      <c r="L347" s="7">
        <f t="shared" si="6"/>
        <v>-0.03817665604</v>
      </c>
    </row>
    <row r="348" ht="15.75" customHeight="1">
      <c r="A348" s="4">
        <f>IF(RETORNOS!A348="","",RETORNOS!A348)</f>
        <v>44914</v>
      </c>
      <c r="B348" s="7">
        <f>IF(RETORNOS!B348="","",OPTIMIZACION!$B$5*RETORNOS!B348+OPTIMIZACION!$B$6*RETORNOS!C348+OPTIMIZACION!$B$7*RETORNOS!D348+OPTIMIZACION!$B$8*RETORNOS!E348+OPTIMIZACION!$B$9*RETORNOS!F348+OPTIMIZACION!$B$10*RETORNOS!G348)</f>
        <v>0.00373943392</v>
      </c>
      <c r="C348" s="7">
        <f>IF(RETORNOS!H348="","",RETORNOS!H348)</f>
        <v>-0.0001219560693</v>
      </c>
      <c r="D348" s="7">
        <f>IF(RETORNOS!I348="","",RETORNOS!I348)</f>
        <v>-0.00397183947</v>
      </c>
      <c r="E348" s="7">
        <f t="shared" si="2"/>
        <v>-0.00204689777</v>
      </c>
      <c r="F348" s="7">
        <f t="shared" si="3"/>
        <v>0.003861389989</v>
      </c>
      <c r="G348" s="7">
        <f t="shared" si="4"/>
        <v>0.00578633169</v>
      </c>
      <c r="H348" s="5">
        <f t="shared" ref="H348:K348" si="348">IF(B348="","",H347*(1+B348))</f>
        <v>147.225831</v>
      </c>
      <c r="I348" s="5">
        <f t="shared" si="348"/>
        <v>182.8685723</v>
      </c>
      <c r="J348" s="5">
        <f t="shared" si="348"/>
        <v>108.0129012</v>
      </c>
      <c r="K348" s="5">
        <f t="shared" si="348"/>
        <v>143.2927733</v>
      </c>
      <c r="L348" s="7">
        <f t="shared" si="6"/>
        <v>-0.0345799812</v>
      </c>
    </row>
    <row r="349" ht="15.75" customHeight="1">
      <c r="A349" s="4">
        <f>IF(RETORNOS!A349="","",RETORNOS!A349)</f>
        <v>44915</v>
      </c>
      <c r="B349" s="7">
        <f>IF(RETORNOS!B349="","",OPTIMIZACION!$B$5*RETORNOS!B349+OPTIMIZACION!$B$6*RETORNOS!C349+OPTIMIZACION!$B$7*RETORNOS!D349+OPTIMIZACION!$B$8*RETORNOS!E349+OPTIMIZACION!$B$9*RETORNOS!F349+OPTIMIZACION!$B$10*RETORNOS!G349)</f>
        <v>0.01481105312</v>
      </c>
      <c r="C349" s="7">
        <f>IF(RETORNOS!H349="","",RETORNOS!H349)</f>
        <v>0.01508727551</v>
      </c>
      <c r="D349" s="7">
        <f>IF(RETORNOS!I349="","",RETORNOS!I349)</f>
        <v>0.0002866340345</v>
      </c>
      <c r="E349" s="7">
        <f t="shared" si="2"/>
        <v>0.007686954774</v>
      </c>
      <c r="F349" s="7">
        <f t="shared" si="3"/>
        <v>-0.0002762223985</v>
      </c>
      <c r="G349" s="7">
        <f t="shared" si="4"/>
        <v>0.007124098341</v>
      </c>
      <c r="H349" s="5">
        <f t="shared" ref="H349:K349" si="349">IF(B349="","",H348*(1+B349))</f>
        <v>149.4064006</v>
      </c>
      <c r="I349" s="5">
        <f t="shared" si="349"/>
        <v>185.6275608</v>
      </c>
      <c r="J349" s="5">
        <f t="shared" si="349"/>
        <v>108.0438614</v>
      </c>
      <c r="K349" s="5">
        <f t="shared" si="349"/>
        <v>144.3942584</v>
      </c>
      <c r="L349" s="7">
        <f t="shared" si="6"/>
        <v>-0.02028109402</v>
      </c>
    </row>
    <row r="350" ht="15.75" customHeight="1">
      <c r="A350" s="4">
        <f>IF(RETORNOS!A350="","",RETORNOS!A350)</f>
        <v>44916</v>
      </c>
      <c r="B350" s="7">
        <f>IF(RETORNOS!B350="","",OPTIMIZACION!$B$5*RETORNOS!B350+OPTIMIZACION!$B$6*RETORNOS!C350+OPTIMIZACION!$B$7*RETORNOS!D350+OPTIMIZACION!$B$8*RETORNOS!E350+OPTIMIZACION!$B$9*RETORNOS!F350+OPTIMIZACION!$B$10*RETORNOS!G350)</f>
        <v>0.01694381913</v>
      </c>
      <c r="C350" s="7">
        <f>IF(RETORNOS!H350="","",RETORNOS!H350)</f>
        <v>0.01899803829</v>
      </c>
      <c r="D350" s="7">
        <f>IF(RETORNOS!I350="","",RETORNOS!I350)</f>
        <v>0.01392768186</v>
      </c>
      <c r="E350" s="7">
        <f t="shared" si="2"/>
        <v>0.01646286007</v>
      </c>
      <c r="F350" s="7">
        <f t="shared" si="3"/>
        <v>-0.002054219154</v>
      </c>
      <c r="G350" s="7">
        <f t="shared" si="4"/>
        <v>0.0004809590615</v>
      </c>
      <c r="H350" s="5">
        <f t="shared" ref="H350:K350" si="350">IF(B350="","",H349*(1+B350))</f>
        <v>151.9379157</v>
      </c>
      <c r="I350" s="5">
        <f t="shared" si="350"/>
        <v>189.1541203</v>
      </c>
      <c r="J350" s="5">
        <f t="shared" si="350"/>
        <v>109.5486619</v>
      </c>
      <c r="K350" s="5">
        <f t="shared" si="350"/>
        <v>146.7714009</v>
      </c>
      <c r="L350" s="7">
        <f t="shared" si="6"/>
        <v>-0.003680914075</v>
      </c>
    </row>
    <row r="351" ht="15.75" customHeight="1">
      <c r="A351" s="4">
        <f>IF(RETORNOS!A351="","",RETORNOS!A351)</f>
        <v>44917</v>
      </c>
      <c r="B351" s="7">
        <f>IF(RETORNOS!B351="","",OPTIMIZACION!$B$5*RETORNOS!B351+OPTIMIZACION!$B$6*RETORNOS!C351+OPTIMIZACION!$B$7*RETORNOS!D351+OPTIMIZACION!$B$8*RETORNOS!E351+OPTIMIZACION!$B$9*RETORNOS!F351+OPTIMIZACION!$B$10*RETORNOS!G351)</f>
        <v>-0.009126522747</v>
      </c>
      <c r="C351" s="7">
        <f>IF(RETORNOS!H351="","",RETORNOS!H351)</f>
        <v>-0.0230426914</v>
      </c>
      <c r="D351" s="7">
        <f>IF(RETORNOS!I351="","",RETORNOS!I351)</f>
        <v>-0.006084002087</v>
      </c>
      <c r="E351" s="7">
        <f t="shared" si="2"/>
        <v>-0.01456334674</v>
      </c>
      <c r="F351" s="7">
        <f t="shared" si="3"/>
        <v>0.01391616865</v>
      </c>
      <c r="G351" s="7">
        <f t="shared" si="4"/>
        <v>0.005436823996</v>
      </c>
      <c r="H351" s="5">
        <f t="shared" ref="H351:K351" si="351">IF(B351="","",H350*(1+B351))</f>
        <v>150.5512508</v>
      </c>
      <c r="I351" s="5">
        <f t="shared" si="351"/>
        <v>184.7955003</v>
      </c>
      <c r="J351" s="5">
        <f t="shared" si="351"/>
        <v>108.8821676</v>
      </c>
      <c r="K351" s="5">
        <f t="shared" si="351"/>
        <v>144.6339181</v>
      </c>
      <c r="L351" s="7">
        <f t="shared" si="6"/>
        <v>-0.01277384288</v>
      </c>
    </row>
    <row r="352" ht="15.75" customHeight="1">
      <c r="A352" s="4">
        <f>IF(RETORNOS!A352="","",RETORNOS!A352)</f>
        <v>44918</v>
      </c>
      <c r="B352" s="7">
        <f>IF(RETORNOS!B352="","",OPTIMIZACION!$B$5*RETORNOS!B352+OPTIMIZACION!$B$6*RETORNOS!C352+OPTIMIZACION!$B$7*RETORNOS!D352+OPTIMIZACION!$B$8*RETORNOS!E352+OPTIMIZACION!$B$9*RETORNOS!F352+OPTIMIZACION!$B$10*RETORNOS!G352)</f>
        <v>0.01907587518</v>
      </c>
      <c r="C352" s="7">
        <f>IF(RETORNOS!H352="","",RETORNOS!H352)</f>
        <v>0.03188555625</v>
      </c>
      <c r="D352" s="7">
        <f>IF(RETORNOS!I352="","",RETORNOS!I352)</f>
        <v>0.01025519243</v>
      </c>
      <c r="E352" s="7">
        <f t="shared" si="2"/>
        <v>0.02107037434</v>
      </c>
      <c r="F352" s="7">
        <f t="shared" si="3"/>
        <v>-0.01280968107</v>
      </c>
      <c r="G352" s="7">
        <f t="shared" si="4"/>
        <v>-0.001994499159</v>
      </c>
      <c r="H352" s="5">
        <f t="shared" ref="H352:K352" si="352">IF(B352="","",H351*(1+B352))</f>
        <v>153.4231477</v>
      </c>
      <c r="I352" s="5">
        <f t="shared" si="352"/>
        <v>190.6878076</v>
      </c>
      <c r="J352" s="5">
        <f t="shared" si="352"/>
        <v>109.9987752</v>
      </c>
      <c r="K352" s="5">
        <f t="shared" si="352"/>
        <v>147.6814088</v>
      </c>
      <c r="L352" s="7">
        <f t="shared" si="6"/>
        <v>0</v>
      </c>
    </row>
    <row r="353" ht="15.75" customHeight="1">
      <c r="A353" s="4">
        <f>IF(RETORNOS!A353="","",RETORNOS!A353)</f>
        <v>44922</v>
      </c>
      <c r="B353" s="7">
        <f>IF(RETORNOS!B353="","",OPTIMIZACION!$B$5*RETORNOS!B353+OPTIMIZACION!$B$6*RETORNOS!C353+OPTIMIZACION!$B$7*RETORNOS!D353+OPTIMIZACION!$B$8*RETORNOS!E353+OPTIMIZACION!$B$9*RETORNOS!F353+OPTIMIZACION!$B$10*RETORNOS!G353)</f>
        <v>0.002700691683</v>
      </c>
      <c r="C353" s="7">
        <f>IF(RETORNOS!H353="","",RETORNOS!H353)</f>
        <v>0.01068236431</v>
      </c>
      <c r="D353" s="7">
        <f>IF(RETORNOS!I353="","",RETORNOS!I353)</f>
        <v>0.006204475511</v>
      </c>
      <c r="E353" s="7">
        <f t="shared" si="2"/>
        <v>0.00844341991</v>
      </c>
      <c r="F353" s="7">
        <f t="shared" si="3"/>
        <v>-0.007981672626</v>
      </c>
      <c r="G353" s="7">
        <f t="shared" si="4"/>
        <v>-0.005742728228</v>
      </c>
      <c r="H353" s="5">
        <f t="shared" ref="H353:K353" si="353">IF(B353="","",H352*(1+B353))</f>
        <v>153.8374963</v>
      </c>
      <c r="I353" s="5">
        <f t="shared" si="353"/>
        <v>192.7248042</v>
      </c>
      <c r="J353" s="5">
        <f t="shared" si="353"/>
        <v>110.6812599</v>
      </c>
      <c r="K353" s="5">
        <f t="shared" si="353"/>
        <v>148.928345</v>
      </c>
      <c r="L353" s="7">
        <f t="shared" si="6"/>
        <v>0</v>
      </c>
    </row>
    <row r="354" ht="15.75" customHeight="1">
      <c r="A354" s="4">
        <f>IF(RETORNOS!A354="","",RETORNOS!A354)</f>
        <v>44923</v>
      </c>
      <c r="B354" s="7">
        <f>IF(RETORNOS!B354="","",OPTIMIZACION!$B$5*RETORNOS!B354+OPTIMIZACION!$B$6*RETORNOS!C354+OPTIMIZACION!$B$7*RETORNOS!D354+OPTIMIZACION!$B$8*RETORNOS!E354+OPTIMIZACION!$B$9*RETORNOS!F354+OPTIMIZACION!$B$10*RETORNOS!G354)</f>
        <v>-0.008690909928</v>
      </c>
      <c r="C354" s="7">
        <f>IF(RETORNOS!H354="","",RETORNOS!H354)</f>
        <v>-0.02238933645</v>
      </c>
      <c r="D354" s="7">
        <f>IF(RETORNOS!I354="","",RETORNOS!I354)</f>
        <v>-0.009532123656</v>
      </c>
      <c r="E354" s="7">
        <f t="shared" si="2"/>
        <v>-0.01596073005</v>
      </c>
      <c r="F354" s="7">
        <f t="shared" si="3"/>
        <v>0.01369842652</v>
      </c>
      <c r="G354" s="7">
        <f t="shared" si="4"/>
        <v>0.007269820123</v>
      </c>
      <c r="H354" s="5">
        <f t="shared" ref="H354:K354" si="354">IF(B354="","",H353*(1+B354))</f>
        <v>152.5005085</v>
      </c>
      <c r="I354" s="5">
        <f t="shared" si="354"/>
        <v>188.4098237</v>
      </c>
      <c r="J354" s="5">
        <f t="shared" si="354"/>
        <v>109.6262325</v>
      </c>
      <c r="K354" s="5">
        <f t="shared" si="354"/>
        <v>146.5513399</v>
      </c>
      <c r="L354" s="7">
        <f t="shared" si="6"/>
        <v>-0.008690909928</v>
      </c>
    </row>
    <row r="355" ht="15.75" customHeight="1">
      <c r="A355" s="4">
        <f>IF(RETORNOS!A355="","",RETORNOS!A355)</f>
        <v>44924</v>
      </c>
      <c r="B355" s="7">
        <f>IF(RETORNOS!B355="","",OPTIMIZACION!$B$5*RETORNOS!B355+OPTIMIZACION!$B$6*RETORNOS!C355+OPTIMIZACION!$B$7*RETORNOS!D355+OPTIMIZACION!$B$8*RETORNOS!E355+OPTIMIZACION!$B$9*RETORNOS!F355+OPTIMIZACION!$B$10*RETORNOS!G355)</f>
        <v>0.007623895179</v>
      </c>
      <c r="C355" s="7">
        <f>IF(RETORNOS!H355="","",RETORNOS!H355)</f>
        <v>0.01046151629</v>
      </c>
      <c r="D355" s="7">
        <f>IF(RETORNOS!I355="","",RETORNOS!I355)</f>
        <v>0.007215567004</v>
      </c>
      <c r="E355" s="7">
        <f t="shared" si="2"/>
        <v>0.008838541647</v>
      </c>
      <c r="F355" s="7">
        <f t="shared" si="3"/>
        <v>-0.002837621111</v>
      </c>
      <c r="G355" s="7">
        <f t="shared" si="4"/>
        <v>-0.001214646468</v>
      </c>
      <c r="H355" s="5">
        <f t="shared" ref="H355:K355" si="355">IF(B355="","",H354*(1+B355))</f>
        <v>153.6631564</v>
      </c>
      <c r="I355" s="5">
        <f t="shared" si="355"/>
        <v>190.3808762</v>
      </c>
      <c r="J355" s="5">
        <f t="shared" si="355"/>
        <v>110.4172479</v>
      </c>
      <c r="K355" s="5">
        <f t="shared" si="355"/>
        <v>147.84664</v>
      </c>
      <c r="L355" s="7">
        <f t="shared" si="6"/>
        <v>-0.001133273336</v>
      </c>
    </row>
    <row r="356" ht="15.75" customHeight="1">
      <c r="A356" s="4">
        <f>IF(RETORNOS!A356="","",RETORNOS!A356)</f>
        <v>44925</v>
      </c>
      <c r="B356" s="7">
        <f>IF(RETORNOS!B356="","",OPTIMIZACION!$B$5*RETORNOS!B356+OPTIMIZACION!$B$6*RETORNOS!C356+OPTIMIZACION!$B$7*RETORNOS!D356+OPTIMIZACION!$B$8*RETORNOS!E356+OPTIMIZACION!$B$9*RETORNOS!F356+OPTIMIZACION!$B$10*RETORNOS!G356)</f>
        <v>-0.002929225449</v>
      </c>
      <c r="C356" s="7">
        <f>IF(RETORNOS!H356="","",RETORNOS!H356)</f>
        <v>0.006329081685</v>
      </c>
      <c r="D356" s="7">
        <f>IF(RETORNOS!I356="","",RETORNOS!I356)</f>
        <v>-0.009551834106</v>
      </c>
      <c r="E356" s="7">
        <f t="shared" si="2"/>
        <v>-0.001611376211</v>
      </c>
      <c r="F356" s="7">
        <f t="shared" si="3"/>
        <v>-0.009258307134</v>
      </c>
      <c r="G356" s="7">
        <f t="shared" si="4"/>
        <v>-0.001317849239</v>
      </c>
      <c r="H356" s="5">
        <f t="shared" ref="H356:K356" si="356">IF(B356="","",H355*(1+B356))</f>
        <v>153.2130424</v>
      </c>
      <c r="I356" s="5">
        <f t="shared" si="356"/>
        <v>191.5858123</v>
      </c>
      <c r="J356" s="5">
        <f t="shared" si="356"/>
        <v>109.3625606</v>
      </c>
      <c r="K356" s="5">
        <f t="shared" si="356"/>
        <v>147.6084034</v>
      </c>
      <c r="L356" s="7">
        <f t="shared" si="6"/>
        <v>-0.004059179172</v>
      </c>
    </row>
    <row r="357" ht="15.75" customHeight="1">
      <c r="A357" s="4">
        <f>IF(RETORNOS!A357="","",RETORNOS!A357)</f>
        <v>44929</v>
      </c>
      <c r="B357" s="7">
        <f>IF(RETORNOS!B357="","",OPTIMIZACION!$B$5*RETORNOS!B357+OPTIMIZACION!$B$6*RETORNOS!C357+OPTIMIZACION!$B$7*RETORNOS!D357+OPTIMIZACION!$B$8*RETORNOS!E357+OPTIMIZACION!$B$9*RETORNOS!F357+OPTIMIZACION!$B$10*RETORNOS!G357)</f>
        <v>-0.0201560058</v>
      </c>
      <c r="C357" s="7">
        <f>IF(RETORNOS!H357="","",RETORNOS!H357)</f>
        <v>-0.03509593361</v>
      </c>
      <c r="D357" s="7">
        <f>IF(RETORNOS!I357="","",RETORNOS!I357)</f>
        <v>0</v>
      </c>
      <c r="E357" s="7">
        <f t="shared" si="2"/>
        <v>-0.0175479668</v>
      </c>
      <c r="F357" s="7">
        <f t="shared" si="3"/>
        <v>0.01493992781</v>
      </c>
      <c r="G357" s="7">
        <f t="shared" si="4"/>
        <v>-0.00260803899</v>
      </c>
      <c r="H357" s="5">
        <f t="shared" ref="H357:K357" si="357">IF(B357="","",H356*(1+B357))</f>
        <v>150.1248794</v>
      </c>
      <c r="I357" s="5">
        <f t="shared" si="357"/>
        <v>184.8619294</v>
      </c>
      <c r="J357" s="5">
        <f t="shared" si="357"/>
        <v>109.3625606</v>
      </c>
      <c r="K357" s="5">
        <f t="shared" si="357"/>
        <v>145.0181761</v>
      </c>
      <c r="L357" s="7">
        <f t="shared" si="6"/>
        <v>-0.02413336813</v>
      </c>
    </row>
    <row r="358" ht="15.75" customHeight="1">
      <c r="A358" s="4">
        <f>IF(RETORNOS!A358="","",RETORNOS!A358)</f>
        <v>44930</v>
      </c>
      <c r="B358" s="7">
        <f>IF(RETORNOS!B358="","",OPTIMIZACION!$B$5*RETORNOS!B358+OPTIMIZACION!$B$6*RETORNOS!C358+OPTIMIZACION!$B$7*RETORNOS!D358+OPTIMIZACION!$B$8*RETORNOS!E358+OPTIMIZACION!$B$9*RETORNOS!F358+OPTIMIZACION!$B$10*RETORNOS!G358)</f>
        <v>0.006926454956</v>
      </c>
      <c r="C358" s="7">
        <f>IF(RETORNOS!H358="","",RETORNOS!H358)</f>
        <v>-0.0001206557377</v>
      </c>
      <c r="D358" s="7">
        <f>IF(RETORNOS!I358="","",RETORNOS!I358)</f>
        <v>0.009077758248</v>
      </c>
      <c r="E358" s="7">
        <f t="shared" si="2"/>
        <v>0.004478551255</v>
      </c>
      <c r="F358" s="7">
        <f t="shared" si="3"/>
        <v>0.007047110694</v>
      </c>
      <c r="G358" s="7">
        <f t="shared" si="4"/>
        <v>0.002447903701</v>
      </c>
      <c r="H358" s="5">
        <f t="shared" ref="H358:K358" si="358">IF(B358="","",H357*(1+B358))</f>
        <v>151.1647126</v>
      </c>
      <c r="I358" s="5">
        <f t="shared" si="358"/>
        <v>184.8396247</v>
      </c>
      <c r="J358" s="5">
        <f t="shared" si="358"/>
        <v>110.3553275</v>
      </c>
      <c r="K358" s="5">
        <f t="shared" si="358"/>
        <v>145.6676474</v>
      </c>
      <c r="L358" s="7">
        <f t="shared" si="6"/>
        <v>-0.01737407186</v>
      </c>
    </row>
    <row r="359" ht="15.75" customHeight="1">
      <c r="A359" s="4">
        <f>IF(RETORNOS!A359="","",RETORNOS!A359)</f>
        <v>44931</v>
      </c>
      <c r="B359" s="7">
        <f>IF(RETORNOS!B359="","",OPTIMIZACION!$B$5*RETORNOS!B359+OPTIMIZACION!$B$6*RETORNOS!C359+OPTIMIZACION!$B$7*RETORNOS!D359+OPTIMIZACION!$B$8*RETORNOS!E359+OPTIMIZACION!$B$9*RETORNOS!F359+OPTIMIZACION!$B$10*RETORNOS!G359)</f>
        <v>0.000647265142</v>
      </c>
      <c r="C359" s="7">
        <f>IF(RETORNOS!H359="","",RETORNOS!H359)</f>
        <v>0.01824744756</v>
      </c>
      <c r="D359" s="7">
        <f>IF(RETORNOS!I359="","",RETORNOS!I359)</f>
        <v>-0.02164241914</v>
      </c>
      <c r="E359" s="7">
        <f t="shared" si="2"/>
        <v>-0.00169748579</v>
      </c>
      <c r="F359" s="7">
        <f t="shared" si="3"/>
        <v>-0.01760018242</v>
      </c>
      <c r="G359" s="7">
        <f t="shared" si="4"/>
        <v>0.002344750932</v>
      </c>
      <c r="H359" s="5">
        <f t="shared" ref="H359:K359" si="359">IF(B359="","",H358*(1+B359))</f>
        <v>151.2625562</v>
      </c>
      <c r="I359" s="5">
        <f t="shared" si="359"/>
        <v>188.2124761</v>
      </c>
      <c r="J359" s="5">
        <f t="shared" si="359"/>
        <v>107.9669713</v>
      </c>
      <c r="K359" s="5">
        <f t="shared" si="359"/>
        <v>145.4203787</v>
      </c>
      <c r="L359" s="7">
        <f t="shared" si="6"/>
        <v>-0.01673805235</v>
      </c>
    </row>
    <row r="360" ht="15.75" customHeight="1">
      <c r="A360" s="4">
        <f>IF(RETORNOS!A360="","",RETORNOS!A360)</f>
        <v>44932</v>
      </c>
      <c r="B360" s="7">
        <f>IF(RETORNOS!B360="","",OPTIMIZACION!$B$5*RETORNOS!B360+OPTIMIZACION!$B$6*RETORNOS!C360+OPTIMIZACION!$B$7*RETORNOS!D360+OPTIMIZACION!$B$8*RETORNOS!E360+OPTIMIZACION!$B$9*RETORNOS!F360+OPTIMIZACION!$B$10*RETORNOS!G360)</f>
        <v>0.01523646435</v>
      </c>
      <c r="C360" s="7">
        <f>IF(RETORNOS!H360="","",RETORNOS!H360)</f>
        <v>0.01896640561</v>
      </c>
      <c r="D360" s="7">
        <f>IF(RETORNOS!I360="","",RETORNOS!I360)</f>
        <v>0.02011073192</v>
      </c>
      <c r="E360" s="7">
        <f t="shared" si="2"/>
        <v>0.01953856876</v>
      </c>
      <c r="F360" s="7">
        <f t="shared" si="3"/>
        <v>-0.003729941257</v>
      </c>
      <c r="G360" s="7">
        <f t="shared" si="4"/>
        <v>-0.004302104414</v>
      </c>
      <c r="H360" s="5">
        <f t="shared" ref="H360:K360" si="360">IF(B360="","",H359*(1+B360))</f>
        <v>153.5672628</v>
      </c>
      <c r="I360" s="5">
        <f t="shared" si="360"/>
        <v>191.7821902</v>
      </c>
      <c r="J360" s="5">
        <f t="shared" si="360"/>
        <v>110.1382661</v>
      </c>
      <c r="K360" s="5">
        <f t="shared" si="360"/>
        <v>148.2616847</v>
      </c>
      <c r="L360" s="7">
        <f t="shared" si="6"/>
        <v>-0.001756616737</v>
      </c>
    </row>
    <row r="361" ht="15.75" customHeight="1">
      <c r="A361" s="4">
        <f>IF(RETORNOS!A361="","",RETORNOS!A361)</f>
        <v>44935</v>
      </c>
      <c r="B361" s="7">
        <f>IF(RETORNOS!B361="","",OPTIMIZACION!$B$5*RETORNOS!B361+OPTIMIZACION!$B$6*RETORNOS!C361+OPTIMIZACION!$B$7*RETORNOS!D361+OPTIMIZACION!$B$8*RETORNOS!E361+OPTIMIZACION!$B$9*RETORNOS!F361+OPTIMIZACION!$B$10*RETORNOS!G361)</f>
        <v>-0.001556222143</v>
      </c>
      <c r="C361" s="7">
        <f>IF(RETORNOS!H361="","",RETORNOS!H361)</f>
        <v>-0.00353709781</v>
      </c>
      <c r="D361" s="7">
        <f>IF(RETORNOS!I361="","",RETORNOS!I361)</f>
        <v>0.006765001158</v>
      </c>
      <c r="E361" s="7">
        <f t="shared" si="2"/>
        <v>0.001613951674</v>
      </c>
      <c r="F361" s="7">
        <f t="shared" si="3"/>
        <v>0.001980875667</v>
      </c>
      <c r="G361" s="7">
        <f t="shared" si="4"/>
        <v>-0.003170173817</v>
      </c>
      <c r="H361" s="5">
        <f t="shared" ref="H361:K361" si="361">IF(B361="","",H360*(1+B361))</f>
        <v>153.328278</v>
      </c>
      <c r="I361" s="5">
        <f t="shared" si="361"/>
        <v>191.1038379</v>
      </c>
      <c r="J361" s="5">
        <f t="shared" si="361"/>
        <v>110.8833516</v>
      </c>
      <c r="K361" s="5">
        <f t="shared" si="361"/>
        <v>148.5009719</v>
      </c>
      <c r="L361" s="7">
        <f t="shared" si="6"/>
        <v>-0.003310105194</v>
      </c>
    </row>
    <row r="362" ht="15.75" customHeight="1">
      <c r="A362" s="4">
        <f>IF(RETORNOS!A362="","",RETORNOS!A362)</f>
        <v>44936</v>
      </c>
      <c r="B362" s="7">
        <f>IF(RETORNOS!B362="","",OPTIMIZACION!$B$5*RETORNOS!B362+OPTIMIZACION!$B$6*RETORNOS!C362+OPTIMIZACION!$B$7*RETORNOS!D362+OPTIMIZACION!$B$8*RETORNOS!E362+OPTIMIZACION!$B$9*RETORNOS!F362+OPTIMIZACION!$B$10*RETORNOS!G362)</f>
        <v>-0.00181010018</v>
      </c>
      <c r="C362" s="7">
        <f>IF(RETORNOS!H362="","",RETORNOS!H362)</f>
        <v>0.00710438112</v>
      </c>
      <c r="D362" s="7">
        <f>IF(RETORNOS!I362="","",RETORNOS!I362)</f>
        <v>0.0002792139055</v>
      </c>
      <c r="E362" s="7">
        <f t="shared" si="2"/>
        <v>0.003691797513</v>
      </c>
      <c r="F362" s="7">
        <f t="shared" si="3"/>
        <v>-0.0089144813</v>
      </c>
      <c r="G362" s="7">
        <f t="shared" si="4"/>
        <v>-0.005501897693</v>
      </c>
      <c r="H362" s="5">
        <f t="shared" ref="H362:K362" si="362">IF(B362="","",H361*(1+B362))</f>
        <v>153.0507385</v>
      </c>
      <c r="I362" s="5">
        <f t="shared" si="362"/>
        <v>192.4615124</v>
      </c>
      <c r="J362" s="5">
        <f t="shared" si="362"/>
        <v>110.9143118</v>
      </c>
      <c r="K362" s="5">
        <f t="shared" si="362"/>
        <v>149.0492074</v>
      </c>
      <c r="L362" s="7">
        <f t="shared" si="6"/>
        <v>-0.005114213752</v>
      </c>
    </row>
    <row r="363" ht="15.75" customHeight="1">
      <c r="A363" s="4">
        <f>IF(RETORNOS!A363="","",RETORNOS!A363)</f>
        <v>44937</v>
      </c>
      <c r="B363" s="7">
        <f>IF(RETORNOS!B363="","",OPTIMIZACION!$B$5*RETORNOS!B363+OPTIMIZACION!$B$6*RETORNOS!C363+OPTIMIZACION!$B$7*RETORNOS!D363+OPTIMIZACION!$B$8*RETORNOS!E363+OPTIMIZACION!$B$9*RETORNOS!F363+OPTIMIZACION!$B$10*RETORNOS!G363)</f>
        <v>0.01164856185</v>
      </c>
      <c r="C363" s="7">
        <f>IF(RETORNOS!H363="","",RETORNOS!H363)</f>
        <v>0.003076163387</v>
      </c>
      <c r="D363" s="7">
        <f>IF(RETORNOS!I363="","",RETORNOS!I363)</f>
        <v>0.008110280179</v>
      </c>
      <c r="E363" s="7">
        <f t="shared" si="2"/>
        <v>0.005593221783</v>
      </c>
      <c r="F363" s="7">
        <f t="shared" si="3"/>
        <v>0.00857239846</v>
      </c>
      <c r="G363" s="7">
        <f t="shared" si="4"/>
        <v>0.006055340064</v>
      </c>
      <c r="H363" s="5">
        <f t="shared" ref="H363:K363" si="363">IF(B363="","",H362*(1+B363))</f>
        <v>154.8335595</v>
      </c>
      <c r="I363" s="5">
        <f t="shared" si="363"/>
        <v>193.0535554</v>
      </c>
      <c r="J363" s="5">
        <f t="shared" si="363"/>
        <v>111.8138579</v>
      </c>
      <c r="K363" s="5">
        <f t="shared" si="363"/>
        <v>149.8828727</v>
      </c>
      <c r="L363" s="7">
        <f t="shared" si="6"/>
        <v>0</v>
      </c>
    </row>
    <row r="364" ht="15.75" customHeight="1">
      <c r="A364" s="4">
        <f>IF(RETORNOS!A364="","",RETORNOS!A364)</f>
        <v>44938</v>
      </c>
      <c r="B364" s="7">
        <f>IF(RETORNOS!B364="","",OPTIMIZACION!$B$5*RETORNOS!B364+OPTIMIZACION!$B$6*RETORNOS!C364+OPTIMIZACION!$B$7*RETORNOS!D364+OPTIMIZACION!$B$8*RETORNOS!E364+OPTIMIZACION!$B$9*RETORNOS!F364+OPTIMIZACION!$B$10*RETORNOS!G364)</f>
        <v>0.008180431211</v>
      </c>
      <c r="C364" s="7">
        <f>IF(RETORNOS!H364="","",RETORNOS!H364)</f>
        <v>0.01905591947</v>
      </c>
      <c r="D364" s="7">
        <f>IF(RETORNOS!I364="","",RETORNOS!I364)</f>
        <v>-0.006800547695</v>
      </c>
      <c r="E364" s="7">
        <f t="shared" si="2"/>
        <v>0.006127685886</v>
      </c>
      <c r="F364" s="7">
        <f t="shared" si="3"/>
        <v>-0.01087548826</v>
      </c>
      <c r="G364" s="7">
        <f t="shared" si="4"/>
        <v>0.002052745325</v>
      </c>
      <c r="H364" s="5">
        <f t="shared" ref="H364:K364" si="364">IF(B364="","",H363*(1+B364))</f>
        <v>156.1001648</v>
      </c>
      <c r="I364" s="5">
        <f t="shared" si="364"/>
        <v>196.7323684</v>
      </c>
      <c r="J364" s="5">
        <f t="shared" si="364"/>
        <v>111.0534624</v>
      </c>
      <c r="K364" s="5">
        <f t="shared" si="364"/>
        <v>150.8013079</v>
      </c>
      <c r="L364" s="7">
        <f t="shared" si="6"/>
        <v>0</v>
      </c>
    </row>
    <row r="365" ht="15.75" customHeight="1">
      <c r="A365" s="4">
        <f>IF(RETORNOS!A365="","",RETORNOS!A365)</f>
        <v>44939</v>
      </c>
      <c r="B365" s="7">
        <f>IF(RETORNOS!B365="","",OPTIMIZACION!$B$5*RETORNOS!B365+OPTIMIZACION!$B$6*RETORNOS!C365+OPTIMIZACION!$B$7*RETORNOS!D365+OPTIMIZACION!$B$8*RETORNOS!E365+OPTIMIZACION!$B$9*RETORNOS!F365+OPTIMIZACION!$B$10*RETORNOS!G365)</f>
        <v>0.00439320245</v>
      </c>
      <c r="C365" s="7">
        <f>IF(RETORNOS!H365="","",RETORNOS!H365)</f>
        <v>0.001451700757</v>
      </c>
      <c r="D365" s="7">
        <f>IF(RETORNOS!I365="","",RETORNOS!I365)</f>
        <v>-0.00363034787</v>
      </c>
      <c r="E365" s="7">
        <f t="shared" si="2"/>
        <v>-0.001089323556</v>
      </c>
      <c r="F365" s="7">
        <f t="shared" si="3"/>
        <v>0.002941501693</v>
      </c>
      <c r="G365" s="7">
        <f t="shared" si="4"/>
        <v>0.005482526006</v>
      </c>
      <c r="H365" s="5">
        <f t="shared" ref="H365:K365" si="365">IF(B365="","",H364*(1+B365))</f>
        <v>156.7859444</v>
      </c>
      <c r="I365" s="5">
        <f t="shared" si="365"/>
        <v>197.0179649</v>
      </c>
      <c r="J365" s="5">
        <f t="shared" si="365"/>
        <v>110.6502997</v>
      </c>
      <c r="K365" s="5">
        <f t="shared" si="365"/>
        <v>150.6370365</v>
      </c>
      <c r="L365" s="7">
        <f t="shared" si="6"/>
        <v>0</v>
      </c>
    </row>
    <row r="366" ht="15.75" customHeight="1">
      <c r="A366" s="4">
        <f>IF(RETORNOS!A366="","",RETORNOS!A366)</f>
        <v>44943</v>
      </c>
      <c r="B366" s="7">
        <f>IF(RETORNOS!B366="","",OPTIMIZACION!$B$5*RETORNOS!B366+OPTIMIZACION!$B$6*RETORNOS!C366+OPTIMIZACION!$B$7*RETORNOS!D366+OPTIMIZACION!$B$8*RETORNOS!E366+OPTIMIZACION!$B$9*RETORNOS!F366+OPTIMIZACION!$B$10*RETORNOS!G366)</f>
        <v>0.006391757615</v>
      </c>
      <c r="C366" s="7">
        <f>IF(RETORNOS!H366="","",RETORNOS!H366)</f>
        <v>0.002109175034</v>
      </c>
      <c r="D366" s="7">
        <f>IF(RETORNOS!I366="","",RETORNOS!I366)</f>
        <v>-0.001405159426</v>
      </c>
      <c r="E366" s="7">
        <f t="shared" si="2"/>
        <v>0.0003520078044</v>
      </c>
      <c r="F366" s="7">
        <f t="shared" si="3"/>
        <v>0.00428258258</v>
      </c>
      <c r="G366" s="7">
        <f t="shared" si="4"/>
        <v>0.00603974981</v>
      </c>
      <c r="H366" s="5">
        <f t="shared" ref="H366:K366" si="366">IF(B366="","",H365*(1+B366))</f>
        <v>157.7880821</v>
      </c>
      <c r="I366" s="5">
        <f t="shared" si="366"/>
        <v>197.4335103</v>
      </c>
      <c r="J366" s="5">
        <f t="shared" si="366"/>
        <v>110.4948184</v>
      </c>
      <c r="K366" s="5">
        <f t="shared" si="366"/>
        <v>150.6900619</v>
      </c>
      <c r="L366" s="7">
        <f t="shared" si="6"/>
        <v>0</v>
      </c>
    </row>
    <row r="367" ht="15.75" customHeight="1">
      <c r="A367" s="4">
        <f>IF(RETORNOS!A367="","",RETORNOS!A367)</f>
        <v>44944</v>
      </c>
      <c r="B367" s="7">
        <f>IF(RETORNOS!B367="","",OPTIMIZACION!$B$5*RETORNOS!B367+OPTIMIZACION!$B$6*RETORNOS!C367+OPTIMIZACION!$B$7*RETORNOS!D367+OPTIMIZACION!$B$8*RETORNOS!E367+OPTIMIZACION!$B$9*RETORNOS!F367+OPTIMIZACION!$B$10*RETORNOS!G367)</f>
        <v>-0.03436724069</v>
      </c>
      <c r="C367" s="7">
        <f>IF(RETORNOS!H367="","",RETORNOS!H367)</f>
        <v>-0.018306535</v>
      </c>
      <c r="D367" s="7">
        <f>IF(RETORNOS!I367="","",RETORNOS!I367)</f>
        <v>-0.02400137943</v>
      </c>
      <c r="E367" s="7">
        <f t="shared" si="2"/>
        <v>-0.02115395721</v>
      </c>
      <c r="F367" s="7">
        <f t="shared" si="3"/>
        <v>-0.0160607057</v>
      </c>
      <c r="G367" s="7">
        <f t="shared" si="4"/>
        <v>-0.01321328348</v>
      </c>
      <c r="H367" s="5">
        <f t="shared" ref="H367:K367" si="367">IF(B367="","",H366*(1+B367))</f>
        <v>152.3653411</v>
      </c>
      <c r="I367" s="5">
        <f t="shared" si="367"/>
        <v>193.8191868</v>
      </c>
      <c r="J367" s="5">
        <f t="shared" si="367"/>
        <v>107.8427904</v>
      </c>
      <c r="K367" s="5">
        <f t="shared" si="367"/>
        <v>147.5023707</v>
      </c>
      <c r="L367" s="7">
        <f t="shared" si="6"/>
        <v>-0.03436724069</v>
      </c>
    </row>
    <row r="368" ht="15.75" customHeight="1">
      <c r="A368" s="4">
        <f>IF(RETORNOS!A368="","",RETORNOS!A368)</f>
        <v>44945</v>
      </c>
      <c r="B368" s="7">
        <f>IF(RETORNOS!B368="","",OPTIMIZACION!$B$5*RETORNOS!B368+OPTIMIZACION!$B$6*RETORNOS!C368+OPTIMIZACION!$B$7*RETORNOS!D368+OPTIMIZACION!$B$8*RETORNOS!E368+OPTIMIZACION!$B$9*RETORNOS!F368+OPTIMIZACION!$B$10*RETORNOS!G368)</f>
        <v>-0.005527138981</v>
      </c>
      <c r="C368" s="7">
        <f>IF(RETORNOS!H368="","",RETORNOS!H368)</f>
        <v>0.01243611201</v>
      </c>
      <c r="D368" s="7">
        <f>IF(RETORNOS!I368="","",RETORNOS!I368)</f>
        <v>-0.0100700995</v>
      </c>
      <c r="E368" s="7">
        <f t="shared" si="2"/>
        <v>0.001183006253</v>
      </c>
      <c r="F368" s="7">
        <f t="shared" si="3"/>
        <v>-0.01796325099</v>
      </c>
      <c r="G368" s="7">
        <f t="shared" si="4"/>
        <v>-0.006710145234</v>
      </c>
      <c r="H368" s="5">
        <f t="shared" ref="H368:K368" si="368">IF(B368="","",H367*(1+B368))</f>
        <v>151.5231967</v>
      </c>
      <c r="I368" s="5">
        <f t="shared" si="368"/>
        <v>196.229544</v>
      </c>
      <c r="J368" s="5">
        <f t="shared" si="368"/>
        <v>106.7568027</v>
      </c>
      <c r="K368" s="5">
        <f t="shared" si="368"/>
        <v>147.676867</v>
      </c>
      <c r="L368" s="7">
        <f t="shared" si="6"/>
        <v>-0.03970442716</v>
      </c>
    </row>
    <row r="369" ht="15.75" customHeight="1">
      <c r="A369" s="4">
        <f>IF(RETORNOS!A369="","",RETORNOS!A369)</f>
        <v>44946</v>
      </c>
      <c r="B369" s="7">
        <f>IF(RETORNOS!B369="","",OPTIMIZACION!$B$5*RETORNOS!B369+OPTIMIZACION!$B$6*RETORNOS!C369+OPTIMIZACION!$B$7*RETORNOS!D369+OPTIMIZACION!$B$8*RETORNOS!E369+OPTIMIZACION!$B$9*RETORNOS!F369+OPTIMIZACION!$B$10*RETORNOS!G369)</f>
        <v>0.01492860798</v>
      </c>
      <c r="C369" s="7">
        <f>IF(RETORNOS!H369="","",RETORNOS!H369)</f>
        <v>0.009933431185</v>
      </c>
      <c r="D369" s="7">
        <f>IF(RETORNOS!I369="","",RETORNOS!I369)</f>
        <v>0.005956288681</v>
      </c>
      <c r="E369" s="7">
        <f t="shared" si="2"/>
        <v>0.007944859933</v>
      </c>
      <c r="F369" s="7">
        <f t="shared" si="3"/>
        <v>0.004995176791</v>
      </c>
      <c r="G369" s="7">
        <f t="shared" si="4"/>
        <v>0.006983748043</v>
      </c>
      <c r="H369" s="5">
        <f t="shared" ref="H369:K369" si="369">IF(B369="","",H368*(1+B369))</f>
        <v>153.7852271</v>
      </c>
      <c r="I369" s="5">
        <f t="shared" si="369"/>
        <v>198.1787766</v>
      </c>
      <c r="J369" s="5">
        <f t="shared" si="369"/>
        <v>107.3926771</v>
      </c>
      <c r="K369" s="5">
        <f t="shared" si="369"/>
        <v>148.850139</v>
      </c>
      <c r="L369" s="7">
        <f t="shared" si="6"/>
        <v>-0.02536855101</v>
      </c>
    </row>
    <row r="370" ht="15.75" customHeight="1">
      <c r="A370" s="4">
        <f>IF(RETORNOS!A370="","",RETORNOS!A370)</f>
        <v>44949</v>
      </c>
      <c r="B370" s="7">
        <f>IF(RETORNOS!B370="","",OPTIMIZACION!$B$5*RETORNOS!B370+OPTIMIZACION!$B$6*RETORNOS!C370+OPTIMIZACION!$B$7*RETORNOS!D370+OPTIMIZACION!$B$8*RETORNOS!E370+OPTIMIZACION!$B$9*RETORNOS!F370+OPTIMIZACION!$B$10*RETORNOS!G370)</f>
        <v>0.004799876505</v>
      </c>
      <c r="C370" s="7">
        <f>IF(RETORNOS!H370="","",RETORNOS!H370)</f>
        <v>0.00132366398</v>
      </c>
      <c r="D370" s="7">
        <f>IF(RETORNOS!I370="","",RETORNOS!I370)</f>
        <v>0.0002914574456</v>
      </c>
      <c r="E370" s="7">
        <f t="shared" si="2"/>
        <v>0.0008075607129</v>
      </c>
      <c r="F370" s="7">
        <f t="shared" si="3"/>
        <v>0.003476212525</v>
      </c>
      <c r="G370" s="7">
        <f t="shared" si="4"/>
        <v>0.003992315792</v>
      </c>
      <c r="H370" s="5">
        <f t="shared" ref="H370:K370" si="370">IF(B370="","",H369*(1+B370))</f>
        <v>154.5233772</v>
      </c>
      <c r="I370" s="5">
        <f t="shared" si="370"/>
        <v>198.4410987</v>
      </c>
      <c r="J370" s="5">
        <f t="shared" si="370"/>
        <v>107.4239775</v>
      </c>
      <c r="K370" s="5">
        <f t="shared" si="370"/>
        <v>148.9703445</v>
      </c>
      <c r="L370" s="7">
        <f t="shared" si="6"/>
        <v>-0.02069044042</v>
      </c>
    </row>
    <row r="371" ht="15.75" customHeight="1">
      <c r="A371" s="4">
        <f>IF(RETORNOS!A371="","",RETORNOS!A371)</f>
        <v>44950</v>
      </c>
      <c r="B371" s="7">
        <f>IF(RETORNOS!B371="","",OPTIMIZACION!$B$5*RETORNOS!B371+OPTIMIZACION!$B$6*RETORNOS!C371+OPTIMIZACION!$B$7*RETORNOS!D371+OPTIMIZACION!$B$8*RETORNOS!E371+OPTIMIZACION!$B$9*RETORNOS!F371+OPTIMIZACION!$B$10*RETORNOS!G371)</f>
        <v>0.003591163557</v>
      </c>
      <c r="C371" s="7">
        <f>IF(RETORNOS!H371="","",RETORNOS!H371)</f>
        <v>-0.003863117127</v>
      </c>
      <c r="D371" s="7">
        <f>IF(RETORNOS!I371="","",RETORNOS!I371)</f>
        <v>0.005054679854</v>
      </c>
      <c r="E371" s="7">
        <f t="shared" si="2"/>
        <v>0.0005957813635</v>
      </c>
      <c r="F371" s="7">
        <f t="shared" si="3"/>
        <v>0.007454280684</v>
      </c>
      <c r="G371" s="7">
        <f t="shared" si="4"/>
        <v>0.002995382193</v>
      </c>
      <c r="H371" s="5">
        <f t="shared" ref="H371:K371" si="371">IF(B371="","",H370*(1+B371))</f>
        <v>155.0782959</v>
      </c>
      <c r="I371" s="5">
        <f t="shared" si="371"/>
        <v>197.6744975</v>
      </c>
      <c r="J371" s="5">
        <f t="shared" si="371"/>
        <v>107.9669713</v>
      </c>
      <c r="K371" s="5">
        <f t="shared" si="371"/>
        <v>149.0590983</v>
      </c>
      <c r="L371" s="7">
        <f t="shared" si="6"/>
        <v>-0.01717357961</v>
      </c>
    </row>
    <row r="372" ht="15.75" customHeight="1">
      <c r="A372" s="4">
        <f>IF(RETORNOS!A372="","",RETORNOS!A372)</f>
        <v>44951</v>
      </c>
      <c r="B372" s="7">
        <f>IF(RETORNOS!B372="","",OPTIMIZACION!$B$5*RETORNOS!B372+OPTIMIZACION!$B$6*RETORNOS!C372+OPTIMIZACION!$B$7*RETORNOS!D372+OPTIMIZACION!$B$8*RETORNOS!E372+OPTIMIZACION!$B$9*RETORNOS!F372+OPTIMIZACION!$B$10*RETORNOS!G372)</f>
        <v>-0.001522766205</v>
      </c>
      <c r="C372" s="7">
        <f>IF(RETORNOS!H372="","",RETORNOS!H372)</f>
        <v>0.0001103823153</v>
      </c>
      <c r="D372" s="7">
        <f>IF(RETORNOS!I372="","",RETORNOS!I372)</f>
        <v>-0.01350904227</v>
      </c>
      <c r="E372" s="7">
        <f t="shared" si="2"/>
        <v>-0.006699329976</v>
      </c>
      <c r="F372" s="7">
        <f t="shared" si="3"/>
        <v>-0.001633148521</v>
      </c>
      <c r="G372" s="7">
        <f t="shared" si="4"/>
        <v>0.00517656377</v>
      </c>
      <c r="H372" s="5">
        <f t="shared" ref="H372:K372" si="372">IF(B372="","",H371*(1+B372))</f>
        <v>154.842148</v>
      </c>
      <c r="I372" s="5">
        <f t="shared" si="372"/>
        <v>197.6963173</v>
      </c>
      <c r="J372" s="5">
        <f t="shared" si="372"/>
        <v>106.5084409</v>
      </c>
      <c r="K372" s="5">
        <f t="shared" si="372"/>
        <v>148.0605022</v>
      </c>
      <c r="L372" s="7">
        <f t="shared" si="6"/>
        <v>-0.01867019447</v>
      </c>
    </row>
    <row r="373" ht="15.75" customHeight="1">
      <c r="A373" s="4">
        <f>IF(RETORNOS!A373="","",RETORNOS!A373)</f>
        <v>44952</v>
      </c>
      <c r="B373" s="7">
        <f>IF(RETORNOS!B373="","",OPTIMIZACION!$B$5*RETORNOS!B373+OPTIMIZACION!$B$6*RETORNOS!C373+OPTIMIZACION!$B$7*RETORNOS!D373+OPTIMIZACION!$B$8*RETORNOS!E373+OPTIMIZACION!$B$9*RETORNOS!F373+OPTIMIZACION!$B$10*RETORNOS!G373)</f>
        <v>0.01283348837</v>
      </c>
      <c r="C373" s="7">
        <f>IF(RETORNOS!H373="","",RETORNOS!H373)</f>
        <v>0.03157812121</v>
      </c>
      <c r="D373" s="7">
        <f>IF(RETORNOS!I373="","",RETORNOS!I373)</f>
        <v>0.003350838189</v>
      </c>
      <c r="E373" s="7">
        <f t="shared" si="2"/>
        <v>0.0174644797</v>
      </c>
      <c r="F373" s="7">
        <f t="shared" si="3"/>
        <v>-0.01874463284</v>
      </c>
      <c r="G373" s="7">
        <f t="shared" si="4"/>
        <v>-0.004630991331</v>
      </c>
      <c r="H373" s="5">
        <f t="shared" ref="H373:K373" si="373">IF(B373="","",H372*(1+B373))</f>
        <v>156.8293129</v>
      </c>
      <c r="I373" s="5">
        <f t="shared" si="373"/>
        <v>203.9391956</v>
      </c>
      <c r="J373" s="5">
        <f t="shared" si="373"/>
        <v>106.8653335</v>
      </c>
      <c r="K373" s="5">
        <f t="shared" si="373"/>
        <v>150.6463018</v>
      </c>
      <c r="L373" s="7">
        <f t="shared" si="6"/>
        <v>-0.006076309831</v>
      </c>
    </row>
    <row r="374" ht="15.75" customHeight="1">
      <c r="A374" s="4">
        <f>IF(RETORNOS!A374="","",RETORNOS!A374)</f>
        <v>44953</v>
      </c>
      <c r="B374" s="7">
        <f>IF(RETORNOS!B374="","",OPTIMIZACION!$B$5*RETORNOS!B374+OPTIMIZACION!$B$6*RETORNOS!C374+OPTIMIZACION!$B$7*RETORNOS!D374+OPTIMIZACION!$B$8*RETORNOS!E374+OPTIMIZACION!$B$9*RETORNOS!F374+OPTIMIZACION!$B$10*RETORNOS!G374)</f>
        <v>-0.006008753703</v>
      </c>
      <c r="C374" s="7">
        <f>IF(RETORNOS!H374="","",RETORNOS!H374)</f>
        <v>-0.02019287008</v>
      </c>
      <c r="D374" s="7">
        <f>IF(RETORNOS!I374="","",RETORNOS!I374)</f>
        <v>0</v>
      </c>
      <c r="E374" s="7">
        <f t="shared" si="2"/>
        <v>-0.01009643504</v>
      </c>
      <c r="F374" s="7">
        <f t="shared" si="3"/>
        <v>0.01418411638</v>
      </c>
      <c r="G374" s="7">
        <f t="shared" si="4"/>
        <v>0.004087681339</v>
      </c>
      <c r="H374" s="5">
        <f t="shared" ref="H374:K374" si="374">IF(B374="","",H373*(1+B374))</f>
        <v>155.8869641</v>
      </c>
      <c r="I374" s="5">
        <f t="shared" si="374"/>
        <v>199.8210779</v>
      </c>
      <c r="J374" s="5">
        <f t="shared" si="374"/>
        <v>106.8653335</v>
      </c>
      <c r="K374" s="5">
        <f t="shared" si="374"/>
        <v>149.1253112</v>
      </c>
      <c r="L374" s="7">
        <f t="shared" si="6"/>
        <v>-0.01204855249</v>
      </c>
    </row>
    <row r="375" ht="15.75" customHeight="1">
      <c r="A375" s="4">
        <f>IF(RETORNOS!A375="","",RETORNOS!A375)</f>
        <v>44956</v>
      </c>
      <c r="B375" s="7">
        <f>IF(RETORNOS!B375="","",OPTIMIZACION!$B$5*RETORNOS!B375+OPTIMIZACION!$B$6*RETORNOS!C375+OPTIMIZACION!$B$7*RETORNOS!D375+OPTIMIZACION!$B$8*RETORNOS!E375+OPTIMIZACION!$B$9*RETORNOS!F375+OPTIMIZACION!$B$10*RETORNOS!G375)</f>
        <v>-0.01512255982</v>
      </c>
      <c r="C375" s="7">
        <f>IF(RETORNOS!H375="","",RETORNOS!H375)</f>
        <v>-0.0229094324</v>
      </c>
      <c r="D375" s="7">
        <f>IF(RETORNOS!I375="","",RETORNOS!I375)</f>
        <v>-0.004501679375</v>
      </c>
      <c r="E375" s="7">
        <f t="shared" si="2"/>
        <v>-0.01370555589</v>
      </c>
      <c r="F375" s="7">
        <f t="shared" si="3"/>
        <v>0.007786872574</v>
      </c>
      <c r="G375" s="7">
        <f t="shared" si="4"/>
        <v>-0.001417003937</v>
      </c>
      <c r="H375" s="5">
        <f t="shared" ref="H375:K375" si="375">IF(B375="","",H374*(1+B375))</f>
        <v>153.5295542</v>
      </c>
      <c r="I375" s="5">
        <f t="shared" si="375"/>
        <v>195.2432904</v>
      </c>
      <c r="J375" s="5">
        <f t="shared" si="375"/>
        <v>106.38426</v>
      </c>
      <c r="K375" s="5">
        <f t="shared" si="375"/>
        <v>147.0814659</v>
      </c>
      <c r="L375" s="7">
        <f t="shared" si="6"/>
        <v>-0.02698890735</v>
      </c>
    </row>
    <row r="376" ht="15.75" customHeight="1">
      <c r="A376" s="4">
        <f>IF(RETORNOS!A376="","",RETORNOS!A376)</f>
        <v>44957</v>
      </c>
      <c r="B376" s="7">
        <f>IF(RETORNOS!B376="","",OPTIMIZACION!$B$5*RETORNOS!B376+OPTIMIZACION!$B$6*RETORNOS!C376+OPTIMIZACION!$B$7*RETORNOS!D376+OPTIMIZACION!$B$8*RETORNOS!E376+OPTIMIZACION!$B$9*RETORNOS!F376+OPTIMIZACION!$B$10*RETORNOS!G376)</f>
        <v>0.02521176271</v>
      </c>
      <c r="C376" s="7">
        <f>IF(RETORNOS!H376="","",RETORNOS!H376)</f>
        <v>0.008863557344</v>
      </c>
      <c r="D376" s="7">
        <f>IF(RETORNOS!I376="","",RETORNOS!I376)</f>
        <v>0.00743545545</v>
      </c>
      <c r="E376" s="7">
        <f t="shared" si="2"/>
        <v>0.008149506397</v>
      </c>
      <c r="F376" s="7">
        <f t="shared" si="3"/>
        <v>0.01634820537</v>
      </c>
      <c r="G376" s="7">
        <f t="shared" si="4"/>
        <v>0.01706225632</v>
      </c>
      <c r="H376" s="5">
        <f t="shared" ref="H376:K376" si="376">IF(B376="","",H375*(1+B376))</f>
        <v>157.4003049</v>
      </c>
      <c r="I376" s="5">
        <f t="shared" si="376"/>
        <v>196.9738405</v>
      </c>
      <c r="J376" s="5">
        <f t="shared" si="376"/>
        <v>107.1752754</v>
      </c>
      <c r="K376" s="5">
        <f t="shared" si="376"/>
        <v>148.2801073</v>
      </c>
      <c r="L376" s="7">
        <f t="shared" si="6"/>
        <v>-0.002457582568</v>
      </c>
    </row>
    <row r="377" ht="15.75" customHeight="1">
      <c r="A377" s="4">
        <f>IF(RETORNOS!A377="","",RETORNOS!A377)</f>
        <v>44958</v>
      </c>
      <c r="B377" s="7">
        <f>IF(RETORNOS!B377="","",OPTIMIZACION!$B$5*RETORNOS!B377+OPTIMIZACION!$B$6*RETORNOS!C377+OPTIMIZACION!$B$7*RETORNOS!D377+OPTIMIZACION!$B$8*RETORNOS!E377+OPTIMIZACION!$B$9*RETORNOS!F377+OPTIMIZACION!$B$10*RETORNOS!G377)</f>
        <v>-0.001105306543</v>
      </c>
      <c r="C377" s="7">
        <f>IF(RETORNOS!H377="","",RETORNOS!H377)</f>
        <v>-0.01968347902</v>
      </c>
      <c r="D377" s="7">
        <f>IF(RETORNOS!I377="","",RETORNOS!I377)</f>
        <v>0.001739594179</v>
      </c>
      <c r="E377" s="7">
        <f t="shared" si="2"/>
        <v>-0.008971942422</v>
      </c>
      <c r="F377" s="7">
        <f t="shared" si="3"/>
        <v>0.01857817248</v>
      </c>
      <c r="G377" s="7">
        <f t="shared" si="4"/>
        <v>0.007866635879</v>
      </c>
      <c r="H377" s="5">
        <f t="shared" ref="H377:K377" si="377">IF(B377="","",H376*(1+B377))</f>
        <v>157.2263293</v>
      </c>
      <c r="I377" s="5">
        <f t="shared" si="377"/>
        <v>193.0967101</v>
      </c>
      <c r="J377" s="5">
        <f t="shared" si="377"/>
        <v>107.3617169</v>
      </c>
      <c r="K377" s="5">
        <f t="shared" si="377"/>
        <v>146.9497467</v>
      </c>
      <c r="L377" s="7">
        <f t="shared" si="6"/>
        <v>-0.003560172729</v>
      </c>
    </row>
    <row r="378" ht="15.75" customHeight="1">
      <c r="A378" s="4">
        <f>IF(RETORNOS!A378="","",RETORNOS!A378)</f>
        <v>44959</v>
      </c>
      <c r="B378" s="7">
        <f>IF(RETORNOS!B378="","",OPTIMIZACION!$B$5*RETORNOS!B378+OPTIMIZACION!$B$6*RETORNOS!C378+OPTIMIZACION!$B$7*RETORNOS!D378+OPTIMIZACION!$B$8*RETORNOS!E378+OPTIMIZACION!$B$9*RETORNOS!F378+OPTIMIZACION!$B$10*RETORNOS!G378)</f>
        <v>-0.009379267806</v>
      </c>
      <c r="C378" s="7">
        <f>IF(RETORNOS!H378="","",RETORNOS!H378)</f>
        <v>-0.0227957</v>
      </c>
      <c r="D378" s="7">
        <f>IF(RETORNOS!I378="","",RETORNOS!I378)</f>
        <v>0.002167547629</v>
      </c>
      <c r="E378" s="7">
        <f t="shared" si="2"/>
        <v>-0.01031407619</v>
      </c>
      <c r="F378" s="7">
        <f t="shared" si="3"/>
        <v>0.0134164322</v>
      </c>
      <c r="G378" s="7">
        <f t="shared" si="4"/>
        <v>0.0009348083815</v>
      </c>
      <c r="H378" s="5">
        <f t="shared" ref="H378:K378" si="378">IF(B378="","",H377*(1+B378))</f>
        <v>155.7516615</v>
      </c>
      <c r="I378" s="5">
        <f t="shared" si="378"/>
        <v>188.6949354</v>
      </c>
      <c r="J378" s="5">
        <f t="shared" si="378"/>
        <v>107.5944285</v>
      </c>
      <c r="K378" s="5">
        <f t="shared" si="378"/>
        <v>145.4340958</v>
      </c>
      <c r="L378" s="7">
        <f t="shared" si="6"/>
        <v>-0.01290604872</v>
      </c>
    </row>
    <row r="379" ht="15.75" customHeight="1">
      <c r="A379" s="4">
        <f>IF(RETORNOS!A379="","",RETORNOS!A379)</f>
        <v>44960</v>
      </c>
      <c r="B379" s="7">
        <f>IF(RETORNOS!B379="","",OPTIMIZACION!$B$5*RETORNOS!B379+OPTIMIZACION!$B$6*RETORNOS!C379+OPTIMIZACION!$B$7*RETORNOS!D379+OPTIMIZACION!$B$8*RETORNOS!E379+OPTIMIZACION!$B$9*RETORNOS!F379+OPTIMIZACION!$B$10*RETORNOS!G379)</f>
        <v>-0.007449929282</v>
      </c>
      <c r="C379" s="7">
        <f>IF(RETORNOS!H379="","",RETORNOS!H379)</f>
        <v>-0.002207346687</v>
      </c>
      <c r="D379" s="7">
        <f>IF(RETORNOS!I379="","",RETORNOS!I379)</f>
        <v>-0.02090448003</v>
      </c>
      <c r="E379" s="7">
        <f t="shared" si="2"/>
        <v>-0.01155591336</v>
      </c>
      <c r="F379" s="7">
        <f t="shared" si="3"/>
        <v>-0.005242582595</v>
      </c>
      <c r="G379" s="7">
        <f t="shared" si="4"/>
        <v>0.004105984076</v>
      </c>
      <c r="H379" s="5">
        <f t="shared" ref="H379:K379" si="379">IF(B379="","",H378*(1+B379))</f>
        <v>154.5913226</v>
      </c>
      <c r="I379" s="5">
        <f t="shared" si="379"/>
        <v>188.2784202</v>
      </c>
      <c r="J379" s="5">
        <f t="shared" si="379"/>
        <v>105.3452229</v>
      </c>
      <c r="K379" s="5">
        <f t="shared" si="379"/>
        <v>143.753472</v>
      </c>
      <c r="L379" s="7">
        <f t="shared" si="6"/>
        <v>-0.02025982885</v>
      </c>
    </row>
    <row r="380" ht="15.75" customHeight="1">
      <c r="A380" s="4">
        <f>IF(RETORNOS!A380="","",RETORNOS!A380)</f>
        <v>44963</v>
      </c>
      <c r="B380" s="7">
        <f>IF(RETORNOS!B380="","",OPTIMIZACION!$B$5*RETORNOS!B380+OPTIMIZACION!$B$6*RETORNOS!C380+OPTIMIZACION!$B$7*RETORNOS!D380+OPTIMIZACION!$B$8*RETORNOS!E380+OPTIMIZACION!$B$9*RETORNOS!F380+OPTIMIZACION!$B$10*RETORNOS!G380)</f>
        <v>0.002079333819</v>
      </c>
      <c r="C380" s="7">
        <f>IF(RETORNOS!H380="","",RETORNOS!H380)</f>
        <v>-0.004535199951</v>
      </c>
      <c r="D380" s="7">
        <f>IF(RETORNOS!I380="","",RETORNOS!I380)</f>
        <v>0.008539031188</v>
      </c>
      <c r="E380" s="7">
        <f t="shared" si="2"/>
        <v>0.002001915619</v>
      </c>
      <c r="F380" s="7">
        <f t="shared" si="3"/>
        <v>0.006614533769</v>
      </c>
      <c r="G380" s="7">
        <f t="shared" si="4"/>
        <v>0.00007741820001</v>
      </c>
      <c r="H380" s="5">
        <f t="shared" ref="H380:K380" si="380">IF(B380="","",H379*(1+B380))</f>
        <v>154.9127696</v>
      </c>
      <c r="I380" s="5">
        <f t="shared" si="380"/>
        <v>187.42454</v>
      </c>
      <c r="J380" s="5">
        <f t="shared" si="380"/>
        <v>106.2447691</v>
      </c>
      <c r="K380" s="5">
        <f t="shared" si="380"/>
        <v>144.0412543</v>
      </c>
      <c r="L380" s="7">
        <f t="shared" si="6"/>
        <v>-0.01822262198</v>
      </c>
    </row>
    <row r="381" ht="15.75" customHeight="1">
      <c r="A381" s="4">
        <f>IF(RETORNOS!A381="","",RETORNOS!A381)</f>
        <v>44964</v>
      </c>
      <c r="B381" s="7">
        <f>IF(RETORNOS!B381="","",OPTIMIZACION!$B$5*RETORNOS!B381+OPTIMIZACION!$B$6*RETORNOS!C381+OPTIMIZACION!$B$7*RETORNOS!D381+OPTIMIZACION!$B$8*RETORNOS!E381+OPTIMIZACION!$B$9*RETORNOS!F381+OPTIMIZACION!$B$10*RETORNOS!G381)</f>
        <v>0.01215162608</v>
      </c>
      <c r="C381" s="7">
        <f>IF(RETORNOS!H381="","",RETORNOS!H381)</f>
        <v>0.03248606206</v>
      </c>
      <c r="D381" s="7">
        <f>IF(RETORNOS!I381="","",RETORNOS!I381)</f>
        <v>-0.0004387074462</v>
      </c>
      <c r="E381" s="7">
        <f t="shared" si="2"/>
        <v>0.01602367731</v>
      </c>
      <c r="F381" s="7">
        <f t="shared" si="3"/>
        <v>-0.02033443598</v>
      </c>
      <c r="G381" s="7">
        <f t="shared" si="4"/>
        <v>-0.003872051228</v>
      </c>
      <c r="H381" s="5">
        <f t="shared" ref="H381:K381" si="381">IF(B381="","",H380*(1+B381))</f>
        <v>156.7952116</v>
      </c>
      <c r="I381" s="5">
        <f t="shared" si="381"/>
        <v>193.5132252</v>
      </c>
      <c r="J381" s="5">
        <f t="shared" si="381"/>
        <v>106.1981587</v>
      </c>
      <c r="K381" s="5">
        <f t="shared" si="381"/>
        <v>146.3493249</v>
      </c>
      <c r="L381" s="7">
        <f t="shared" si="6"/>
        <v>-0.00629243039</v>
      </c>
    </row>
    <row r="382" ht="15.75" customHeight="1">
      <c r="A382" s="4">
        <f>IF(RETORNOS!A382="","",RETORNOS!A382)</f>
        <v>44965</v>
      </c>
      <c r="B382" s="7">
        <f>IF(RETORNOS!B382="","",OPTIMIZACION!$B$5*RETORNOS!B382+OPTIMIZACION!$B$6*RETORNOS!C382+OPTIMIZACION!$B$7*RETORNOS!D382+OPTIMIZACION!$B$8*RETORNOS!E382+OPTIMIZACION!$B$9*RETORNOS!F382+OPTIMIZACION!$B$10*RETORNOS!G382)</f>
        <v>-0.007684454975</v>
      </c>
      <c r="C382" s="7">
        <f>IF(RETORNOS!H382="","",RETORNOS!H382)</f>
        <v>-0.008945305844</v>
      </c>
      <c r="D382" s="7">
        <f>IF(RETORNOS!I382="","",RETORNOS!I382)</f>
        <v>-0.01679993849</v>
      </c>
      <c r="E382" s="7">
        <f t="shared" si="2"/>
        <v>-0.01287262217</v>
      </c>
      <c r="F382" s="7">
        <f t="shared" si="3"/>
        <v>0.001260850869</v>
      </c>
      <c r="G382" s="7">
        <f t="shared" si="4"/>
        <v>0.005188167192</v>
      </c>
      <c r="H382" s="5">
        <f t="shared" ref="H382:K382" si="382">IF(B382="","",H381*(1+B382))</f>
        <v>155.5903259</v>
      </c>
      <c r="I382" s="5">
        <f t="shared" si="382"/>
        <v>191.7821902</v>
      </c>
      <c r="J382" s="5">
        <f t="shared" si="382"/>
        <v>104.4140362</v>
      </c>
      <c r="K382" s="5">
        <f t="shared" si="382"/>
        <v>144.4654253</v>
      </c>
      <c r="L382" s="7">
        <f t="shared" si="6"/>
        <v>-0.01392853147</v>
      </c>
    </row>
    <row r="383" ht="15.75" customHeight="1">
      <c r="A383" s="4">
        <f>IF(RETORNOS!A383="","",RETORNOS!A383)</f>
        <v>44966</v>
      </c>
      <c r="B383" s="7">
        <f>IF(RETORNOS!B383="","",OPTIMIZACION!$B$5*RETORNOS!B383+OPTIMIZACION!$B$6*RETORNOS!C383+OPTIMIZACION!$B$7*RETORNOS!D383+OPTIMIZACION!$B$8*RETORNOS!E383+OPTIMIZACION!$B$9*RETORNOS!F383+OPTIMIZACION!$B$10*RETORNOS!G383)</f>
        <v>-0.008692498821</v>
      </c>
      <c r="C383" s="7">
        <f>IF(RETORNOS!H383="","",RETORNOS!H383)</f>
        <v>-0.008563366892</v>
      </c>
      <c r="D383" s="7">
        <f>IF(RETORNOS!I383="","",RETORNOS!I383)</f>
        <v>-0.01366568915</v>
      </c>
      <c r="E383" s="7">
        <f t="shared" si="2"/>
        <v>-0.01111452802</v>
      </c>
      <c r="F383" s="7">
        <f t="shared" si="3"/>
        <v>-0.0001291319282</v>
      </c>
      <c r="G383" s="7">
        <f t="shared" si="4"/>
        <v>0.0024220292</v>
      </c>
      <c r="H383" s="5">
        <f t="shared" ref="H383:K383" si="383">IF(B383="","",H382*(1+B383))</f>
        <v>154.2378571</v>
      </c>
      <c r="I383" s="5">
        <f t="shared" si="383"/>
        <v>190.139889</v>
      </c>
      <c r="J383" s="5">
        <f t="shared" si="383"/>
        <v>102.9871464</v>
      </c>
      <c r="K383" s="5">
        <f t="shared" si="383"/>
        <v>142.8597603</v>
      </c>
      <c r="L383" s="7">
        <f t="shared" si="6"/>
        <v>-0.02249995654</v>
      </c>
    </row>
    <row r="384" ht="15.75" customHeight="1">
      <c r="A384" s="4">
        <f>IF(RETORNOS!A384="","",RETORNOS!A384)</f>
        <v>44967</v>
      </c>
      <c r="B384" s="7">
        <f>IF(RETORNOS!B384="","",OPTIMIZACION!$B$5*RETORNOS!B384+OPTIMIZACION!$B$6*RETORNOS!C384+OPTIMIZACION!$B$7*RETORNOS!D384+OPTIMIZACION!$B$8*RETORNOS!E384+OPTIMIZACION!$B$9*RETORNOS!F384+OPTIMIZACION!$B$10*RETORNOS!G384)</f>
        <v>0.02428949916</v>
      </c>
      <c r="C384" s="7">
        <f>IF(RETORNOS!H384="","",RETORNOS!H384)</f>
        <v>0.0391676336</v>
      </c>
      <c r="D384" s="7">
        <f>IF(RETORNOS!I384="","",RETORNOS!I384)</f>
        <v>0.01988397984</v>
      </c>
      <c r="E384" s="7">
        <f t="shared" si="2"/>
        <v>0.02952580672</v>
      </c>
      <c r="F384" s="7">
        <f t="shared" si="3"/>
        <v>-0.01487813444</v>
      </c>
      <c r="G384" s="7">
        <f t="shared" si="4"/>
        <v>-0.00523630756</v>
      </c>
      <c r="H384" s="5">
        <f t="shared" ref="H384:K384" si="384">IF(B384="","",H383*(1+B384))</f>
        <v>157.9842174</v>
      </c>
      <c r="I384" s="5">
        <f t="shared" si="384"/>
        <v>197.5872185</v>
      </c>
      <c r="J384" s="5">
        <f t="shared" si="384"/>
        <v>105.0349408</v>
      </c>
      <c r="K384" s="5">
        <f t="shared" si="384"/>
        <v>147.07781</v>
      </c>
      <c r="L384" s="7">
        <f t="shared" si="6"/>
        <v>0</v>
      </c>
    </row>
    <row r="385" ht="15.75" customHeight="1">
      <c r="A385" s="4">
        <f>IF(RETORNOS!A385="","",RETORNOS!A385)</f>
        <v>44970</v>
      </c>
      <c r="B385" s="7">
        <f>IF(RETORNOS!B385="","",OPTIMIZACION!$B$5*RETORNOS!B385+OPTIMIZACION!$B$6*RETORNOS!C385+OPTIMIZACION!$B$7*RETORNOS!D385+OPTIMIZACION!$B$8*RETORNOS!E385+OPTIMIZACION!$B$9*RETORNOS!F385+OPTIMIZACION!$B$10*RETORNOS!G385)</f>
        <v>0.003922225831</v>
      </c>
      <c r="C385" s="7">
        <f>IF(RETORNOS!H385="","",RETORNOS!H385)</f>
        <v>-0.002549730794</v>
      </c>
      <c r="D385" s="7">
        <f>IF(RETORNOS!I385="","",RETORNOS!I385)</f>
        <v>0.006053931492</v>
      </c>
      <c r="E385" s="7">
        <f t="shared" si="2"/>
        <v>0.001752100349</v>
      </c>
      <c r="F385" s="7">
        <f t="shared" si="3"/>
        <v>0.006471956624</v>
      </c>
      <c r="G385" s="7">
        <f t="shared" si="4"/>
        <v>0.002170125481</v>
      </c>
      <c r="H385" s="5">
        <f t="shared" ref="H385:K385" si="385">IF(B385="","",H384*(1+B385))</f>
        <v>158.6038672</v>
      </c>
      <c r="I385" s="5">
        <f t="shared" si="385"/>
        <v>197.0834242</v>
      </c>
      <c r="J385" s="5">
        <f t="shared" si="385"/>
        <v>105.6708151</v>
      </c>
      <c r="K385" s="5">
        <f t="shared" si="385"/>
        <v>147.3355051</v>
      </c>
      <c r="L385" s="7">
        <f t="shared" si="6"/>
        <v>0</v>
      </c>
    </row>
    <row r="386" ht="15.75" customHeight="1">
      <c r="A386" s="4">
        <f>IF(RETORNOS!A386="","",RETORNOS!A386)</f>
        <v>44971</v>
      </c>
      <c r="B386" s="7">
        <f>IF(RETORNOS!B386="","",OPTIMIZACION!$B$5*RETORNOS!B386+OPTIMIZACION!$B$6*RETORNOS!C386+OPTIMIZACION!$B$7*RETORNOS!D386+OPTIMIZACION!$B$8*RETORNOS!E386+OPTIMIZACION!$B$9*RETORNOS!F386+OPTIMIZACION!$B$10*RETORNOS!G386)</f>
        <v>-0.004473883121</v>
      </c>
      <c r="C386" s="7">
        <f>IF(RETORNOS!H386="","",RETORNOS!H386)</f>
        <v>0.0003321400893</v>
      </c>
      <c r="D386" s="7">
        <f>IF(RETORNOS!I386="","",RETORNOS!I386)</f>
        <v>-0.004259580031</v>
      </c>
      <c r="E386" s="7">
        <f t="shared" si="2"/>
        <v>-0.001963719971</v>
      </c>
      <c r="F386" s="7">
        <f t="shared" si="3"/>
        <v>-0.00480602321</v>
      </c>
      <c r="G386" s="7">
        <f t="shared" si="4"/>
        <v>-0.00251016315</v>
      </c>
      <c r="H386" s="5">
        <f t="shared" ref="H386:K386" si="386">IF(B386="","",H385*(1+B386))</f>
        <v>157.8942921</v>
      </c>
      <c r="I386" s="5">
        <f t="shared" si="386"/>
        <v>197.1488836</v>
      </c>
      <c r="J386" s="5">
        <f t="shared" si="386"/>
        <v>105.2207018</v>
      </c>
      <c r="K386" s="5">
        <f t="shared" si="386"/>
        <v>147.0461794</v>
      </c>
      <c r="L386" s="7">
        <f t="shared" si="6"/>
        <v>-0.004473883121</v>
      </c>
    </row>
    <row r="387" ht="15.75" customHeight="1">
      <c r="A387" s="4">
        <f>IF(RETORNOS!A387="","",RETORNOS!A387)</f>
        <v>44972</v>
      </c>
      <c r="B387" s="7">
        <f>IF(RETORNOS!B387="","",OPTIMIZACION!$B$5*RETORNOS!B387+OPTIMIZACION!$B$6*RETORNOS!C387+OPTIMIZACION!$B$7*RETORNOS!D387+OPTIMIZACION!$B$8*RETORNOS!E387+OPTIMIZACION!$B$9*RETORNOS!F387+OPTIMIZACION!$B$10*RETORNOS!G387)</f>
        <v>0.001409068265</v>
      </c>
      <c r="C387" s="7">
        <f>IF(RETORNOS!H387="","",RETORNOS!H387)</f>
        <v>-0.01699746674</v>
      </c>
      <c r="D387" s="7">
        <f>IF(RETORNOS!I387="","",RETORNOS!I387)</f>
        <v>0.006486220823</v>
      </c>
      <c r="E387" s="7">
        <f t="shared" si="2"/>
        <v>-0.005255622957</v>
      </c>
      <c r="F387" s="7">
        <f t="shared" si="3"/>
        <v>0.018406535</v>
      </c>
      <c r="G387" s="7">
        <f t="shared" si="4"/>
        <v>0.006664691222</v>
      </c>
      <c r="H387" s="5">
        <f t="shared" ref="H387:K387" si="387">IF(B387="","",H386*(1+B387))</f>
        <v>158.1167759</v>
      </c>
      <c r="I387" s="5">
        <f t="shared" si="387"/>
        <v>193.797852</v>
      </c>
      <c r="J387" s="5">
        <f t="shared" si="387"/>
        <v>105.9031865</v>
      </c>
      <c r="K387" s="5">
        <f t="shared" si="387"/>
        <v>146.2733601</v>
      </c>
      <c r="L387" s="7">
        <f t="shared" si="6"/>
        <v>-0.003071118863</v>
      </c>
    </row>
    <row r="388" ht="15.75" customHeight="1">
      <c r="A388" s="4">
        <f>IF(RETORNOS!A388="","",RETORNOS!A388)</f>
        <v>44973</v>
      </c>
      <c r="B388" s="7">
        <f>IF(RETORNOS!B388="","",OPTIMIZACION!$B$5*RETORNOS!B388+OPTIMIZACION!$B$6*RETORNOS!C388+OPTIMIZACION!$B$7*RETORNOS!D388+OPTIMIZACION!$B$8*RETORNOS!E388+OPTIMIZACION!$B$9*RETORNOS!F388+OPTIMIZACION!$B$10*RETORNOS!G388)</f>
        <v>-0.006555522678</v>
      </c>
      <c r="C388" s="7">
        <f>IF(RETORNOS!H388="","",RETORNOS!H388)</f>
        <v>-0.009832890895</v>
      </c>
      <c r="D388" s="7">
        <f>IF(RETORNOS!I388="","",RETORNOS!I388)</f>
        <v>-0.00761700993</v>
      </c>
      <c r="E388" s="7">
        <f t="shared" si="2"/>
        <v>-0.008724950413</v>
      </c>
      <c r="F388" s="7">
        <f t="shared" si="3"/>
        <v>0.003277368217</v>
      </c>
      <c r="G388" s="7">
        <f t="shared" si="4"/>
        <v>0.002169427735</v>
      </c>
      <c r="H388" s="5">
        <f t="shared" ref="H388:K388" si="388">IF(B388="","",H387*(1+B388))</f>
        <v>157.0802378</v>
      </c>
      <c r="I388" s="5">
        <f t="shared" si="388"/>
        <v>191.8922588</v>
      </c>
      <c r="J388" s="5">
        <f t="shared" si="388"/>
        <v>105.0965209</v>
      </c>
      <c r="K388" s="5">
        <f t="shared" si="388"/>
        <v>144.9971323</v>
      </c>
      <c r="L388" s="7">
        <f t="shared" si="6"/>
        <v>-0.009606508751</v>
      </c>
    </row>
    <row r="389" ht="15.75" customHeight="1">
      <c r="A389" s="4">
        <f>IF(RETORNOS!A389="","",RETORNOS!A389)</f>
        <v>44974</v>
      </c>
      <c r="B389" s="7">
        <f>IF(RETORNOS!B389="","",OPTIMIZACION!$B$5*RETORNOS!B389+OPTIMIZACION!$B$6*RETORNOS!C389+OPTIMIZACION!$B$7*RETORNOS!D389+OPTIMIZACION!$B$8*RETORNOS!E389+OPTIMIZACION!$B$9*RETORNOS!F389+OPTIMIZACION!$B$10*RETORNOS!G389)</f>
        <v>-0.01463747043</v>
      </c>
      <c r="C389" s="7">
        <f>IF(RETORNOS!H389="","",RETORNOS!H389)</f>
        <v>-0.03561095543</v>
      </c>
      <c r="D389" s="7">
        <f>IF(RETORNOS!I389="","",RETORNOS!I389)</f>
        <v>0.01077674114</v>
      </c>
      <c r="E389" s="7">
        <f t="shared" si="2"/>
        <v>-0.01241710714</v>
      </c>
      <c r="F389" s="7">
        <f t="shared" si="3"/>
        <v>0.020973485</v>
      </c>
      <c r="G389" s="7">
        <f t="shared" si="4"/>
        <v>-0.002220363287</v>
      </c>
      <c r="H389" s="5">
        <f t="shared" ref="H389:K389" si="389">IF(B389="","",H388*(1+B389))</f>
        <v>154.7809804</v>
      </c>
      <c r="I389" s="5">
        <f t="shared" si="389"/>
        <v>185.0587922</v>
      </c>
      <c r="J389" s="5">
        <f t="shared" si="389"/>
        <v>106.2291189</v>
      </c>
      <c r="K389" s="5">
        <f t="shared" si="389"/>
        <v>143.1966874</v>
      </c>
      <c r="L389" s="7">
        <f t="shared" si="6"/>
        <v>-0.02410336419</v>
      </c>
    </row>
    <row r="390" ht="15.75" customHeight="1">
      <c r="A390" s="4">
        <f>IF(RETORNOS!A390="","",RETORNOS!A390)</f>
        <v>44978</v>
      </c>
      <c r="B390" s="7">
        <f>IF(RETORNOS!B390="","",OPTIMIZACION!$B$5*RETORNOS!B390+OPTIMIZACION!$B$6*RETORNOS!C390+OPTIMIZACION!$B$7*RETORNOS!D390+OPTIMIZACION!$B$8*RETORNOS!E390+OPTIMIZACION!$B$9*RETORNOS!F390+OPTIMIZACION!$B$10*RETORNOS!G390)</f>
        <v>-0.01164913349</v>
      </c>
      <c r="C390" s="7">
        <f>IF(RETORNOS!H390="","",RETORNOS!H390)</f>
        <v>-0.004970444589</v>
      </c>
      <c r="D390" s="7">
        <f>IF(RETORNOS!I390="","",RETORNOS!I390)</f>
        <v>-0.01869105001</v>
      </c>
      <c r="E390" s="7">
        <f t="shared" si="2"/>
        <v>-0.0118307473</v>
      </c>
      <c r="F390" s="7">
        <f t="shared" si="3"/>
        <v>-0.006678688898</v>
      </c>
      <c r="G390" s="7">
        <f t="shared" si="4"/>
        <v>0.0001816138131</v>
      </c>
      <c r="H390" s="5">
        <f t="shared" ref="H390:K390" si="390">IF(B390="","",H389*(1+B390))</f>
        <v>152.9779161</v>
      </c>
      <c r="I390" s="5">
        <f t="shared" si="390"/>
        <v>184.1389677</v>
      </c>
      <c r="J390" s="5">
        <f t="shared" si="390"/>
        <v>104.2435851</v>
      </c>
      <c r="K390" s="5">
        <f t="shared" si="390"/>
        <v>141.5025636</v>
      </c>
      <c r="L390" s="7">
        <f t="shared" si="6"/>
        <v>-0.03547171437</v>
      </c>
    </row>
    <row r="391" ht="15.75" customHeight="1">
      <c r="A391" s="4">
        <f>IF(RETORNOS!A391="","",RETORNOS!A391)</f>
        <v>44979</v>
      </c>
      <c r="B391" s="7">
        <f>IF(RETORNOS!B391="","",OPTIMIZACION!$B$5*RETORNOS!B391+OPTIMIZACION!$B$6*RETORNOS!C391+OPTIMIZACION!$B$7*RETORNOS!D391+OPTIMIZACION!$B$8*RETORNOS!E391+OPTIMIZACION!$B$9*RETORNOS!F391+OPTIMIZACION!$B$10*RETORNOS!G391)</f>
        <v>-0.004246780877</v>
      </c>
      <c r="C391" s="7">
        <f>IF(RETORNOS!H391="","",RETORNOS!H391)</f>
        <v>-0.006664753172</v>
      </c>
      <c r="D391" s="7">
        <f>IF(RETORNOS!I391="","",RETORNOS!I391)</f>
        <v>-0.003867506095</v>
      </c>
      <c r="E391" s="7">
        <f t="shared" si="2"/>
        <v>-0.005266129634</v>
      </c>
      <c r="F391" s="7">
        <f t="shared" si="3"/>
        <v>0.002417972295</v>
      </c>
      <c r="G391" s="7">
        <f t="shared" si="4"/>
        <v>0.001019348756</v>
      </c>
      <c r="H391" s="5">
        <f t="shared" ref="H391:K391" si="391">IF(B391="","",H390*(1+B391))</f>
        <v>152.3282525</v>
      </c>
      <c r="I391" s="5">
        <f t="shared" si="391"/>
        <v>182.9117269</v>
      </c>
      <c r="J391" s="5">
        <f t="shared" si="391"/>
        <v>103.8404224</v>
      </c>
      <c r="K391" s="5">
        <f t="shared" si="391"/>
        <v>140.7573927</v>
      </c>
      <c r="L391" s="7">
        <f t="shared" si="6"/>
        <v>-0.03956785465</v>
      </c>
    </row>
    <row r="392" ht="15.75" customHeight="1">
      <c r="A392" s="4">
        <f>IF(RETORNOS!A392="","",RETORNOS!A392)</f>
        <v>44980</v>
      </c>
      <c r="B392" s="7">
        <f>IF(RETORNOS!B392="","",OPTIMIZACION!$B$5*RETORNOS!B392+OPTIMIZACION!$B$6*RETORNOS!C392+OPTIMIZACION!$B$7*RETORNOS!D392+OPTIMIZACION!$B$8*RETORNOS!E392+OPTIMIZACION!$B$9*RETORNOS!F392+OPTIMIZACION!$B$10*RETORNOS!G392)</f>
        <v>0.005496199161</v>
      </c>
      <c r="C392" s="7">
        <f>IF(RETORNOS!H392="","",RETORNOS!H392)</f>
        <v>0.01509431962</v>
      </c>
      <c r="D392" s="7">
        <f>IF(RETORNOS!I392="","",RETORNOS!I392)</f>
        <v>-0.00522911793</v>
      </c>
      <c r="E392" s="7">
        <f t="shared" si="2"/>
        <v>0.004932600843</v>
      </c>
      <c r="F392" s="7">
        <f t="shared" si="3"/>
        <v>-0.009598120455</v>
      </c>
      <c r="G392" s="7">
        <f t="shared" si="4"/>
        <v>0.0005635983181</v>
      </c>
      <c r="H392" s="5">
        <f t="shared" ref="H392:K392" si="392">IF(B392="","",H391*(1+B392))</f>
        <v>153.1654789</v>
      </c>
      <c r="I392" s="5">
        <f t="shared" si="392"/>
        <v>185.672655</v>
      </c>
      <c r="J392" s="5">
        <f t="shared" si="392"/>
        <v>103.2974286</v>
      </c>
      <c r="K392" s="5">
        <f t="shared" si="392"/>
        <v>141.4516928</v>
      </c>
      <c r="L392" s="7">
        <f t="shared" si="6"/>
        <v>-0.0342891283</v>
      </c>
    </row>
    <row r="393" ht="15.75" customHeight="1">
      <c r="A393" s="4">
        <f>IF(RETORNOS!A393="","",RETORNOS!A393)</f>
        <v>44981</v>
      </c>
      <c r="B393" s="7">
        <f>IF(RETORNOS!B393="","",OPTIMIZACION!$B$5*RETORNOS!B393+OPTIMIZACION!$B$6*RETORNOS!C393+OPTIMIZACION!$B$7*RETORNOS!D393+OPTIMIZACION!$B$8*RETORNOS!E393+OPTIMIZACION!$B$9*RETORNOS!F393+OPTIMIZACION!$B$10*RETORNOS!G393)</f>
        <v>0.001266397099</v>
      </c>
      <c r="C393" s="7">
        <f>IF(RETORNOS!H393="","",RETORNOS!H393)</f>
        <v>-0.001303137454</v>
      </c>
      <c r="D393" s="7">
        <f>IF(RETORNOS!I393="","",RETORNOS!I393)</f>
        <v>0.0002997187255</v>
      </c>
      <c r="E393" s="7">
        <f t="shared" si="2"/>
        <v>-0.000501709364</v>
      </c>
      <c r="F393" s="7">
        <f t="shared" si="3"/>
        <v>0.002569534552</v>
      </c>
      <c r="G393" s="7">
        <f t="shared" si="4"/>
        <v>0.001768106463</v>
      </c>
      <c r="H393" s="5">
        <f t="shared" ref="H393:K393" si="393">IF(B393="","",H392*(1+B393))</f>
        <v>153.3594472</v>
      </c>
      <c r="I393" s="5">
        <f t="shared" si="393"/>
        <v>185.430698</v>
      </c>
      <c r="J393" s="5">
        <f t="shared" si="393"/>
        <v>103.3283888</v>
      </c>
      <c r="K393" s="5">
        <f t="shared" si="393"/>
        <v>141.3807251</v>
      </c>
      <c r="L393" s="7">
        <f t="shared" si="6"/>
        <v>-0.03306615485</v>
      </c>
    </row>
    <row r="394" ht="15.75" customHeight="1">
      <c r="A394" s="4">
        <f>IF(RETORNOS!A394="","",RETORNOS!A394)</f>
        <v>44984</v>
      </c>
      <c r="B394" s="7">
        <f>IF(RETORNOS!B394="","",OPTIMIZACION!$B$5*RETORNOS!B394+OPTIMIZACION!$B$6*RETORNOS!C394+OPTIMIZACION!$B$7*RETORNOS!D394+OPTIMIZACION!$B$8*RETORNOS!E394+OPTIMIZACION!$B$9*RETORNOS!F394+OPTIMIZACION!$B$10*RETORNOS!G394)</f>
        <v>-0.00216980001</v>
      </c>
      <c r="C394" s="7">
        <f>IF(RETORNOS!H394="","",RETORNOS!H394)</f>
        <v>0.002954843197</v>
      </c>
      <c r="D394" s="7">
        <f>IF(RETORNOS!I394="","",RETORNOS!I394)</f>
        <v>-0.00675646754</v>
      </c>
      <c r="E394" s="7">
        <f t="shared" si="2"/>
        <v>-0.001900812171</v>
      </c>
      <c r="F394" s="7">
        <f t="shared" si="3"/>
        <v>-0.005124643207</v>
      </c>
      <c r="G394" s="7">
        <f t="shared" si="4"/>
        <v>-0.0002689878386</v>
      </c>
      <c r="H394" s="5">
        <f t="shared" ref="H394:K394" si="394">IF(B394="","",H393*(1+B394))</f>
        <v>153.0266879</v>
      </c>
      <c r="I394" s="5">
        <f t="shared" si="394"/>
        <v>185.9786166</v>
      </c>
      <c r="J394" s="5">
        <f t="shared" si="394"/>
        <v>102.6302539</v>
      </c>
      <c r="K394" s="5">
        <f t="shared" si="394"/>
        <v>141.1119869</v>
      </c>
      <c r="L394" s="7">
        <f t="shared" si="6"/>
        <v>-0.03516420792</v>
      </c>
    </row>
    <row r="395" ht="15.75" customHeight="1">
      <c r="A395" s="4">
        <f>IF(RETORNOS!A395="","",RETORNOS!A395)</f>
        <v>44985</v>
      </c>
      <c r="B395" s="7">
        <f>IF(RETORNOS!B395="","",OPTIMIZACION!$B$5*RETORNOS!B395+OPTIMIZACION!$B$6*RETORNOS!C395+OPTIMIZACION!$B$7*RETORNOS!D395+OPTIMIZACION!$B$8*RETORNOS!E395+OPTIMIZACION!$B$9*RETORNOS!F395+OPTIMIZACION!$B$10*RETORNOS!G395)</f>
        <v>-0.01410461072</v>
      </c>
      <c r="C395" s="7">
        <f>IF(RETORNOS!H395="","",RETORNOS!H395)</f>
        <v>-0.01437089529</v>
      </c>
      <c r="D395" s="7">
        <f>IF(RETORNOS!I395="","",RETORNOS!I395)</f>
        <v>-0.01753315852</v>
      </c>
      <c r="E395" s="7">
        <f t="shared" si="2"/>
        <v>-0.0159520269</v>
      </c>
      <c r="F395" s="7">
        <f t="shared" si="3"/>
        <v>0.0002662845705</v>
      </c>
      <c r="G395" s="7">
        <f t="shared" si="4"/>
        <v>0.001847416188</v>
      </c>
      <c r="H395" s="5">
        <f t="shared" ref="H395:K395" si="395">IF(B395="","",H394*(1+B395))</f>
        <v>150.868306</v>
      </c>
      <c r="I395" s="5">
        <f t="shared" si="395"/>
        <v>183.3059374</v>
      </c>
      <c r="J395" s="5">
        <f t="shared" si="395"/>
        <v>100.8308214</v>
      </c>
      <c r="K395" s="5">
        <f t="shared" si="395"/>
        <v>138.8609647</v>
      </c>
      <c r="L395" s="7">
        <f t="shared" si="6"/>
        <v>-0.04877284117</v>
      </c>
    </row>
    <row r="396" ht="15.75" customHeight="1">
      <c r="A396" s="4">
        <f>IF(RETORNOS!A396="","",RETORNOS!A396)</f>
        <v>44986</v>
      </c>
      <c r="B396" s="7">
        <f>IF(RETORNOS!B396="","",OPTIMIZACION!$B$5*RETORNOS!B396+OPTIMIZACION!$B$6*RETORNOS!C396+OPTIMIZACION!$B$7*RETORNOS!D396+OPTIMIZACION!$B$8*RETORNOS!E396+OPTIMIZACION!$B$9*RETORNOS!F396+OPTIMIZACION!$B$10*RETORNOS!G396)</f>
        <v>-0.0008661310015</v>
      </c>
      <c r="C396" s="7">
        <f>IF(RETORNOS!H396="","",RETORNOS!H396)</f>
        <v>0.01971743806</v>
      </c>
      <c r="D396" s="7">
        <f>IF(RETORNOS!I396="","",RETORNOS!I396)</f>
        <v>-0.01646264104</v>
      </c>
      <c r="E396" s="7">
        <f t="shared" si="2"/>
        <v>0.001627398507</v>
      </c>
      <c r="F396" s="7">
        <f t="shared" si="3"/>
        <v>-0.02058356906</v>
      </c>
      <c r="G396" s="7">
        <f t="shared" si="4"/>
        <v>-0.002493529509</v>
      </c>
      <c r="H396" s="5">
        <f t="shared" ref="H396:K396" si="396">IF(B396="","",H395*(1+B396))</f>
        <v>150.7376343</v>
      </c>
      <c r="I396" s="5">
        <f t="shared" si="396"/>
        <v>186.9202609</v>
      </c>
      <c r="J396" s="5">
        <f t="shared" si="396"/>
        <v>99.17087975</v>
      </c>
      <c r="K396" s="5">
        <f t="shared" si="396"/>
        <v>139.0869468</v>
      </c>
      <c r="L396" s="7">
        <f t="shared" si="6"/>
        <v>-0.0495967285</v>
      </c>
    </row>
    <row r="397" ht="15.75" customHeight="1">
      <c r="A397" s="4">
        <f>IF(RETORNOS!A397="","",RETORNOS!A397)</f>
        <v>44987</v>
      </c>
      <c r="B397" s="7">
        <f>IF(RETORNOS!B397="","",OPTIMIZACION!$B$5*RETORNOS!B397+OPTIMIZACION!$B$6*RETORNOS!C397+OPTIMIZACION!$B$7*RETORNOS!D397+OPTIMIZACION!$B$8*RETORNOS!E397+OPTIMIZACION!$B$9*RETORNOS!F397+OPTIMIZACION!$B$10*RETORNOS!G397)</f>
        <v>0.004051113519</v>
      </c>
      <c r="C397" s="7">
        <f>IF(RETORNOS!H397="","",RETORNOS!H397)</f>
        <v>0.008788700243</v>
      </c>
      <c r="D397" s="7">
        <f>IF(RETORNOS!I397="","",RETORNOS!I397)</f>
        <v>0.01893038845</v>
      </c>
      <c r="E397" s="7">
        <f t="shared" si="2"/>
        <v>0.01385954435</v>
      </c>
      <c r="F397" s="7">
        <f t="shared" si="3"/>
        <v>-0.004737586723</v>
      </c>
      <c r="G397" s="7">
        <f t="shared" si="4"/>
        <v>-0.009808430829</v>
      </c>
      <c r="H397" s="5">
        <f t="shared" ref="H397:K397" si="397">IF(B397="","",H396*(1+B397))</f>
        <v>151.3482895</v>
      </c>
      <c r="I397" s="5">
        <f t="shared" si="397"/>
        <v>188.563047</v>
      </c>
      <c r="J397" s="5">
        <f t="shared" si="397"/>
        <v>101.048223</v>
      </c>
      <c r="K397" s="5">
        <f t="shared" si="397"/>
        <v>141.0146285</v>
      </c>
      <c r="L397" s="7">
        <f t="shared" si="6"/>
        <v>-0.04574653696</v>
      </c>
    </row>
    <row r="398" ht="15.75" customHeight="1">
      <c r="A398" s="4">
        <f>IF(RETORNOS!A398="","",RETORNOS!A398)</f>
        <v>44988</v>
      </c>
      <c r="B398" s="7">
        <f>IF(RETORNOS!B398="","",OPTIMIZACION!$B$5*RETORNOS!B398+OPTIMIZACION!$B$6*RETORNOS!C398+OPTIMIZACION!$B$7*RETORNOS!D398+OPTIMIZACION!$B$8*RETORNOS!E398+OPTIMIZACION!$B$9*RETORNOS!F398+OPTIMIZACION!$B$10*RETORNOS!G398)</f>
        <v>0.01648046266</v>
      </c>
      <c r="C398" s="7">
        <f>IF(RETORNOS!H398="","",RETORNOS!H398)</f>
        <v>0.01359020579</v>
      </c>
      <c r="D398" s="7">
        <f>IF(RETORNOS!I398="","",RETORNOS!I398)</f>
        <v>0.0170366355</v>
      </c>
      <c r="E398" s="7">
        <f t="shared" si="2"/>
        <v>0.01531342065</v>
      </c>
      <c r="F398" s="7">
        <f t="shared" si="3"/>
        <v>0.002890256869</v>
      </c>
      <c r="G398" s="7">
        <f t="shared" si="4"/>
        <v>0.001167042017</v>
      </c>
      <c r="H398" s="5">
        <f t="shared" ref="H398:K398" si="398">IF(B398="","",H397*(1+B398))</f>
        <v>153.8425794</v>
      </c>
      <c r="I398" s="5">
        <f t="shared" si="398"/>
        <v>191.1256576</v>
      </c>
      <c r="J398" s="5">
        <f t="shared" si="398"/>
        <v>102.7697448</v>
      </c>
      <c r="K398" s="5">
        <f t="shared" si="398"/>
        <v>143.1740449</v>
      </c>
      <c r="L398" s="7">
        <f t="shared" si="6"/>
        <v>-0.03001999839</v>
      </c>
    </row>
    <row r="399" ht="15.75" customHeight="1">
      <c r="A399" s="4">
        <f>IF(RETORNOS!A399="","",RETORNOS!A399)</f>
        <v>44991</v>
      </c>
      <c r="B399" s="7">
        <f>IF(RETORNOS!B399="","",OPTIMIZACION!$B$5*RETORNOS!B399+OPTIMIZACION!$B$6*RETORNOS!C399+OPTIMIZACION!$B$7*RETORNOS!D399+OPTIMIZACION!$B$8*RETORNOS!E399+OPTIMIZACION!$B$9*RETORNOS!F399+OPTIMIZACION!$B$10*RETORNOS!G399)</f>
        <v>0.022277486</v>
      </c>
      <c r="C399" s="7">
        <f>IF(RETORNOS!H399="","",RETORNOS!H399)</f>
        <v>0.0004566580747</v>
      </c>
      <c r="D399" s="7">
        <f>IF(RETORNOS!I399="","",RETORNOS!I399)</f>
        <v>0.004833364783</v>
      </c>
      <c r="E399" s="7">
        <f t="shared" si="2"/>
        <v>0.002645011429</v>
      </c>
      <c r="F399" s="7">
        <f t="shared" si="3"/>
        <v>0.02182082792</v>
      </c>
      <c r="G399" s="7">
        <f t="shared" si="4"/>
        <v>0.01963247457</v>
      </c>
      <c r="H399" s="5">
        <f t="shared" ref="H399:K399" si="399">IF(B399="","",H398*(1+B399))</f>
        <v>157.2698053</v>
      </c>
      <c r="I399" s="5">
        <f t="shared" si="399"/>
        <v>191.2129367</v>
      </c>
      <c r="J399" s="5">
        <f t="shared" si="399"/>
        <v>103.2664684</v>
      </c>
      <c r="K399" s="5">
        <f t="shared" si="399"/>
        <v>143.5527418</v>
      </c>
      <c r="L399" s="7">
        <f t="shared" si="6"/>
        <v>-0.00841128249</v>
      </c>
    </row>
    <row r="400" ht="15.75" customHeight="1">
      <c r="A400" s="4">
        <f>IF(RETORNOS!A400="","",RETORNOS!A400)</f>
        <v>44992</v>
      </c>
      <c r="B400" s="7">
        <f>IF(RETORNOS!B400="","",OPTIMIZACION!$B$5*RETORNOS!B400+OPTIMIZACION!$B$6*RETORNOS!C400+OPTIMIZACION!$B$7*RETORNOS!D400+OPTIMIZACION!$B$8*RETORNOS!E400+OPTIMIZACION!$B$9*RETORNOS!F400+OPTIMIZACION!$B$10*RETORNOS!G400)</f>
        <v>-0.009786247439</v>
      </c>
      <c r="C400" s="7">
        <f>IF(RETORNOS!H400="","",RETORNOS!H400)</f>
        <v>-0.01740848185</v>
      </c>
      <c r="D400" s="7">
        <f>IF(RETORNOS!I400="","",RETORNOS!I400)</f>
        <v>-0.01637416111</v>
      </c>
      <c r="E400" s="7">
        <f t="shared" si="2"/>
        <v>-0.01689132148</v>
      </c>
      <c r="F400" s="7">
        <f t="shared" si="3"/>
        <v>0.00762223441</v>
      </c>
      <c r="G400" s="7">
        <f t="shared" si="4"/>
        <v>0.007105074042</v>
      </c>
      <c r="H400" s="5">
        <f t="shared" ref="H400:K400" si="400">IF(B400="","",H399*(1+B400))</f>
        <v>155.7307241</v>
      </c>
      <c r="I400" s="5">
        <f t="shared" si="400"/>
        <v>187.8842098</v>
      </c>
      <c r="J400" s="5">
        <f t="shared" si="400"/>
        <v>101.5755666</v>
      </c>
      <c r="K400" s="5">
        <f t="shared" si="400"/>
        <v>141.1279463</v>
      </c>
      <c r="L400" s="7">
        <f t="shared" si="6"/>
        <v>-0.01811521504</v>
      </c>
    </row>
    <row r="401" ht="15.75" customHeight="1">
      <c r="A401" s="4">
        <f>IF(RETORNOS!A401="","",RETORNOS!A401)</f>
        <v>44993</v>
      </c>
      <c r="B401" s="7">
        <f>IF(RETORNOS!B401="","",OPTIMIZACION!$B$5*RETORNOS!B401+OPTIMIZACION!$B$6*RETORNOS!C401+OPTIMIZACION!$B$7*RETORNOS!D401+OPTIMIZACION!$B$8*RETORNOS!E401+OPTIMIZACION!$B$9*RETORNOS!F401+OPTIMIZACION!$B$10*RETORNOS!G401)</f>
        <v>-0.0001729888502</v>
      </c>
      <c r="C401" s="7">
        <f>IF(RETORNOS!H401="","",RETORNOS!H401)</f>
        <v>-0.01025593381</v>
      </c>
      <c r="D401" s="7">
        <f>IF(RETORNOS!I401="","",RETORNOS!I401)</f>
        <v>0.007636732684</v>
      </c>
      <c r="E401" s="7">
        <f t="shared" si="2"/>
        <v>-0.001309600562</v>
      </c>
      <c r="F401" s="7">
        <f t="shared" si="3"/>
        <v>0.01008294496</v>
      </c>
      <c r="G401" s="7">
        <f t="shared" si="4"/>
        <v>0.001136611712</v>
      </c>
      <c r="H401" s="5">
        <f t="shared" ref="H401:K401" si="401">IF(B401="","",H400*(1+B401))</f>
        <v>155.7037844</v>
      </c>
      <c r="I401" s="5">
        <f t="shared" si="401"/>
        <v>185.9572817</v>
      </c>
      <c r="J401" s="5">
        <f t="shared" si="401"/>
        <v>102.3512721</v>
      </c>
      <c r="K401" s="5">
        <f t="shared" si="401"/>
        <v>140.9431251</v>
      </c>
      <c r="L401" s="7">
        <f t="shared" si="6"/>
        <v>-0.01828507016</v>
      </c>
    </row>
    <row r="402" ht="15.75" customHeight="1">
      <c r="A402" s="4">
        <f>IF(RETORNOS!A402="","",RETORNOS!A402)</f>
        <v>44994</v>
      </c>
      <c r="B402" s="7">
        <f>IF(RETORNOS!B402="","",OPTIMIZACION!$B$5*RETORNOS!B402+OPTIMIZACION!$B$6*RETORNOS!C402+OPTIMIZACION!$B$7*RETORNOS!D402+OPTIMIZACION!$B$8*RETORNOS!E402+OPTIMIZACION!$B$9*RETORNOS!F402+OPTIMIZACION!$B$10*RETORNOS!G402)</f>
        <v>-0.01340395236</v>
      </c>
      <c r="C402" s="7">
        <f>IF(RETORNOS!H402="","",RETORNOS!H402)</f>
        <v>-0.01413786899</v>
      </c>
      <c r="D402" s="7">
        <f>IF(RETORNOS!I402="","",RETORNOS!I402)</f>
        <v>-0.008030927047</v>
      </c>
      <c r="E402" s="7">
        <f t="shared" si="2"/>
        <v>-0.01108439802</v>
      </c>
      <c r="F402" s="7">
        <f t="shared" si="3"/>
        <v>0.0007339166333</v>
      </c>
      <c r="G402" s="7">
        <f t="shared" si="4"/>
        <v>-0.00231955434</v>
      </c>
      <c r="H402" s="5">
        <f t="shared" ref="H402:K402" si="402">IF(B402="","",H401*(1+B402))</f>
        <v>153.6167383</v>
      </c>
      <c r="I402" s="5">
        <f t="shared" si="402"/>
        <v>183.3282421</v>
      </c>
      <c r="J402" s="5">
        <f t="shared" si="402"/>
        <v>101.5292965</v>
      </c>
      <c r="K402" s="5">
        <f t="shared" si="402"/>
        <v>139.3808554</v>
      </c>
      <c r="L402" s="7">
        <f t="shared" si="6"/>
        <v>-0.03144393031</v>
      </c>
    </row>
    <row r="403" ht="15.75" customHeight="1">
      <c r="A403" s="4">
        <f>IF(RETORNOS!A403="","",RETORNOS!A403)</f>
        <v>44995</v>
      </c>
      <c r="B403" s="7">
        <f>IF(RETORNOS!B403="","",OPTIMIZACION!$B$5*RETORNOS!B403+OPTIMIZACION!$B$6*RETORNOS!C403+OPTIMIZACION!$B$7*RETORNOS!D403+OPTIMIZACION!$B$8*RETORNOS!E403+OPTIMIZACION!$B$9*RETORNOS!F403+OPTIMIZACION!$B$10*RETORNOS!G403)</f>
        <v>-0.02683983126</v>
      </c>
      <c r="C403" s="7">
        <f>IF(RETORNOS!H403="","",RETORNOS!H403)</f>
        <v>-0.01278277222</v>
      </c>
      <c r="D403" s="7">
        <f>IF(RETORNOS!I403="","",RETORNOS!I403)</f>
        <v>-0.01574285992</v>
      </c>
      <c r="E403" s="7">
        <f t="shared" si="2"/>
        <v>-0.01426281607</v>
      </c>
      <c r="F403" s="7">
        <f t="shared" si="3"/>
        <v>-0.01405705904</v>
      </c>
      <c r="G403" s="7">
        <f t="shared" si="4"/>
        <v>-0.01257701519</v>
      </c>
      <c r="H403" s="5">
        <f t="shared" ref="H403:K403" si="403">IF(B403="","",H402*(1+B403))</f>
        <v>149.4936909</v>
      </c>
      <c r="I403" s="5">
        <f t="shared" si="403"/>
        <v>180.9847989</v>
      </c>
      <c r="J403" s="5">
        <f t="shared" si="403"/>
        <v>99.930935</v>
      </c>
      <c r="K403" s="5">
        <f t="shared" si="403"/>
        <v>137.3928919</v>
      </c>
      <c r="L403" s="7">
        <f t="shared" si="6"/>
        <v>-0.05743981178</v>
      </c>
    </row>
    <row r="404" ht="15.75" customHeight="1">
      <c r="A404" s="4">
        <f>IF(RETORNOS!A404="","",RETORNOS!A404)</f>
        <v>44998</v>
      </c>
      <c r="B404" s="7">
        <f>IF(RETORNOS!B404="","",OPTIMIZACION!$B$5*RETORNOS!B404+OPTIMIZACION!$B$6*RETORNOS!C404+OPTIMIZACION!$B$7*RETORNOS!D404+OPTIMIZACION!$B$8*RETORNOS!E404+OPTIMIZACION!$B$9*RETORNOS!F404+OPTIMIZACION!$B$10*RETORNOS!G404)</f>
        <v>-0.005729972233</v>
      </c>
      <c r="C404" s="7">
        <f>IF(RETORNOS!H404="","",RETORNOS!H404)</f>
        <v>-0.02033199912</v>
      </c>
      <c r="D404" s="7">
        <f>IF(RETORNOS!I404="","",RETORNOS!I404)</f>
        <v>0.01536481651</v>
      </c>
      <c r="E404" s="7">
        <f t="shared" si="2"/>
        <v>-0.002483591305</v>
      </c>
      <c r="F404" s="7">
        <f t="shared" si="3"/>
        <v>0.01460202689</v>
      </c>
      <c r="G404" s="7">
        <f t="shared" si="4"/>
        <v>-0.003246380928</v>
      </c>
      <c r="H404" s="5">
        <f t="shared" ref="H404:K404" si="404">IF(B404="","",H403*(1+B404))</f>
        <v>148.6370962</v>
      </c>
      <c r="I404" s="5">
        <f t="shared" si="404"/>
        <v>177.3050161</v>
      </c>
      <c r="J404" s="5">
        <f t="shared" si="404"/>
        <v>101.4663555</v>
      </c>
      <c r="K404" s="5">
        <f t="shared" si="404"/>
        <v>137.0516641</v>
      </c>
      <c r="L404" s="7">
        <f t="shared" si="6"/>
        <v>-0.06284065549</v>
      </c>
    </row>
    <row r="405" ht="15.75" customHeight="1">
      <c r="A405" s="4">
        <f>IF(RETORNOS!A405="","",RETORNOS!A405)</f>
        <v>44999</v>
      </c>
      <c r="B405" s="7">
        <f>IF(RETORNOS!B405="","",OPTIMIZACION!$B$5*RETORNOS!B405+OPTIMIZACION!$B$6*RETORNOS!C405+OPTIMIZACION!$B$7*RETORNOS!D405+OPTIMIZACION!$B$8*RETORNOS!E405+OPTIMIZACION!$B$9*RETORNOS!F405+OPTIMIZACION!$B$10*RETORNOS!G405)</f>
        <v>0.0115720281</v>
      </c>
      <c r="C405" s="7">
        <f>IF(RETORNOS!H405="","",RETORNOS!H405)</f>
        <v>0.009886097931</v>
      </c>
      <c r="D405" s="7">
        <f>IF(RETORNOS!I405="","",RETORNOS!I405)</f>
        <v>0.01315401226</v>
      </c>
      <c r="E405" s="7">
        <f t="shared" si="2"/>
        <v>0.01152005509</v>
      </c>
      <c r="F405" s="7">
        <f t="shared" si="3"/>
        <v>0.001685930171</v>
      </c>
      <c r="G405" s="7">
        <f t="shared" si="4"/>
        <v>0.0000519730075</v>
      </c>
      <c r="H405" s="5">
        <f t="shared" ref="H405:K405" si="405">IF(B405="","",H404*(1+B405))</f>
        <v>150.3571289</v>
      </c>
      <c r="I405" s="5">
        <f t="shared" si="405"/>
        <v>179.0578709</v>
      </c>
      <c r="J405" s="5">
        <f t="shared" si="405"/>
        <v>102.8010452</v>
      </c>
      <c r="K405" s="5">
        <f t="shared" si="405"/>
        <v>138.6305068</v>
      </c>
      <c r="L405" s="7">
        <f t="shared" si="6"/>
        <v>-0.05199582122</v>
      </c>
    </row>
    <row r="406" ht="15.75" customHeight="1">
      <c r="A406" s="4">
        <f>IF(RETORNOS!A406="","",RETORNOS!A406)</f>
        <v>45000</v>
      </c>
      <c r="B406" s="7">
        <f>IF(RETORNOS!B406="","",OPTIMIZACION!$B$5*RETORNOS!B406+OPTIMIZACION!$B$6*RETORNOS!C406+OPTIMIZACION!$B$7*RETORNOS!D406+OPTIMIZACION!$B$8*RETORNOS!E406+OPTIMIZACION!$B$9*RETORNOS!F406+OPTIMIZACION!$B$10*RETORNOS!G406)</f>
        <v>-0.0268963024</v>
      </c>
      <c r="C406" s="7">
        <f>IF(RETORNOS!H406="","",RETORNOS!H406)</f>
        <v>-0.05370721404</v>
      </c>
      <c r="D406" s="7">
        <f>IF(RETORNOS!I406="","",RETORNOS!I406)</f>
        <v>0.01357894354</v>
      </c>
      <c r="E406" s="7">
        <f t="shared" si="2"/>
        <v>-0.02006413525</v>
      </c>
      <c r="F406" s="7">
        <f t="shared" si="3"/>
        <v>0.02681091164</v>
      </c>
      <c r="G406" s="7">
        <f t="shared" si="4"/>
        <v>-0.006832167152</v>
      </c>
      <c r="H406" s="5">
        <f t="shared" ref="H406:K406" si="406">IF(B406="","",H405*(1+B406))</f>
        <v>146.3130781</v>
      </c>
      <c r="I406" s="5">
        <f t="shared" si="406"/>
        <v>169.4411715</v>
      </c>
      <c r="J406" s="5">
        <f t="shared" si="406"/>
        <v>104.1969747</v>
      </c>
      <c r="K406" s="5">
        <f t="shared" si="406"/>
        <v>135.8490056</v>
      </c>
      <c r="L406" s="7">
        <f t="shared" si="6"/>
        <v>-0.07749362829</v>
      </c>
    </row>
    <row r="407" ht="15.75" customHeight="1">
      <c r="A407" s="4">
        <f>IF(RETORNOS!A407="","",RETORNOS!A407)</f>
        <v>45001</v>
      </c>
      <c r="B407" s="7">
        <f>IF(RETORNOS!B407="","",OPTIMIZACION!$B$5*RETORNOS!B407+OPTIMIZACION!$B$6*RETORNOS!C407+OPTIMIZACION!$B$7*RETORNOS!D407+OPTIMIZACION!$B$8*RETORNOS!E407+OPTIMIZACION!$B$9*RETORNOS!F407+OPTIMIZACION!$B$10*RETORNOS!G407)</f>
        <v>0.01027853976</v>
      </c>
      <c r="C407" s="7">
        <f>IF(RETORNOS!H407="","",RETORNOS!H407)</f>
        <v>0.01086287763</v>
      </c>
      <c r="D407" s="7">
        <f>IF(RETORNOS!I407="","",RETORNOS!I407)</f>
        <v>0.006703410805</v>
      </c>
      <c r="E407" s="7">
        <f t="shared" si="2"/>
        <v>0.008783144219</v>
      </c>
      <c r="F407" s="7">
        <f t="shared" si="3"/>
        <v>-0.000584337872</v>
      </c>
      <c r="G407" s="7">
        <f t="shared" si="4"/>
        <v>0.001495395542</v>
      </c>
      <c r="H407" s="5">
        <f t="shared" ref="H407:K407" si="407">IF(B407="","",H406*(1+B407))</f>
        <v>147.8169629</v>
      </c>
      <c r="I407" s="5">
        <f t="shared" si="407"/>
        <v>171.2817902</v>
      </c>
      <c r="J407" s="5">
        <f t="shared" si="407"/>
        <v>104.8954499</v>
      </c>
      <c r="K407" s="5">
        <f t="shared" si="407"/>
        <v>137.042187</v>
      </c>
      <c r="L407" s="7">
        <f t="shared" si="6"/>
        <v>-0.06801160987</v>
      </c>
    </row>
    <row r="408" ht="15.75" customHeight="1">
      <c r="A408" s="4">
        <f>IF(RETORNOS!A408="","",RETORNOS!A408)</f>
        <v>45002</v>
      </c>
      <c r="B408" s="7">
        <f>IF(RETORNOS!B408="","",OPTIMIZACION!$B$5*RETORNOS!B408+OPTIMIZACION!$B$6*RETORNOS!C408+OPTIMIZACION!$B$7*RETORNOS!D408+OPTIMIZACION!$B$8*RETORNOS!E408+OPTIMIZACION!$B$9*RETORNOS!F408+OPTIMIZACION!$B$10*RETORNOS!G408)</f>
        <v>-0.01684411924</v>
      </c>
      <c r="C408" s="7">
        <f>IF(RETORNOS!H408="","",RETORNOS!H408)</f>
        <v>-0.01572854947</v>
      </c>
      <c r="D408" s="7">
        <f>IF(RETORNOS!I408="","",RETORNOS!I408)</f>
        <v>-0.009613544589</v>
      </c>
      <c r="E408" s="7">
        <f t="shared" si="2"/>
        <v>-0.01267104703</v>
      </c>
      <c r="F408" s="7">
        <f t="shared" si="3"/>
        <v>-0.001115569776</v>
      </c>
      <c r="G408" s="7">
        <f t="shared" si="4"/>
        <v>-0.004173072216</v>
      </c>
      <c r="H408" s="5">
        <f t="shared" ref="H408:K408" si="408">IF(B408="","",H407*(1+B408))</f>
        <v>145.3271163</v>
      </c>
      <c r="I408" s="5">
        <f t="shared" si="408"/>
        <v>168.5877761</v>
      </c>
      <c r="J408" s="5">
        <f t="shared" si="408"/>
        <v>103.8870328</v>
      </c>
      <c r="K408" s="5">
        <f t="shared" si="408"/>
        <v>135.305719</v>
      </c>
      <c r="L408" s="7">
        <f t="shared" si="6"/>
        <v>-0.08371013345</v>
      </c>
    </row>
    <row r="409" ht="15.75" customHeight="1">
      <c r="A409" s="4">
        <f>IF(RETORNOS!A409="","",RETORNOS!A409)</f>
        <v>45005</v>
      </c>
      <c r="B409" s="7">
        <f>IF(RETORNOS!B409="","",OPTIMIZACION!$B$5*RETORNOS!B409+OPTIMIZACION!$B$6*RETORNOS!C409+OPTIMIZACION!$B$7*RETORNOS!D409+OPTIMIZACION!$B$8*RETORNOS!E409+OPTIMIZACION!$B$9*RETORNOS!F409+OPTIMIZACION!$B$10*RETORNOS!G409)</f>
        <v>0.01715822397</v>
      </c>
      <c r="C409" s="7">
        <f>IF(RETORNOS!H409="","",RETORNOS!H409)</f>
        <v>0.020023757</v>
      </c>
      <c r="D409" s="7">
        <f>IF(RETORNOS!I409="","",RETORNOS!I409)</f>
        <v>0.007813958363</v>
      </c>
      <c r="E409" s="7">
        <f t="shared" si="2"/>
        <v>0.01391885768</v>
      </c>
      <c r="F409" s="7">
        <f t="shared" si="3"/>
        <v>-0.002865533032</v>
      </c>
      <c r="G409" s="7">
        <f t="shared" si="4"/>
        <v>0.003239366286</v>
      </c>
      <c r="H409" s="5">
        <f t="shared" ref="H409:K409" si="409">IF(B409="","",H408*(1+B409))</f>
        <v>147.8206715</v>
      </c>
      <c r="I409" s="5">
        <f t="shared" si="409"/>
        <v>171.9635367</v>
      </c>
      <c r="J409" s="5">
        <f t="shared" si="409"/>
        <v>104.6988017</v>
      </c>
      <c r="K409" s="5">
        <f t="shared" si="409"/>
        <v>137.18902</v>
      </c>
      <c r="L409" s="7">
        <f t="shared" si="6"/>
        <v>-0.0679882267</v>
      </c>
    </row>
    <row r="410" ht="15.75" customHeight="1">
      <c r="A410" s="4">
        <f>IF(RETORNOS!A410="","",RETORNOS!A410)</f>
        <v>45006</v>
      </c>
      <c r="B410" s="7">
        <f>IF(RETORNOS!B410="","",OPTIMIZACION!$B$5*RETORNOS!B410+OPTIMIZACION!$B$6*RETORNOS!C410+OPTIMIZACION!$B$7*RETORNOS!D410+OPTIMIZACION!$B$8*RETORNOS!E410+OPTIMIZACION!$B$9*RETORNOS!F410+OPTIMIZACION!$B$10*RETORNOS!G410)</f>
        <v>0.01749415919</v>
      </c>
      <c r="C410" s="7">
        <f>IF(RETORNOS!H410="","",RETORNOS!H410)</f>
        <v>0.03461732586</v>
      </c>
      <c r="D410" s="7">
        <f>IF(RETORNOS!I410="","",RETORNOS!I410)</f>
        <v>-0.02015032317</v>
      </c>
      <c r="E410" s="7">
        <f t="shared" si="2"/>
        <v>0.007233501349</v>
      </c>
      <c r="F410" s="7">
        <f t="shared" si="3"/>
        <v>-0.01712316668</v>
      </c>
      <c r="G410" s="7">
        <f t="shared" si="4"/>
        <v>0.01026065784</v>
      </c>
      <c r="H410" s="5">
        <f t="shared" ref="H410:K410" si="410">IF(B410="","",H409*(1+B410))</f>
        <v>150.4066699</v>
      </c>
      <c r="I410" s="5">
        <f t="shared" si="410"/>
        <v>177.9164545</v>
      </c>
      <c r="J410" s="5">
        <f t="shared" si="410"/>
        <v>102.589087</v>
      </c>
      <c r="K410" s="5">
        <f t="shared" si="410"/>
        <v>138.181377</v>
      </c>
      <c r="L410" s="7">
        <f t="shared" si="6"/>
        <v>-0.05168346437</v>
      </c>
    </row>
    <row r="411" ht="15.75" customHeight="1">
      <c r="A411" s="4">
        <f>IF(RETORNOS!A411="","",RETORNOS!A411)</f>
        <v>45007</v>
      </c>
      <c r="B411" s="7">
        <f>IF(RETORNOS!B411="","",OPTIMIZACION!$B$5*RETORNOS!B411+OPTIMIZACION!$B$6*RETORNOS!C411+OPTIMIZACION!$B$7*RETORNOS!D411+OPTIMIZACION!$B$8*RETORNOS!E411+OPTIMIZACION!$B$9*RETORNOS!F411+OPTIMIZACION!$B$10*RETORNOS!G411)</f>
        <v>-0.01527590421</v>
      </c>
      <c r="C411" s="7">
        <f>IF(RETORNOS!H411="","",RETORNOS!H411)</f>
        <v>-0.02126859367</v>
      </c>
      <c r="D411" s="7">
        <f>IF(RETORNOS!I411="","",RETORNOS!I411)</f>
        <v>-0.01964607874</v>
      </c>
      <c r="E411" s="7">
        <f t="shared" si="2"/>
        <v>-0.02045733621</v>
      </c>
      <c r="F411" s="7">
        <f t="shared" si="3"/>
        <v>0.005992689461</v>
      </c>
      <c r="G411" s="7">
        <f t="shared" si="4"/>
        <v>0.005181431999</v>
      </c>
      <c r="H411" s="5">
        <f t="shared" ref="H411:K411" si="411">IF(B411="","",H410*(1+B411))</f>
        <v>148.109072</v>
      </c>
      <c r="I411" s="5">
        <f t="shared" si="411"/>
        <v>174.1324218</v>
      </c>
      <c r="J411" s="5">
        <f t="shared" si="411"/>
        <v>100.5736138</v>
      </c>
      <c r="K411" s="5">
        <f t="shared" si="411"/>
        <v>135.3545541</v>
      </c>
      <c r="L411" s="7">
        <f t="shared" si="6"/>
        <v>-0.06616985693</v>
      </c>
    </row>
    <row r="412" ht="15.75" customHeight="1">
      <c r="A412" s="4">
        <f>IF(RETORNOS!A412="","",RETORNOS!A412)</f>
        <v>45008</v>
      </c>
      <c r="B412" s="7">
        <f>IF(RETORNOS!B412="","",OPTIMIZACION!$B$5*RETORNOS!B412+OPTIMIZACION!$B$6*RETORNOS!C412+OPTIMIZACION!$B$7*RETORNOS!D412+OPTIMIZACION!$B$8*RETORNOS!E412+OPTIMIZACION!$B$9*RETORNOS!F412+OPTIMIZACION!$B$10*RETORNOS!G412)</f>
        <v>-0.01000297406</v>
      </c>
      <c r="C412" s="7">
        <f>IF(RETORNOS!H412="","",RETORNOS!H412)</f>
        <v>-0.0138560155</v>
      </c>
      <c r="D412" s="7">
        <f>IF(RETORNOS!I412="","",RETORNOS!I412)</f>
        <v>-0.01025330501</v>
      </c>
      <c r="E412" s="7">
        <f t="shared" si="2"/>
        <v>-0.01205466026</v>
      </c>
      <c r="F412" s="7">
        <f t="shared" si="3"/>
        <v>0.003853041446</v>
      </c>
      <c r="G412" s="7">
        <f t="shared" si="4"/>
        <v>0.002051686197</v>
      </c>
      <c r="H412" s="5">
        <f t="shared" ref="H412:K412" si="412">IF(B412="","",H411*(1+B412))</f>
        <v>146.6275408</v>
      </c>
      <c r="I412" s="5">
        <f t="shared" si="412"/>
        <v>171.7196402</v>
      </c>
      <c r="J412" s="5">
        <f t="shared" si="412"/>
        <v>99.54240183</v>
      </c>
      <c r="K412" s="5">
        <f t="shared" si="412"/>
        <v>133.722901</v>
      </c>
      <c r="L412" s="7">
        <f t="shared" si="6"/>
        <v>-0.07551093562</v>
      </c>
    </row>
    <row r="413" ht="15.75" customHeight="1">
      <c r="A413" s="4">
        <f>IF(RETORNOS!A413="","",RETORNOS!A413)</f>
        <v>45009</v>
      </c>
      <c r="B413" s="7">
        <f>IF(RETORNOS!B413="","",OPTIMIZACION!$B$5*RETORNOS!B413+OPTIMIZACION!$B$6*RETORNOS!C413+OPTIMIZACION!$B$7*RETORNOS!D413+OPTIMIZACION!$B$8*RETORNOS!E413+OPTIMIZACION!$B$9*RETORNOS!F413+OPTIMIZACION!$B$10*RETORNOS!G413)</f>
        <v>0.008868285439</v>
      </c>
      <c r="C413" s="7">
        <f>IF(RETORNOS!H413="","",RETORNOS!H413)</f>
        <v>0.00386846103</v>
      </c>
      <c r="D413" s="7">
        <f>IF(RETORNOS!I413="","",RETORNOS!I413)</f>
        <v>0.03123579453</v>
      </c>
      <c r="E413" s="7">
        <f t="shared" si="2"/>
        <v>0.01755212778</v>
      </c>
      <c r="F413" s="7">
        <f t="shared" si="3"/>
        <v>0.004999824409</v>
      </c>
      <c r="G413" s="7">
        <f t="shared" si="4"/>
        <v>-0.008683842342</v>
      </c>
      <c r="H413" s="5">
        <f t="shared" ref="H413:K413" si="413">IF(B413="","",H412*(1+B413))</f>
        <v>147.9278757</v>
      </c>
      <c r="I413" s="5">
        <f t="shared" si="413"/>
        <v>172.383931</v>
      </c>
      <c r="J413" s="5">
        <f t="shared" si="413"/>
        <v>102.6516878</v>
      </c>
      <c r="K413" s="5">
        <f t="shared" si="413"/>
        <v>136.0700224</v>
      </c>
      <c r="L413" s="7">
        <f t="shared" si="6"/>
        <v>-0.06731230272</v>
      </c>
    </row>
    <row r="414" ht="15.75" customHeight="1">
      <c r="A414" s="4">
        <f>IF(RETORNOS!A414="","",RETORNOS!A414)</f>
        <v>45012</v>
      </c>
      <c r="B414" s="7">
        <f>IF(RETORNOS!B414="","",OPTIMIZACION!$B$5*RETORNOS!B414+OPTIMIZACION!$B$6*RETORNOS!C414+OPTIMIZACION!$B$7*RETORNOS!D414+OPTIMIZACION!$B$8*RETORNOS!E414+OPTIMIZACION!$B$9*RETORNOS!F414+OPTIMIZACION!$B$10*RETORNOS!G414)</f>
        <v>0.01190785832</v>
      </c>
      <c r="C414" s="7">
        <f>IF(RETORNOS!H414="","",RETORNOS!H414)</f>
        <v>0.02131268354</v>
      </c>
      <c r="D414" s="7">
        <f>IF(RETORNOS!I414="","",RETORNOS!I414)</f>
        <v>0.001216359539</v>
      </c>
      <c r="E414" s="7">
        <f t="shared" si="2"/>
        <v>0.01126452154</v>
      </c>
      <c r="F414" s="7">
        <f t="shared" si="3"/>
        <v>-0.009404825211</v>
      </c>
      <c r="G414" s="7">
        <f t="shared" si="4"/>
        <v>0.0006433367873</v>
      </c>
      <c r="H414" s="5">
        <f t="shared" ref="H414:K414" si="414">IF(B414="","",H413*(1+B414))</f>
        <v>149.6893799</v>
      </c>
      <c r="I414" s="5">
        <f t="shared" si="414"/>
        <v>176.0578951</v>
      </c>
      <c r="J414" s="5">
        <f t="shared" si="414"/>
        <v>102.7765492</v>
      </c>
      <c r="K414" s="5">
        <f t="shared" si="414"/>
        <v>137.6027861</v>
      </c>
      <c r="L414" s="7">
        <f t="shared" si="6"/>
        <v>-0.05620598975</v>
      </c>
    </row>
    <row r="415" ht="15.75" customHeight="1">
      <c r="A415" s="4">
        <f>IF(RETORNOS!A415="","",RETORNOS!A415)</f>
        <v>45013</v>
      </c>
      <c r="B415" s="7">
        <f>IF(RETORNOS!B415="","",OPTIMIZACION!$B$5*RETORNOS!B415+OPTIMIZACION!$B$6*RETORNOS!C415+OPTIMIZACION!$B$7*RETORNOS!D415+OPTIMIZACION!$B$8*RETORNOS!E415+OPTIMIZACION!$B$9*RETORNOS!F415+OPTIMIZACION!$B$10*RETORNOS!G415)</f>
        <v>0.009944371008</v>
      </c>
      <c r="C415" s="7">
        <f>IF(RETORNOS!H415="","",RETORNOS!H415)</f>
        <v>0.0154616035</v>
      </c>
      <c r="D415" s="7">
        <f>IF(RETORNOS!I415="","",RETORNOS!I415)</f>
        <v>0.002740932248</v>
      </c>
      <c r="E415" s="7">
        <f t="shared" si="2"/>
        <v>0.009101267875</v>
      </c>
      <c r="F415" s="7">
        <f t="shared" si="3"/>
        <v>-0.005517232493</v>
      </c>
      <c r="G415" s="7">
        <f t="shared" si="4"/>
        <v>0.0008431031336</v>
      </c>
      <c r="H415" s="5">
        <f t="shared" ref="H415:K415" si="415">IF(B415="","",H414*(1+B415))</f>
        <v>151.1779466</v>
      </c>
      <c r="I415" s="5">
        <f t="shared" si="415"/>
        <v>178.7800325</v>
      </c>
      <c r="J415" s="5">
        <f t="shared" si="415"/>
        <v>103.0582528</v>
      </c>
      <c r="K415" s="5">
        <f t="shared" si="415"/>
        <v>138.8551459</v>
      </c>
      <c r="L415" s="7">
        <f t="shared" si="6"/>
        <v>-0.04682055196</v>
      </c>
    </row>
    <row r="416" ht="15.75" customHeight="1">
      <c r="A416" s="4">
        <f>IF(RETORNOS!A416="","",RETORNOS!A416)</f>
        <v>45014</v>
      </c>
      <c r="B416" s="7">
        <f>IF(RETORNOS!B416="","",OPTIMIZACION!$B$5*RETORNOS!B416+OPTIMIZACION!$B$6*RETORNOS!C416+OPTIMIZACION!$B$7*RETORNOS!D416+OPTIMIZACION!$B$8*RETORNOS!E416+OPTIMIZACION!$B$9*RETORNOS!F416+OPTIMIZACION!$B$10*RETORNOS!G416)</f>
        <v>0.01619178789</v>
      </c>
      <c r="C416" s="7">
        <f>IF(RETORNOS!H416="","",RETORNOS!H416)</f>
        <v>0.01386466761</v>
      </c>
      <c r="D416" s="7">
        <f>IF(RETORNOS!I416="","",RETORNOS!I416)</f>
        <v>0.01455523827</v>
      </c>
      <c r="E416" s="7">
        <f t="shared" si="2"/>
        <v>0.01420995294</v>
      </c>
      <c r="F416" s="7">
        <f t="shared" si="3"/>
        <v>0.00232712028</v>
      </c>
      <c r="G416" s="7">
        <f t="shared" si="4"/>
        <v>0.001981834951</v>
      </c>
      <c r="H416" s="5">
        <f t="shared" ref="H416:K416" si="416">IF(B416="","",H415*(1+B416))</f>
        <v>153.6257879</v>
      </c>
      <c r="I416" s="5">
        <f t="shared" si="416"/>
        <v>181.2587582</v>
      </c>
      <c r="J416" s="5">
        <f t="shared" si="416"/>
        <v>104.5582902</v>
      </c>
      <c r="K416" s="5">
        <f t="shared" si="416"/>
        <v>140.828271</v>
      </c>
      <c r="L416" s="7">
        <f t="shared" si="6"/>
        <v>-0.03138687252</v>
      </c>
    </row>
    <row r="417" ht="15.75" customHeight="1">
      <c r="A417" s="4">
        <f>IF(RETORNOS!A417="","",RETORNOS!A417)</f>
        <v>45015</v>
      </c>
      <c r="B417" s="7">
        <f>IF(RETORNOS!B417="","",OPTIMIZACION!$B$5*RETORNOS!B417+OPTIMIZACION!$B$6*RETORNOS!C417+OPTIMIZACION!$B$7*RETORNOS!D417+OPTIMIZACION!$B$8*RETORNOS!E417+OPTIMIZACION!$B$9*RETORNOS!F417+OPTIMIZACION!$B$10*RETORNOS!G417)</f>
        <v>0.004155325583</v>
      </c>
      <c r="C417" s="7">
        <f>IF(RETORNOS!H417="","",RETORNOS!H417)</f>
        <v>0.004392500114</v>
      </c>
      <c r="D417" s="7">
        <f>IF(RETORNOS!I417="","",RETORNOS!I417)</f>
        <v>0.004334188023</v>
      </c>
      <c r="E417" s="7">
        <f t="shared" si="2"/>
        <v>0.004363344068</v>
      </c>
      <c r="F417" s="7">
        <f t="shared" si="3"/>
        <v>-0.000237174531</v>
      </c>
      <c r="G417" s="7">
        <f t="shared" si="4"/>
        <v>-0.0002080184857</v>
      </c>
      <c r="H417" s="5">
        <f t="shared" ref="H417:K417" si="417">IF(B417="","",H416*(1+B417))</f>
        <v>154.264153</v>
      </c>
      <c r="I417" s="5">
        <f t="shared" si="417"/>
        <v>182.0549373</v>
      </c>
      <c r="J417" s="5">
        <f t="shared" si="417"/>
        <v>105.0114655</v>
      </c>
      <c r="K417" s="5">
        <f t="shared" si="417"/>
        <v>141.4427532</v>
      </c>
      <c r="L417" s="7">
        <f t="shared" si="6"/>
        <v>-0.02736196961</v>
      </c>
    </row>
    <row r="418" ht="15.75" customHeight="1">
      <c r="A418" s="4">
        <f>IF(RETORNOS!A418="","",RETORNOS!A418)</f>
        <v>45016</v>
      </c>
      <c r="B418" s="7">
        <f>IF(RETORNOS!B418="","",OPTIMIZACION!$B$5*RETORNOS!B418+OPTIMIZACION!$B$6*RETORNOS!C418+OPTIMIZACION!$B$7*RETORNOS!D418+OPTIMIZACION!$B$8*RETORNOS!E418+OPTIMIZACION!$B$9*RETORNOS!F418+OPTIMIZACION!$B$10*RETORNOS!G418)</f>
        <v>0.004462437025</v>
      </c>
      <c r="C418" s="7">
        <f>IF(RETORNOS!H418="","",RETORNOS!H418)</f>
        <v>0.006930147206</v>
      </c>
      <c r="D418" s="7">
        <f>IF(RETORNOS!I418="","",RETORNOS!I418)</f>
        <v>0.007286428905</v>
      </c>
      <c r="E418" s="7">
        <f t="shared" si="2"/>
        <v>0.007108288055</v>
      </c>
      <c r="F418" s="7">
        <f t="shared" si="3"/>
        <v>-0.002467710181</v>
      </c>
      <c r="G418" s="7">
        <f t="shared" si="4"/>
        <v>-0.00264585103</v>
      </c>
      <c r="H418" s="5">
        <f t="shared" ref="H418:K418" si="418">IF(B418="","",H417*(1+B418))</f>
        <v>154.9525471</v>
      </c>
      <c r="I418" s="5">
        <f t="shared" si="418"/>
        <v>183.3166048</v>
      </c>
      <c r="J418" s="5">
        <f t="shared" si="418"/>
        <v>105.776624</v>
      </c>
      <c r="K418" s="5">
        <f t="shared" si="418"/>
        <v>142.448169</v>
      </c>
      <c r="L418" s="7">
        <f t="shared" si="6"/>
        <v>-0.02302163365</v>
      </c>
    </row>
    <row r="419" ht="15.75" customHeight="1">
      <c r="A419" s="4">
        <f>IF(RETORNOS!A419="","",RETORNOS!A419)</f>
        <v>45019</v>
      </c>
      <c r="B419" s="7">
        <f>IF(RETORNOS!B419="","",OPTIMIZACION!$B$5*RETORNOS!B419+OPTIMIZACION!$B$6*RETORNOS!C419+OPTIMIZACION!$B$7*RETORNOS!D419+OPTIMIZACION!$B$8*RETORNOS!E419+OPTIMIZACION!$B$9*RETORNOS!F419+OPTIMIZACION!$B$10*RETORNOS!G419)</f>
        <v>0.01687653153</v>
      </c>
      <c r="C419" s="7">
        <f>IF(RETORNOS!H419="","",RETORNOS!H419)</f>
        <v>0.0452728778</v>
      </c>
      <c r="D419" s="7">
        <f>IF(RETORNOS!I419="","",RETORNOS!I419)</f>
        <v>-0.006789855422</v>
      </c>
      <c r="E419" s="7">
        <f t="shared" si="2"/>
        <v>0.01924151119</v>
      </c>
      <c r="F419" s="7">
        <f t="shared" si="3"/>
        <v>-0.02839634627</v>
      </c>
      <c r="G419" s="7">
        <f t="shared" si="4"/>
        <v>-0.002364979658</v>
      </c>
      <c r="H419" s="5">
        <f t="shared" ref="H419:K419" si="419">IF(B419="","",H418*(1+B419))</f>
        <v>157.5676086</v>
      </c>
      <c r="I419" s="5">
        <f t="shared" si="419"/>
        <v>191.6158751</v>
      </c>
      <c r="J419" s="5">
        <f t="shared" si="419"/>
        <v>105.0584161</v>
      </c>
      <c r="K419" s="5">
        <f t="shared" si="419"/>
        <v>145.1890871</v>
      </c>
      <c r="L419" s="7">
        <f t="shared" si="6"/>
        <v>-0.006533627447</v>
      </c>
    </row>
    <row r="420" ht="15.75" customHeight="1">
      <c r="A420" s="4">
        <f>IF(RETORNOS!A420="","",RETORNOS!A420)</f>
        <v>45020</v>
      </c>
      <c r="B420" s="7">
        <f>IF(RETORNOS!B420="","",OPTIMIZACION!$B$5*RETORNOS!B420+OPTIMIZACION!$B$6*RETORNOS!C420+OPTIMIZACION!$B$7*RETORNOS!D420+OPTIMIZACION!$B$8*RETORNOS!E420+OPTIMIZACION!$B$9*RETORNOS!F420+OPTIMIZACION!$B$10*RETORNOS!G420)</f>
        <v>-0.009433830183</v>
      </c>
      <c r="C420" s="7">
        <f>IF(RETORNOS!H420="","",RETORNOS!H420)</f>
        <v>-0.01813102417</v>
      </c>
      <c r="D420" s="7">
        <f>IF(RETORNOS!I420="","",RETORNOS!I420)</f>
        <v>0.005055150035</v>
      </c>
      <c r="E420" s="7">
        <f t="shared" si="2"/>
        <v>-0.006537937067</v>
      </c>
      <c r="F420" s="7">
        <f t="shared" si="3"/>
        <v>0.008697193986</v>
      </c>
      <c r="G420" s="7">
        <f t="shared" si="4"/>
        <v>-0.002895893116</v>
      </c>
      <c r="H420" s="5">
        <f t="shared" ref="H420:K420" si="420">IF(B420="","",H419*(1+B420))</f>
        <v>156.0811426</v>
      </c>
      <c r="I420" s="5">
        <f t="shared" si="420"/>
        <v>188.141683</v>
      </c>
      <c r="J420" s="5">
        <f t="shared" si="420"/>
        <v>105.5895021</v>
      </c>
      <c r="K420" s="5">
        <f t="shared" si="420"/>
        <v>144.23985</v>
      </c>
      <c r="L420" s="7">
        <f t="shared" si="6"/>
        <v>-0.0159058205</v>
      </c>
    </row>
    <row r="421" ht="15.75" customHeight="1">
      <c r="A421" s="4">
        <f>IF(RETORNOS!A421="","",RETORNOS!A421)</f>
        <v>45021</v>
      </c>
      <c r="B421" s="7">
        <f>IF(RETORNOS!B421="","",OPTIMIZACION!$B$5*RETORNOS!B421+OPTIMIZACION!$B$6*RETORNOS!C421+OPTIMIZACION!$B$7*RETORNOS!D421+OPTIMIZACION!$B$8*RETORNOS!E421+OPTIMIZACION!$B$9*RETORNOS!F421+OPTIMIZACION!$B$10*RETORNOS!G421)</f>
        <v>0.01327879748</v>
      </c>
      <c r="C421" s="7">
        <f>IF(RETORNOS!H421="","",RETORNOS!H421)</f>
        <v>0.01505358054</v>
      </c>
      <c r="D421" s="7">
        <f>IF(RETORNOS!I421="","",RETORNOS!I421)</f>
        <v>0.0258993733</v>
      </c>
      <c r="E421" s="7">
        <f t="shared" si="2"/>
        <v>0.02047647692</v>
      </c>
      <c r="F421" s="7">
        <f t="shared" si="3"/>
        <v>-0.001774783061</v>
      </c>
      <c r="G421" s="7">
        <f t="shared" si="4"/>
        <v>-0.00719767944</v>
      </c>
      <c r="H421" s="5">
        <f t="shared" ref="H421:K421" si="421">IF(B421="","",H420*(1+B421))</f>
        <v>158.1537125</v>
      </c>
      <c r="I421" s="5">
        <f t="shared" si="421"/>
        <v>190.973889</v>
      </c>
      <c r="J421" s="5">
        <f t="shared" si="421"/>
        <v>108.3242041</v>
      </c>
      <c r="K421" s="5">
        <f t="shared" si="421"/>
        <v>147.1933739</v>
      </c>
      <c r="L421" s="7">
        <f t="shared" si="6"/>
        <v>-0.002838233188</v>
      </c>
    </row>
    <row r="422" ht="15.75" customHeight="1">
      <c r="A422" s="4">
        <f>IF(RETORNOS!A422="","",RETORNOS!A422)</f>
        <v>45022</v>
      </c>
      <c r="B422" s="7">
        <f>IF(RETORNOS!B422="","",OPTIMIZACION!$B$5*RETORNOS!B422+OPTIMIZACION!$B$6*RETORNOS!C422+OPTIMIZACION!$B$7*RETORNOS!D422+OPTIMIZACION!$B$8*RETORNOS!E422+OPTIMIZACION!$B$9*RETORNOS!F422+OPTIMIZACION!$B$10*RETORNOS!G422)</f>
        <v>-0.006727201862</v>
      </c>
      <c r="C422" s="7">
        <f>IF(RETORNOS!H422="","",RETORNOS!H422)</f>
        <v>-0.01517817471</v>
      </c>
      <c r="D422" s="7">
        <f>IF(RETORNOS!I422="","",RETORNOS!I422)</f>
        <v>0.007069879049</v>
      </c>
      <c r="E422" s="7">
        <f t="shared" si="2"/>
        <v>-0.00405414783</v>
      </c>
      <c r="F422" s="7">
        <f t="shared" si="3"/>
        <v>0.008450972847</v>
      </c>
      <c r="G422" s="7">
        <f t="shared" si="4"/>
        <v>-0.002673054032</v>
      </c>
      <c r="H422" s="5">
        <f t="shared" ref="H422:K422" si="422">IF(B422="","",H421*(1+B422))</f>
        <v>157.0897805</v>
      </c>
      <c r="I422" s="5">
        <f t="shared" si="422"/>
        <v>188.075254</v>
      </c>
      <c r="J422" s="5">
        <f t="shared" si="422"/>
        <v>109.0900431</v>
      </c>
      <c r="K422" s="5">
        <f t="shared" si="422"/>
        <v>146.5966302</v>
      </c>
      <c r="L422" s="7">
        <f t="shared" si="6"/>
        <v>-0.009546341682</v>
      </c>
    </row>
    <row r="423" ht="15.75" customHeight="1">
      <c r="A423" s="4">
        <f>IF(RETORNOS!A423="","",RETORNOS!A423)</f>
        <v>45026</v>
      </c>
      <c r="B423" s="7">
        <f>IF(RETORNOS!B423="","",OPTIMIZACION!$B$5*RETORNOS!B423+OPTIMIZACION!$B$6*RETORNOS!C423+OPTIMIZACION!$B$7*RETORNOS!D423+OPTIMIZACION!$B$8*RETORNOS!E423+OPTIMIZACION!$B$9*RETORNOS!F423+OPTIMIZACION!$B$10*RETORNOS!G423)</f>
        <v>0.01167067022</v>
      </c>
      <c r="C423" s="7">
        <f>IF(RETORNOS!H423="","",RETORNOS!H423)</f>
        <v>0.008002536887</v>
      </c>
      <c r="D423" s="7">
        <f>IF(RETORNOS!I423="","",RETORNOS!I423)</f>
        <v>-0.002005339255</v>
      </c>
      <c r="E423" s="7">
        <f t="shared" si="2"/>
        <v>0.002998598816</v>
      </c>
      <c r="F423" s="7">
        <f t="shared" si="3"/>
        <v>0.003668133328</v>
      </c>
      <c r="G423" s="7">
        <f t="shared" si="4"/>
        <v>0.008672071399</v>
      </c>
      <c r="H423" s="5">
        <f t="shared" ref="H423:K423" si="423">IF(B423="","",H422*(1+B423))</f>
        <v>158.9231235</v>
      </c>
      <c r="I423" s="5">
        <f t="shared" si="423"/>
        <v>189.5803331</v>
      </c>
      <c r="J423" s="5">
        <f t="shared" si="423"/>
        <v>108.8712805</v>
      </c>
      <c r="K423" s="5">
        <f t="shared" si="423"/>
        <v>147.0362147</v>
      </c>
      <c r="L423" s="7">
        <f t="shared" si="6"/>
        <v>0</v>
      </c>
    </row>
    <row r="424" ht="15.75" customHeight="1">
      <c r="A424" s="4">
        <f>IF(RETORNOS!A424="","",RETORNOS!A424)</f>
        <v>45027</v>
      </c>
      <c r="B424" s="7">
        <f>IF(RETORNOS!B424="","",OPTIMIZACION!$B$5*RETORNOS!B424+OPTIMIZACION!$B$6*RETORNOS!C424+OPTIMIZACION!$B$7*RETORNOS!D424+OPTIMIZACION!$B$8*RETORNOS!E424+OPTIMIZACION!$B$9*RETORNOS!F424+OPTIMIZACION!$B$10*RETORNOS!G424)</f>
        <v>0.006114756965</v>
      </c>
      <c r="C424" s="7">
        <f>IF(RETORNOS!H424="","",RETORNOS!H424)</f>
        <v>0.009453144782</v>
      </c>
      <c r="D424" s="7">
        <f>IF(RETORNOS!I424="","",RETORNOS!I424)</f>
        <v>0.0008624973047</v>
      </c>
      <c r="E424" s="7">
        <f t="shared" si="2"/>
        <v>0.005157821043</v>
      </c>
      <c r="F424" s="7">
        <f t="shared" si="3"/>
        <v>-0.003338387817</v>
      </c>
      <c r="G424" s="7">
        <f t="shared" si="4"/>
        <v>0.0009569359218</v>
      </c>
      <c r="H424" s="5">
        <f t="shared" ref="H424:K424" si="424">IF(B424="","",H423*(1+B424))</f>
        <v>159.8948998</v>
      </c>
      <c r="I424" s="5">
        <f t="shared" si="424"/>
        <v>191.3724635</v>
      </c>
      <c r="J424" s="5">
        <f t="shared" si="424"/>
        <v>108.9651817</v>
      </c>
      <c r="K424" s="5">
        <f t="shared" si="424"/>
        <v>147.7946012</v>
      </c>
      <c r="L424" s="7">
        <f t="shared" si="6"/>
        <v>0</v>
      </c>
    </row>
    <row r="425" ht="15.75" customHeight="1">
      <c r="A425" s="4">
        <f>IF(RETORNOS!A425="","",RETORNOS!A425)</f>
        <v>45028</v>
      </c>
      <c r="B425" s="7">
        <f>IF(RETORNOS!B425="","",OPTIMIZACION!$B$5*RETORNOS!B425+OPTIMIZACION!$B$6*RETORNOS!C425+OPTIMIZACION!$B$7*RETORNOS!D425+OPTIMIZACION!$B$8*RETORNOS!E425+OPTIMIZACION!$B$9*RETORNOS!F425+OPTIMIZACION!$B$10*RETORNOS!G425)</f>
        <v>0.004444069347</v>
      </c>
      <c r="C425" s="7">
        <f>IF(RETORNOS!H425="","",RETORNOS!H425)</f>
        <v>0.0006967722973</v>
      </c>
      <c r="D425" s="7">
        <f>IF(RETORNOS!I425="","",RETORNOS!I425)</f>
        <v>-0.001008502015</v>
      </c>
      <c r="E425" s="7">
        <f t="shared" si="2"/>
        <v>-0.000155864859</v>
      </c>
      <c r="F425" s="7">
        <f t="shared" si="3"/>
        <v>0.00374729705</v>
      </c>
      <c r="G425" s="7">
        <f t="shared" si="4"/>
        <v>0.004599934207</v>
      </c>
      <c r="H425" s="5">
        <f t="shared" ref="H425:K425" si="425">IF(B425="","",H424*(1+B425))</f>
        <v>160.6054838</v>
      </c>
      <c r="I425" s="5">
        <f t="shared" si="425"/>
        <v>191.5058065</v>
      </c>
      <c r="J425" s="5">
        <f t="shared" si="425"/>
        <v>108.8552901</v>
      </c>
      <c r="K425" s="5">
        <f t="shared" si="425"/>
        <v>147.7715652</v>
      </c>
      <c r="L425" s="7">
        <f t="shared" si="6"/>
        <v>0</v>
      </c>
    </row>
    <row r="426" ht="15.75" customHeight="1">
      <c r="A426" s="4">
        <f>IF(RETORNOS!A426="","",RETORNOS!A426)</f>
        <v>45029</v>
      </c>
      <c r="B426" s="7">
        <f>IF(RETORNOS!B426="","",OPTIMIZACION!$B$5*RETORNOS!B426+OPTIMIZACION!$B$6*RETORNOS!C426+OPTIMIZACION!$B$7*RETORNOS!D426+OPTIMIZACION!$B$8*RETORNOS!E426+OPTIMIZACION!$B$9*RETORNOS!F426+OPTIMIZACION!$B$10*RETORNOS!G426)</f>
        <v>0.00215337786</v>
      </c>
      <c r="C426" s="7">
        <f>IF(RETORNOS!H426="","",RETORNOS!H426)</f>
        <v>0.006238732808</v>
      </c>
      <c r="D426" s="7">
        <f>IF(RETORNOS!I426="","",RETORNOS!I426)</f>
        <v>0.0001468961163</v>
      </c>
      <c r="E426" s="7">
        <f t="shared" si="2"/>
        <v>0.003192814462</v>
      </c>
      <c r="F426" s="7">
        <f t="shared" si="3"/>
        <v>-0.004085354948</v>
      </c>
      <c r="G426" s="7">
        <f t="shared" si="4"/>
        <v>-0.001039436602</v>
      </c>
      <c r="H426" s="5">
        <f t="shared" ref="H426:K426" si="426">IF(B426="","",H425*(1+B426))</f>
        <v>160.9513281</v>
      </c>
      <c r="I426" s="5">
        <f t="shared" si="426"/>
        <v>192.70056</v>
      </c>
      <c r="J426" s="5">
        <f t="shared" si="426"/>
        <v>108.8712805</v>
      </c>
      <c r="K426" s="5">
        <f t="shared" si="426"/>
        <v>148.2433724</v>
      </c>
      <c r="L426" s="7">
        <f t="shared" si="6"/>
        <v>0</v>
      </c>
    </row>
    <row r="427" ht="15.75" customHeight="1">
      <c r="A427" s="4">
        <f>IF(RETORNOS!A427="","",RETORNOS!A427)</f>
        <v>45030</v>
      </c>
      <c r="B427" s="7">
        <f>IF(RETORNOS!B427="","",OPTIMIZACION!$B$5*RETORNOS!B427+OPTIMIZACION!$B$6*RETORNOS!C427+OPTIMIZACION!$B$7*RETORNOS!D427+OPTIMIZACION!$B$8*RETORNOS!E427+OPTIMIZACION!$B$9*RETORNOS!F427+OPTIMIZACION!$B$10*RETORNOS!G427)</f>
        <v>-0.001767134966</v>
      </c>
      <c r="C427" s="7">
        <f>IF(RETORNOS!H427="","",RETORNOS!H427)</f>
        <v>0.001841898665</v>
      </c>
      <c r="D427" s="7">
        <f>IF(RETORNOS!I427="","",RETORNOS!I427)</f>
        <v>-0.01119371502</v>
      </c>
      <c r="E427" s="7">
        <f t="shared" si="2"/>
        <v>-0.004675908177</v>
      </c>
      <c r="F427" s="7">
        <f t="shared" si="3"/>
        <v>-0.003609033631</v>
      </c>
      <c r="G427" s="7">
        <f t="shared" si="4"/>
        <v>0.002908773211</v>
      </c>
      <c r="H427" s="5">
        <f t="shared" ref="H427:K427" si="427">IF(B427="","",H426*(1+B427))</f>
        <v>160.6669054</v>
      </c>
      <c r="I427" s="5">
        <f t="shared" si="427"/>
        <v>193.0554949</v>
      </c>
      <c r="J427" s="5">
        <f t="shared" si="427"/>
        <v>107.6526064</v>
      </c>
      <c r="K427" s="5">
        <f t="shared" si="427"/>
        <v>147.5502</v>
      </c>
      <c r="L427" s="7">
        <f t="shared" si="6"/>
        <v>-0.001767134966</v>
      </c>
    </row>
    <row r="428" ht="15.75" customHeight="1">
      <c r="A428" s="4">
        <f>IF(RETORNOS!A428="","",RETORNOS!A428)</f>
        <v>45033</v>
      </c>
      <c r="B428" s="7">
        <f>IF(RETORNOS!B428="","",OPTIMIZACION!$B$5*RETORNOS!B428+OPTIMIZACION!$B$6*RETORNOS!C428+OPTIMIZACION!$B$7*RETORNOS!D428+OPTIMIZACION!$B$8*RETORNOS!E428+OPTIMIZACION!$B$9*RETORNOS!F428+OPTIMIZACION!$B$10*RETORNOS!G428)</f>
        <v>-0.00355802996</v>
      </c>
      <c r="C428" s="7">
        <f>IF(RETORNOS!H428="","",RETORNOS!H428)</f>
        <v>-0.01181219044</v>
      </c>
      <c r="D428" s="7">
        <f>IF(RETORNOS!I428="","",RETORNOS!I428)</f>
        <v>0.005517999867</v>
      </c>
      <c r="E428" s="7">
        <f t="shared" si="2"/>
        <v>-0.003147095287</v>
      </c>
      <c r="F428" s="7">
        <f t="shared" si="3"/>
        <v>0.008254160481</v>
      </c>
      <c r="G428" s="7">
        <f t="shared" si="4"/>
        <v>-0.0004109346731</v>
      </c>
      <c r="H428" s="5">
        <f t="shared" ref="H428:K428" si="428">IF(B428="","",H427*(1+B428))</f>
        <v>160.0952477</v>
      </c>
      <c r="I428" s="5">
        <f t="shared" si="428"/>
        <v>190.7750867</v>
      </c>
      <c r="J428" s="5">
        <f t="shared" si="428"/>
        <v>108.2466335</v>
      </c>
      <c r="K428" s="5">
        <f t="shared" si="428"/>
        <v>147.0858455</v>
      </c>
      <c r="L428" s="7">
        <f t="shared" si="6"/>
        <v>-0.005318877407</v>
      </c>
    </row>
    <row r="429" ht="15.75" customHeight="1">
      <c r="A429" s="4">
        <f>IF(RETORNOS!A429="","",RETORNOS!A429)</f>
        <v>45034</v>
      </c>
      <c r="B429" s="7">
        <f>IF(RETORNOS!B429="","",OPTIMIZACION!$B$5*RETORNOS!B429+OPTIMIZACION!$B$6*RETORNOS!C429+OPTIMIZACION!$B$7*RETORNOS!D429+OPTIMIZACION!$B$8*RETORNOS!E429+OPTIMIZACION!$B$9*RETORNOS!F429+OPTIMIZACION!$B$10*RETORNOS!G429)</f>
        <v>0.00480149351</v>
      </c>
      <c r="C429" s="7">
        <f>IF(RETORNOS!H429="","",RETORNOS!H429)</f>
        <v>0.003944642834</v>
      </c>
      <c r="D429" s="7">
        <f>IF(RETORNOS!I429="","",RETORNOS!I429)</f>
        <v>-0.005201703519</v>
      </c>
      <c r="E429" s="7">
        <f t="shared" si="2"/>
        <v>-0.0006285303421</v>
      </c>
      <c r="F429" s="7">
        <f t="shared" si="3"/>
        <v>0.0008568506753</v>
      </c>
      <c r="G429" s="7">
        <f t="shared" si="4"/>
        <v>0.005430023852</v>
      </c>
      <c r="H429" s="5">
        <f t="shared" ref="H429:K429" si="429">IF(B429="","",H428*(1+B429))</f>
        <v>160.863944</v>
      </c>
      <c r="I429" s="5">
        <f t="shared" si="429"/>
        <v>191.5276263</v>
      </c>
      <c r="J429" s="5">
        <f t="shared" si="429"/>
        <v>107.6835666</v>
      </c>
      <c r="K429" s="5">
        <f t="shared" si="429"/>
        <v>146.9933975</v>
      </c>
      <c r="L429" s="7">
        <f t="shared" si="6"/>
        <v>-0.0005429224525</v>
      </c>
    </row>
    <row r="430" ht="15.75" customHeight="1">
      <c r="A430" s="4">
        <f>IF(RETORNOS!A430="","",RETORNOS!A430)</f>
        <v>45035</v>
      </c>
      <c r="B430" s="7">
        <f>IF(RETORNOS!B430="","",OPTIMIZACION!$B$5*RETORNOS!B430+OPTIMIZACION!$B$6*RETORNOS!C430+OPTIMIZACION!$B$7*RETORNOS!D430+OPTIMIZACION!$B$8*RETORNOS!E430+OPTIMIZACION!$B$9*RETORNOS!F430+OPTIMIZACION!$B$10*RETORNOS!G430)</f>
        <v>-0.006313101473</v>
      </c>
      <c r="C430" s="7">
        <f>IF(RETORNOS!H430="","",RETORNOS!H430)</f>
        <v>-0.003465849108</v>
      </c>
      <c r="D430" s="7">
        <f>IF(RETORNOS!I430="","",RETORNOS!I430)</f>
        <v>0.007693279833</v>
      </c>
      <c r="E430" s="7">
        <f t="shared" si="2"/>
        <v>0.002113715363</v>
      </c>
      <c r="F430" s="7">
        <f t="shared" si="3"/>
        <v>-0.002847252365</v>
      </c>
      <c r="G430" s="7">
        <f t="shared" si="4"/>
        <v>-0.008426816836</v>
      </c>
      <c r="H430" s="5">
        <f t="shared" ref="H430:K430" si="430">IF(B430="","",H429*(1+B430))</f>
        <v>159.8483936</v>
      </c>
      <c r="I430" s="5">
        <f t="shared" si="430"/>
        <v>190.8638204</v>
      </c>
      <c r="J430" s="5">
        <f t="shared" si="430"/>
        <v>108.5120064</v>
      </c>
      <c r="K430" s="5">
        <f t="shared" si="430"/>
        <v>147.3040997</v>
      </c>
      <c r="L430" s="7">
        <f t="shared" si="6"/>
        <v>-0.006852596401</v>
      </c>
    </row>
    <row r="431" ht="15.75" customHeight="1">
      <c r="A431" s="4">
        <f>IF(RETORNOS!A431="","",RETORNOS!A431)</f>
        <v>45036</v>
      </c>
      <c r="B431" s="7">
        <f>IF(RETORNOS!B431="","",OPTIMIZACION!$B$5*RETORNOS!B431+OPTIMIZACION!$B$6*RETORNOS!C431+OPTIMIZACION!$B$7*RETORNOS!D431+OPTIMIZACION!$B$8*RETORNOS!E431+OPTIMIZACION!$B$9*RETORNOS!F431+OPTIMIZACION!$B$10*RETORNOS!G431)</f>
        <v>-0.005875573887</v>
      </c>
      <c r="C431" s="7">
        <f>IF(RETORNOS!H431="","",RETORNOS!H431)</f>
        <v>-0.008812889327</v>
      </c>
      <c r="D431" s="7">
        <f>IF(RETORNOS!I431="","",RETORNOS!I431)</f>
        <v>-0.00028531565</v>
      </c>
      <c r="E431" s="7">
        <f t="shared" si="2"/>
        <v>-0.004549102489</v>
      </c>
      <c r="F431" s="7">
        <f t="shared" si="3"/>
        <v>0.00293731544</v>
      </c>
      <c r="G431" s="7">
        <f t="shared" si="4"/>
        <v>-0.001326471399</v>
      </c>
      <c r="H431" s="5">
        <f t="shared" ref="H431:K431" si="431">IF(B431="","",H430*(1+B431))</f>
        <v>158.9091926</v>
      </c>
      <c r="I431" s="5">
        <f t="shared" si="431"/>
        <v>189.1817587</v>
      </c>
      <c r="J431" s="5">
        <f t="shared" si="431"/>
        <v>108.4810462</v>
      </c>
      <c r="K431" s="5">
        <f t="shared" si="431"/>
        <v>146.6339983</v>
      </c>
      <c r="L431" s="7">
        <f t="shared" si="6"/>
        <v>-0.01268790735</v>
      </c>
    </row>
    <row r="432" ht="15.75" customHeight="1">
      <c r="A432" s="4">
        <f>IF(RETORNOS!A432="","",RETORNOS!A432)</f>
        <v>45037</v>
      </c>
      <c r="B432" s="7">
        <f>IF(RETORNOS!B432="","",OPTIMIZACION!$B$5*RETORNOS!B432+OPTIMIZACION!$B$6*RETORNOS!C432+OPTIMIZACION!$B$7*RETORNOS!D432+OPTIMIZACION!$B$8*RETORNOS!E432+OPTIMIZACION!$B$9*RETORNOS!F432+OPTIMIZACION!$B$10*RETORNOS!G432)</f>
        <v>0.001536903516</v>
      </c>
      <c r="C432" s="7">
        <f>IF(RETORNOS!H432="","",RETORNOS!H432)</f>
        <v>-0.005848897501</v>
      </c>
      <c r="D432" s="7">
        <f>IF(RETORNOS!I432="","",RETORNOS!I432)</f>
        <v>0.002875924404</v>
      </c>
      <c r="E432" s="7">
        <f t="shared" si="2"/>
        <v>-0.001486486548</v>
      </c>
      <c r="F432" s="7">
        <f t="shared" si="3"/>
        <v>0.007385801017</v>
      </c>
      <c r="G432" s="7">
        <f t="shared" si="4"/>
        <v>0.003023390064</v>
      </c>
      <c r="H432" s="5">
        <f t="shared" ref="H432:K432" si="432">IF(B432="","",H431*(1+B432))</f>
        <v>159.1534207</v>
      </c>
      <c r="I432" s="5">
        <f t="shared" si="432"/>
        <v>188.075254</v>
      </c>
      <c r="J432" s="5">
        <f t="shared" si="432"/>
        <v>108.7930295</v>
      </c>
      <c r="K432" s="5">
        <f t="shared" si="432"/>
        <v>146.4160288</v>
      </c>
      <c r="L432" s="7">
        <f t="shared" si="6"/>
        <v>-0.01117050393</v>
      </c>
    </row>
    <row r="433" ht="15.75" customHeight="1">
      <c r="A433" s="4">
        <f>IF(RETORNOS!A433="","",RETORNOS!A433)</f>
        <v>45040</v>
      </c>
      <c r="B433" s="7">
        <f>IF(RETORNOS!B433="","",OPTIMIZACION!$B$5*RETORNOS!B433+OPTIMIZACION!$B$6*RETORNOS!C433+OPTIMIZACION!$B$7*RETORNOS!D433+OPTIMIZACION!$B$8*RETORNOS!E433+OPTIMIZACION!$B$9*RETORNOS!F433+OPTIMIZACION!$B$10*RETORNOS!G433)</f>
        <v>0.01055466577</v>
      </c>
      <c r="C433" s="7">
        <f>IF(RETORNOS!H433="","",RETORNOS!H433)</f>
        <v>0.01529866427</v>
      </c>
      <c r="D433" s="7">
        <f>IF(RETORNOS!I433="","",RETORNOS!I433)</f>
        <v>0.005025471353</v>
      </c>
      <c r="E433" s="7">
        <f t="shared" si="2"/>
        <v>0.01016206781</v>
      </c>
      <c r="F433" s="7">
        <f t="shared" si="3"/>
        <v>-0.004743998493</v>
      </c>
      <c r="G433" s="7">
        <f t="shared" si="4"/>
        <v>0.0003925979643</v>
      </c>
      <c r="H433" s="5">
        <f t="shared" ref="H433:K433" si="433">IF(B433="","",H432*(1+B433))</f>
        <v>160.8332318</v>
      </c>
      <c r="I433" s="5">
        <f t="shared" si="433"/>
        <v>190.9525541</v>
      </c>
      <c r="J433" s="5">
        <f t="shared" si="433"/>
        <v>109.3397658</v>
      </c>
      <c r="K433" s="5">
        <f t="shared" si="433"/>
        <v>147.9039184</v>
      </c>
      <c r="L433" s="7">
        <f t="shared" si="6"/>
        <v>-0.0007337390864</v>
      </c>
    </row>
    <row r="434" ht="15.75" customHeight="1">
      <c r="A434" s="4">
        <f>IF(RETORNOS!A434="","",RETORNOS!A434)</f>
        <v>45041</v>
      </c>
      <c r="B434" s="7">
        <f>IF(RETORNOS!B434="","",OPTIMIZACION!$B$5*RETORNOS!B434+OPTIMIZACION!$B$6*RETORNOS!C434+OPTIMIZACION!$B$7*RETORNOS!D434+OPTIMIZACION!$B$8*RETORNOS!E434+OPTIMIZACION!$B$9*RETORNOS!F434+OPTIMIZACION!$B$10*RETORNOS!G434)</f>
        <v>-0.01058257558</v>
      </c>
      <c r="C434" s="7">
        <f>IF(RETORNOS!H434="","",RETORNOS!H434)</f>
        <v>-0.01877804327</v>
      </c>
      <c r="D434" s="7">
        <f>IF(RETORNOS!I434="","",RETORNOS!I434)</f>
        <v>-0.0009988238149</v>
      </c>
      <c r="E434" s="7">
        <f t="shared" si="2"/>
        <v>-0.009888433545</v>
      </c>
      <c r="F434" s="7">
        <f t="shared" si="3"/>
        <v>0.008195467692</v>
      </c>
      <c r="G434" s="7">
        <f t="shared" si="4"/>
        <v>-0.0006941420381</v>
      </c>
      <c r="H434" s="5">
        <f t="shared" ref="H434:K434" si="434">IF(B434="","",H433*(1+B434))</f>
        <v>159.131202</v>
      </c>
      <c r="I434" s="5">
        <f t="shared" si="434"/>
        <v>187.3668388</v>
      </c>
      <c r="J434" s="5">
        <f t="shared" si="434"/>
        <v>109.2305546</v>
      </c>
      <c r="K434" s="5">
        <f t="shared" si="434"/>
        <v>146.4413804</v>
      </c>
      <c r="L434" s="7">
        <f t="shared" si="6"/>
        <v>-0.01130854982</v>
      </c>
    </row>
    <row r="435" ht="15.75" customHeight="1">
      <c r="A435" s="4">
        <f>IF(RETORNOS!A435="","",RETORNOS!A435)</f>
        <v>45042</v>
      </c>
      <c r="B435" s="7">
        <f>IF(RETORNOS!B435="","",OPTIMIZACION!$B$5*RETORNOS!B435+OPTIMIZACION!$B$6*RETORNOS!C435+OPTIMIZACION!$B$7*RETORNOS!D435+OPTIMIZACION!$B$8*RETORNOS!E435+OPTIMIZACION!$B$9*RETORNOS!F435+OPTIMIZACION!$B$10*RETORNOS!G435)</f>
        <v>-0.01392962477</v>
      </c>
      <c r="C435" s="7">
        <f>IF(RETORNOS!H435="","",RETORNOS!H435)</f>
        <v>-0.01334572067</v>
      </c>
      <c r="D435" s="7">
        <f>IF(RETORNOS!I435="","",RETORNOS!I435)</f>
        <v>-0.02346312337</v>
      </c>
      <c r="E435" s="7">
        <f t="shared" si="2"/>
        <v>-0.01840442202</v>
      </c>
      <c r="F435" s="7">
        <f t="shared" si="3"/>
        <v>-0.0005839040953</v>
      </c>
      <c r="G435" s="7">
        <f t="shared" si="4"/>
        <v>0.004474797253</v>
      </c>
      <c r="H435" s="5">
        <f t="shared" ref="H435:K435" si="435">IF(B435="","",H434*(1+B435))</f>
        <v>156.9145641</v>
      </c>
      <c r="I435" s="5">
        <f t="shared" si="435"/>
        <v>184.8662933</v>
      </c>
      <c r="J435" s="5">
        <f t="shared" si="435"/>
        <v>106.6676647</v>
      </c>
      <c r="K435" s="5">
        <f t="shared" si="435"/>
        <v>143.7462114</v>
      </c>
      <c r="L435" s="7">
        <f t="shared" si="6"/>
        <v>-0.02508065073</v>
      </c>
    </row>
    <row r="436" ht="15.75" customHeight="1">
      <c r="A436" s="4">
        <f>IF(RETORNOS!A436="","",RETORNOS!A436)</f>
        <v>45043</v>
      </c>
      <c r="B436" s="7">
        <f>IF(RETORNOS!B436="","",OPTIMIZACION!$B$5*RETORNOS!B436+OPTIMIZACION!$B$6*RETORNOS!C436+OPTIMIZACION!$B$7*RETORNOS!D436+OPTIMIZACION!$B$8*RETORNOS!E436+OPTIMIZACION!$B$9*RETORNOS!F436+OPTIMIZACION!$B$10*RETORNOS!G436)</f>
        <v>0.01364781247</v>
      </c>
      <c r="C436" s="7">
        <f>IF(RETORNOS!H436="","",RETORNOS!H436)</f>
        <v>0.003590734907</v>
      </c>
      <c r="D436" s="7">
        <f>IF(RETORNOS!I436="","",RETORNOS!I436)</f>
        <v>0.01201502915</v>
      </c>
      <c r="E436" s="7">
        <f t="shared" si="2"/>
        <v>0.00780288203</v>
      </c>
      <c r="F436" s="7">
        <f t="shared" si="3"/>
        <v>0.01005707757</v>
      </c>
      <c r="G436" s="7">
        <f t="shared" si="4"/>
        <v>0.005844930445</v>
      </c>
      <c r="H436" s="5">
        <f t="shared" ref="H436:K436" si="436">IF(B436="","",H435*(1+B436))</f>
        <v>159.0561046</v>
      </c>
      <c r="I436" s="5">
        <f t="shared" si="436"/>
        <v>185.5300992</v>
      </c>
      <c r="J436" s="5">
        <f t="shared" si="436"/>
        <v>107.9492798</v>
      </c>
      <c r="K436" s="5">
        <f t="shared" si="436"/>
        <v>144.8678461</v>
      </c>
      <c r="L436" s="7">
        <f t="shared" si="6"/>
        <v>-0.01177513428</v>
      </c>
    </row>
    <row r="437" ht="15.75" customHeight="1">
      <c r="A437" s="4">
        <f>IF(RETORNOS!A437="","",RETORNOS!A437)</f>
        <v>45044</v>
      </c>
      <c r="B437" s="7">
        <f>IF(RETORNOS!B437="","",OPTIMIZACION!$B$5*RETORNOS!B437+OPTIMIZACION!$B$6*RETORNOS!C437+OPTIMIZACION!$B$7*RETORNOS!D437+OPTIMIZACION!$B$8*RETORNOS!E437+OPTIMIZACION!$B$9*RETORNOS!F437+OPTIMIZACION!$B$10*RETORNOS!G437)</f>
        <v>0.00939739008</v>
      </c>
      <c r="C437" s="7">
        <f>IF(RETORNOS!H437="","",RETORNOS!H437)</f>
        <v>0.01550853571</v>
      </c>
      <c r="D437" s="7">
        <f>IF(RETORNOS!I437="","",RETORNOS!I437)</f>
        <v>-0.001449773237</v>
      </c>
      <c r="E437" s="7">
        <f t="shared" si="2"/>
        <v>0.007029381235</v>
      </c>
      <c r="F437" s="7">
        <f t="shared" si="3"/>
        <v>-0.006111145626</v>
      </c>
      <c r="G437" s="7">
        <f t="shared" si="4"/>
        <v>0.002368008845</v>
      </c>
      <c r="H437" s="5">
        <f t="shared" ref="H437:K437" si="437">IF(B437="","",H436*(1+B437))</f>
        <v>160.5508169</v>
      </c>
      <c r="I437" s="5">
        <f t="shared" si="437"/>
        <v>188.4073993</v>
      </c>
      <c r="J437" s="5">
        <f t="shared" si="437"/>
        <v>107.7927778</v>
      </c>
      <c r="K437" s="5">
        <f t="shared" si="437"/>
        <v>145.8861775</v>
      </c>
      <c r="L437" s="7">
        <f t="shared" si="6"/>
        <v>-0.002488399728</v>
      </c>
    </row>
    <row r="438" ht="15.75" customHeight="1">
      <c r="A438" s="4">
        <f>IF(RETORNOS!A438="","",RETORNOS!A438)</f>
        <v>45047</v>
      </c>
      <c r="B438" s="7">
        <f>IF(RETORNOS!B438="","",OPTIMIZACION!$B$5*RETORNOS!B438+OPTIMIZACION!$B$6*RETORNOS!C438+OPTIMIZACION!$B$7*RETORNOS!D438+OPTIMIZACION!$B$8*RETORNOS!E438+OPTIMIZACION!$B$9*RETORNOS!F438+OPTIMIZACION!$B$10*RETORNOS!G438)</f>
        <v>-0.007414461751</v>
      </c>
      <c r="C438" s="7">
        <f>IF(RETORNOS!H438="","",RETORNOS!H438)</f>
        <v>-0.01127747953</v>
      </c>
      <c r="D438" s="7">
        <f>IF(RETORNOS!I438="","",RETORNOS!I438)</f>
        <v>0.001742253757</v>
      </c>
      <c r="E438" s="7">
        <f t="shared" si="2"/>
        <v>-0.004767612885</v>
      </c>
      <c r="F438" s="7">
        <f t="shared" si="3"/>
        <v>0.003863017776</v>
      </c>
      <c r="G438" s="7">
        <f t="shared" si="4"/>
        <v>-0.002646848866</v>
      </c>
      <c r="H438" s="5">
        <f t="shared" ref="H438:K438" si="438">IF(B438="","",H437*(1+B438))</f>
        <v>159.360419</v>
      </c>
      <c r="I438" s="5">
        <f t="shared" si="438"/>
        <v>186.2826387</v>
      </c>
      <c r="J438" s="5">
        <f t="shared" si="438"/>
        <v>107.9805801</v>
      </c>
      <c r="K438" s="5">
        <f t="shared" si="438"/>
        <v>145.1906486</v>
      </c>
      <c r="L438" s="7">
        <f t="shared" si="6"/>
        <v>-0.009884411334</v>
      </c>
    </row>
    <row r="439" ht="15.75" customHeight="1">
      <c r="A439" s="4">
        <f>IF(RETORNOS!A439="","",RETORNOS!A439)</f>
        <v>45048</v>
      </c>
      <c r="B439" s="7">
        <f>IF(RETORNOS!B439="","",OPTIMIZACION!$B$5*RETORNOS!B439+OPTIMIZACION!$B$6*RETORNOS!C439+OPTIMIZACION!$B$7*RETORNOS!D439+OPTIMIZACION!$B$8*RETORNOS!E439+OPTIMIZACION!$B$9*RETORNOS!F439+OPTIMIZACION!$B$10*RETORNOS!G439)</f>
        <v>-0.02029393898</v>
      </c>
      <c r="C439" s="7">
        <f>IF(RETORNOS!H439="","",RETORNOS!H439)</f>
        <v>-0.04348222188</v>
      </c>
      <c r="D439" s="7">
        <f>IF(RETORNOS!I439="","",RETORNOS!I439)</f>
        <v>-0.01215881128</v>
      </c>
      <c r="E439" s="7">
        <f t="shared" si="2"/>
        <v>-0.02782051658</v>
      </c>
      <c r="F439" s="7">
        <f t="shared" si="3"/>
        <v>0.02318828289</v>
      </c>
      <c r="G439" s="7">
        <f t="shared" si="4"/>
        <v>0.007526577594</v>
      </c>
      <c r="H439" s="5">
        <f t="shared" ref="H439:K439" si="439">IF(B439="","",H438*(1+B439))</f>
        <v>156.1263684</v>
      </c>
      <c r="I439" s="5">
        <f t="shared" si="439"/>
        <v>178.1826557</v>
      </c>
      <c r="J439" s="5">
        <f t="shared" si="439"/>
        <v>106.6676647</v>
      </c>
      <c r="K439" s="5">
        <f t="shared" si="439"/>
        <v>141.1513698</v>
      </c>
      <c r="L439" s="7">
        <f t="shared" si="6"/>
        <v>-0.02997775668</v>
      </c>
    </row>
    <row r="440" ht="15.75" customHeight="1">
      <c r="A440" s="4">
        <f>IF(RETORNOS!A440="","",RETORNOS!A440)</f>
        <v>45049</v>
      </c>
      <c r="B440" s="7">
        <f>IF(RETORNOS!B440="","",OPTIMIZACION!$B$5*RETORNOS!B440+OPTIMIZACION!$B$6*RETORNOS!C440+OPTIMIZACION!$B$7*RETORNOS!D440+OPTIMIZACION!$B$8*RETORNOS!E440+OPTIMIZACION!$B$9*RETORNOS!F440+OPTIMIZACION!$B$10*RETORNOS!G440)</f>
        <v>-0.009325493032</v>
      </c>
      <c r="C440" s="7">
        <f>IF(RETORNOS!H440="","",RETORNOS!H440)</f>
        <v>-0.01888291721</v>
      </c>
      <c r="D440" s="7">
        <f>IF(RETORNOS!I440="","",RETORNOS!I440)</f>
        <v>-0.002781286281</v>
      </c>
      <c r="E440" s="7">
        <f t="shared" si="2"/>
        <v>-0.01083210174</v>
      </c>
      <c r="F440" s="7">
        <f t="shared" si="3"/>
        <v>0.009557424173</v>
      </c>
      <c r="G440" s="7">
        <f t="shared" si="4"/>
        <v>0.001506608711</v>
      </c>
      <c r="H440" s="5">
        <f t="shared" ref="H440:K440" si="440">IF(B440="","",H439*(1+B440))</f>
        <v>154.670413</v>
      </c>
      <c r="I440" s="5">
        <f t="shared" si="440"/>
        <v>174.8180474</v>
      </c>
      <c r="J440" s="5">
        <f t="shared" si="440"/>
        <v>106.3709913</v>
      </c>
      <c r="K440" s="5">
        <f t="shared" si="440"/>
        <v>139.6224038</v>
      </c>
      <c r="L440" s="7">
        <f t="shared" si="6"/>
        <v>-0.03902369235</v>
      </c>
    </row>
    <row r="441" ht="15.75" customHeight="1">
      <c r="A441" s="4">
        <f>IF(RETORNOS!A441="","",RETORNOS!A441)</f>
        <v>45050</v>
      </c>
      <c r="B441" s="7">
        <f>IF(RETORNOS!B441="","",OPTIMIZACION!$B$5*RETORNOS!B441+OPTIMIZACION!$B$6*RETORNOS!C441+OPTIMIZACION!$B$7*RETORNOS!D441+OPTIMIZACION!$B$8*RETORNOS!E441+OPTIMIZACION!$B$9*RETORNOS!F441+OPTIMIZACION!$B$10*RETORNOS!G441)</f>
        <v>-0.002618074261</v>
      </c>
      <c r="C441" s="7">
        <f>IF(RETORNOS!H441="","",RETORNOS!H441)</f>
        <v>-0.01113619722</v>
      </c>
      <c r="D441" s="7">
        <f>IF(RETORNOS!I441="","",RETORNOS!I441)</f>
        <v>0.007637884933</v>
      </c>
      <c r="E441" s="7">
        <f t="shared" si="2"/>
        <v>-0.001749156142</v>
      </c>
      <c r="F441" s="7">
        <f t="shared" si="3"/>
        <v>0.008518122956</v>
      </c>
      <c r="G441" s="7">
        <f t="shared" si="4"/>
        <v>-0.000868918119</v>
      </c>
      <c r="H441" s="5">
        <f t="shared" ref="H441:K441" si="441">IF(B441="","",H440*(1+B441))</f>
        <v>154.2654744</v>
      </c>
      <c r="I441" s="5">
        <f t="shared" si="441"/>
        <v>172.8712391</v>
      </c>
      <c r="J441" s="5">
        <f t="shared" si="441"/>
        <v>107.1834407</v>
      </c>
      <c r="K441" s="5">
        <f t="shared" si="441"/>
        <v>139.3781824</v>
      </c>
      <c r="L441" s="7">
        <f t="shared" si="6"/>
        <v>-0.04153959968</v>
      </c>
    </row>
    <row r="442" ht="15.75" customHeight="1">
      <c r="A442" s="4">
        <f>IF(RETORNOS!A442="","",RETORNOS!A442)</f>
        <v>45051</v>
      </c>
      <c r="B442" s="7">
        <f>IF(RETORNOS!B442="","",OPTIMIZACION!$B$5*RETORNOS!B442+OPTIMIZACION!$B$6*RETORNOS!C442+OPTIMIZACION!$B$7*RETORNOS!D442+OPTIMIZACION!$B$8*RETORNOS!E442+OPTIMIZACION!$B$9*RETORNOS!F442+OPTIMIZACION!$B$10*RETORNOS!G442)</f>
        <v>0.02666298988</v>
      </c>
      <c r="C442" s="7">
        <f>IF(RETORNOS!H442="","",RETORNOS!H442)</f>
        <v>0.02714005627</v>
      </c>
      <c r="D442" s="7">
        <f>IF(RETORNOS!I442="","",RETORNOS!I442)</f>
        <v>0.006415058405</v>
      </c>
      <c r="E442" s="7">
        <f t="shared" si="2"/>
        <v>0.01677755734</v>
      </c>
      <c r="F442" s="7">
        <f t="shared" si="3"/>
        <v>-0.00047706639</v>
      </c>
      <c r="G442" s="7">
        <f t="shared" si="4"/>
        <v>0.00988543254</v>
      </c>
      <c r="H442" s="5">
        <f t="shared" ref="H442:K442" si="442">IF(B442="","",H441*(1+B442))</f>
        <v>158.3786532</v>
      </c>
      <c r="I442" s="5">
        <f t="shared" si="442"/>
        <v>177.5629743</v>
      </c>
      <c r="J442" s="5">
        <f t="shared" si="442"/>
        <v>107.8710288</v>
      </c>
      <c r="K442" s="5">
        <f t="shared" si="442"/>
        <v>141.7166079</v>
      </c>
      <c r="L442" s="7">
        <f t="shared" si="6"/>
        <v>-0.01598417973</v>
      </c>
    </row>
    <row r="443" ht="15.75" customHeight="1">
      <c r="A443" s="4">
        <f>IF(RETORNOS!A443="","",RETORNOS!A443)</f>
        <v>45054</v>
      </c>
      <c r="B443" s="7">
        <f>IF(RETORNOS!B443="","",OPTIMIZACION!$B$5*RETORNOS!B443+OPTIMIZACION!$B$6*RETORNOS!C443+OPTIMIZACION!$B$7*RETORNOS!D443+OPTIMIZACION!$B$8*RETORNOS!E443+OPTIMIZACION!$B$9*RETORNOS!F443+OPTIMIZACION!$B$10*RETORNOS!G443)</f>
        <v>-0.004067312252</v>
      </c>
      <c r="C443" s="7">
        <f>IF(RETORNOS!H443="","",RETORNOS!H443)</f>
        <v>0</v>
      </c>
      <c r="D443" s="7">
        <f>IF(RETORNOS!I443="","",RETORNOS!I443)</f>
        <v>-0.003043578365</v>
      </c>
      <c r="E443" s="7">
        <f t="shared" si="2"/>
        <v>-0.001521789183</v>
      </c>
      <c r="F443" s="7">
        <f t="shared" si="3"/>
        <v>-0.004067312252</v>
      </c>
      <c r="G443" s="7">
        <f t="shared" si="4"/>
        <v>-0.00254552307</v>
      </c>
      <c r="H443" s="5">
        <f t="shared" ref="H443:K443" si="443">IF(B443="","",H442*(1+B443))</f>
        <v>157.7344777</v>
      </c>
      <c r="I443" s="5">
        <f t="shared" si="443"/>
        <v>177.5629743</v>
      </c>
      <c r="J443" s="5">
        <f t="shared" si="443"/>
        <v>107.5427148</v>
      </c>
      <c r="K443" s="5">
        <f t="shared" si="443"/>
        <v>141.5009451</v>
      </c>
      <c r="L443" s="7">
        <f t="shared" si="6"/>
        <v>-0.01998647934</v>
      </c>
    </row>
    <row r="444" ht="15.75" customHeight="1">
      <c r="A444" s="4">
        <f>IF(RETORNOS!A444="","",RETORNOS!A444)</f>
        <v>45055</v>
      </c>
      <c r="B444" s="7">
        <f>IF(RETORNOS!B444="","",OPTIMIZACION!$B$5*RETORNOS!B444+OPTIMIZACION!$B$6*RETORNOS!C444+OPTIMIZACION!$B$7*RETORNOS!D444+OPTIMIZACION!$B$8*RETORNOS!E444+OPTIMIZACION!$B$9*RETORNOS!F444+OPTIMIZACION!$B$10*RETORNOS!G444)</f>
        <v>0.007249048968</v>
      </c>
      <c r="C444" s="7">
        <f>IF(RETORNOS!H444="","",RETORNOS!H444)</f>
        <v>0.0003713848011</v>
      </c>
      <c r="D444" s="7">
        <f>IF(RETORNOS!I444="","",RETORNOS!I444)</f>
        <v>-0.001306565094</v>
      </c>
      <c r="E444" s="7">
        <f t="shared" si="2"/>
        <v>-0.0004675901465</v>
      </c>
      <c r="F444" s="7">
        <f t="shared" si="3"/>
        <v>0.006877664167</v>
      </c>
      <c r="G444" s="7">
        <f t="shared" si="4"/>
        <v>0.007716639115</v>
      </c>
      <c r="H444" s="5">
        <f t="shared" ref="H444:K444" si="444">IF(B444="","",H443*(1+B444))</f>
        <v>158.8779027</v>
      </c>
      <c r="I444" s="5">
        <f t="shared" si="444"/>
        <v>177.6289185</v>
      </c>
      <c r="J444" s="5">
        <f t="shared" si="444"/>
        <v>107.4022033</v>
      </c>
      <c r="K444" s="5">
        <f t="shared" si="444"/>
        <v>141.4347806</v>
      </c>
      <c r="L444" s="7">
        <f t="shared" si="6"/>
        <v>-0.01288231334</v>
      </c>
    </row>
    <row r="445" ht="15.75" customHeight="1">
      <c r="A445" s="4">
        <f>IF(RETORNOS!A445="","",RETORNOS!A445)</f>
        <v>45056</v>
      </c>
      <c r="B445" s="7">
        <f>IF(RETORNOS!B445="","",OPTIMIZACION!$B$5*RETORNOS!B445+OPTIMIZACION!$B$6*RETORNOS!C445+OPTIMIZACION!$B$7*RETORNOS!D445+OPTIMIZACION!$B$8*RETORNOS!E445+OPTIMIZACION!$B$9*RETORNOS!F445+OPTIMIZACION!$B$10*RETORNOS!G445)</f>
        <v>-0.001020188569</v>
      </c>
      <c r="C445" s="7">
        <f>IF(RETORNOS!H445="","",RETORNOS!H445)</f>
        <v>-0.01133940977</v>
      </c>
      <c r="D445" s="7">
        <f>IF(RETORNOS!I445="","",RETORNOS!I445)</f>
        <v>0.009167424283</v>
      </c>
      <c r="E445" s="7">
        <f t="shared" si="2"/>
        <v>-0.001085992744</v>
      </c>
      <c r="F445" s="7">
        <f t="shared" si="3"/>
        <v>0.0103192212</v>
      </c>
      <c r="G445" s="7">
        <f t="shared" si="4"/>
        <v>0.00006580417577</v>
      </c>
      <c r="H445" s="5">
        <f t="shared" ref="H445:K445" si="445">IF(B445="","",H444*(1+B445))</f>
        <v>158.7158173</v>
      </c>
      <c r="I445" s="5">
        <f t="shared" si="445"/>
        <v>175.6147114</v>
      </c>
      <c r="J445" s="5">
        <f t="shared" si="445"/>
        <v>108.3868048</v>
      </c>
      <c r="K445" s="5">
        <f t="shared" si="445"/>
        <v>141.2811835</v>
      </c>
      <c r="L445" s="7">
        <f t="shared" si="6"/>
        <v>-0.01388935952</v>
      </c>
    </row>
    <row r="446" ht="15.75" customHeight="1">
      <c r="A446" s="4">
        <f>IF(RETORNOS!A446="","",RETORNOS!A446)</f>
        <v>45057</v>
      </c>
      <c r="B446" s="7">
        <f>IF(RETORNOS!B446="","",OPTIMIZACION!$B$5*RETORNOS!B446+OPTIMIZACION!$B$6*RETORNOS!C446+OPTIMIZACION!$B$7*RETORNOS!D446+OPTIMIZACION!$B$8*RETORNOS!E446+OPTIMIZACION!$B$9*RETORNOS!F446+OPTIMIZACION!$B$10*RETORNOS!G446)</f>
        <v>-0.01074975235</v>
      </c>
      <c r="C446" s="7">
        <f>IF(RETORNOS!H446="","",RETORNOS!H446)</f>
        <v>-0.01197198071</v>
      </c>
      <c r="D446" s="7">
        <f>IF(RETORNOS!I446="","",RETORNOS!I446)</f>
        <v>-0.01023614385</v>
      </c>
      <c r="E446" s="7">
        <f t="shared" si="2"/>
        <v>-0.01110406228</v>
      </c>
      <c r="F446" s="7">
        <f t="shared" si="3"/>
        <v>0.001222228357</v>
      </c>
      <c r="G446" s="7">
        <f t="shared" si="4"/>
        <v>0.0003543099305</v>
      </c>
      <c r="H446" s="5">
        <f t="shared" ref="H446:K446" si="446">IF(B446="","",H445*(1+B446))</f>
        <v>157.0096615</v>
      </c>
      <c r="I446" s="5">
        <f t="shared" si="446"/>
        <v>173.5122554</v>
      </c>
      <c r="J446" s="5">
        <f t="shared" si="446"/>
        <v>107.2773419</v>
      </c>
      <c r="K446" s="5">
        <f t="shared" si="446"/>
        <v>139.7123884</v>
      </c>
      <c r="L446" s="7">
        <f t="shared" si="6"/>
        <v>-0.02448980469</v>
      </c>
    </row>
    <row r="447" ht="15.75" customHeight="1">
      <c r="A447" s="4">
        <f>IF(RETORNOS!A447="","",RETORNOS!A447)</f>
        <v>45058</v>
      </c>
      <c r="B447" s="7">
        <f>IF(RETORNOS!B447="","",OPTIMIZACION!$B$5*RETORNOS!B447+OPTIMIZACION!$B$6*RETORNOS!C447+OPTIMIZACION!$B$7*RETORNOS!D447+OPTIMIZACION!$B$8*RETORNOS!E447+OPTIMIZACION!$B$9*RETORNOS!F447+OPTIMIZACION!$B$10*RETORNOS!G447)</f>
        <v>-0.006216805449</v>
      </c>
      <c r="C447" s="7">
        <f>IF(RETORNOS!H447="","",RETORNOS!H447)</f>
        <v>0.001531397848</v>
      </c>
      <c r="D447" s="7">
        <f>IF(RETORNOS!I447="","",RETORNOS!I447)</f>
        <v>0.00553413084</v>
      </c>
      <c r="E447" s="7">
        <f t="shared" si="2"/>
        <v>0.003532764344</v>
      </c>
      <c r="F447" s="7">
        <f t="shared" si="3"/>
        <v>-0.007748203297</v>
      </c>
      <c r="G447" s="7">
        <f t="shared" si="4"/>
        <v>-0.009749569793</v>
      </c>
      <c r="H447" s="5">
        <f t="shared" ref="H447:K447" si="447">IF(B447="","",H446*(1+B447))</f>
        <v>156.033563</v>
      </c>
      <c r="I447" s="5">
        <f t="shared" si="447"/>
        <v>173.7779717</v>
      </c>
      <c r="J447" s="5">
        <f t="shared" si="447"/>
        <v>107.8710288</v>
      </c>
      <c r="K447" s="5">
        <f t="shared" si="447"/>
        <v>140.2059593</v>
      </c>
      <c r="L447" s="7">
        <f t="shared" si="6"/>
        <v>-0.03055436179</v>
      </c>
    </row>
    <row r="448" ht="15.75" customHeight="1">
      <c r="A448" s="4">
        <f>IF(RETORNOS!A448="","",RETORNOS!A448)</f>
        <v>45061</v>
      </c>
      <c r="B448" s="7">
        <f>IF(RETORNOS!B448="","",OPTIMIZACION!$B$5*RETORNOS!B448+OPTIMIZACION!$B$6*RETORNOS!C448+OPTIMIZACION!$B$7*RETORNOS!D448+OPTIMIZACION!$B$8*RETORNOS!E448+OPTIMIZACION!$B$9*RETORNOS!F448+OPTIMIZACION!$B$10*RETORNOS!G448)</f>
        <v>-0.006165101405</v>
      </c>
      <c r="C448" s="7">
        <f>IF(RETORNOS!H448="","",RETORNOS!H448)</f>
        <v>0.005094994015</v>
      </c>
      <c r="D448" s="7">
        <f>IF(RETORNOS!I448="","",RETORNOS!I448)</f>
        <v>-0.012603253</v>
      </c>
      <c r="E448" s="7">
        <f t="shared" si="2"/>
        <v>-0.003754129493</v>
      </c>
      <c r="F448" s="7">
        <f t="shared" si="3"/>
        <v>-0.01126009542</v>
      </c>
      <c r="G448" s="7">
        <f t="shared" si="4"/>
        <v>-0.002410971912</v>
      </c>
      <c r="H448" s="5">
        <f t="shared" ref="H448:K448" si="448">IF(B448="","",H447*(1+B448))</f>
        <v>155.0716003</v>
      </c>
      <c r="I448" s="5">
        <f t="shared" si="448"/>
        <v>174.6633695</v>
      </c>
      <c r="J448" s="5">
        <f t="shared" si="448"/>
        <v>106.5115029</v>
      </c>
      <c r="K448" s="5">
        <f t="shared" si="448"/>
        <v>139.679608</v>
      </c>
      <c r="L448" s="7">
        <f t="shared" si="6"/>
        <v>-0.03653109245</v>
      </c>
    </row>
    <row r="449" ht="15.75" customHeight="1">
      <c r="A449" s="4">
        <f>IF(RETORNOS!A449="","",RETORNOS!A449)</f>
        <v>45062</v>
      </c>
      <c r="B449" s="7">
        <f>IF(RETORNOS!B449="","",OPTIMIZACION!$B$5*RETORNOS!B449+OPTIMIZACION!$B$6*RETORNOS!C449+OPTIMIZACION!$B$7*RETORNOS!D449+OPTIMIZACION!$B$8*RETORNOS!E449+OPTIMIZACION!$B$9*RETORNOS!F449+OPTIMIZACION!$B$10*RETORNOS!G449)</f>
        <v>-0.02125249011</v>
      </c>
      <c r="C449" s="7">
        <f>IF(RETORNOS!H449="","",RETORNOS!H449)</f>
        <v>-0.0245824045</v>
      </c>
      <c r="D449" s="7">
        <f>IF(RETORNOS!I449="","",RETORNOS!I449)</f>
        <v>-0.0221551435</v>
      </c>
      <c r="E449" s="7">
        <f t="shared" si="2"/>
        <v>-0.023368774</v>
      </c>
      <c r="F449" s="7">
        <f t="shared" si="3"/>
        <v>0.003329914387</v>
      </c>
      <c r="G449" s="7">
        <f t="shared" si="4"/>
        <v>0.00211628389</v>
      </c>
      <c r="H449" s="5">
        <f t="shared" ref="H449:K449" si="449">IF(B449="","",H448*(1+B449))</f>
        <v>151.7759426</v>
      </c>
      <c r="I449" s="5">
        <f t="shared" si="449"/>
        <v>170.3697239</v>
      </c>
      <c r="J449" s="5">
        <f t="shared" si="449"/>
        <v>104.1517253</v>
      </c>
      <c r="K449" s="5">
        <f t="shared" si="449"/>
        <v>136.4154668</v>
      </c>
      <c r="L449" s="7">
        <f t="shared" si="6"/>
        <v>-0.05700720588</v>
      </c>
    </row>
    <row r="450" ht="15.75" customHeight="1">
      <c r="A450" s="4">
        <f>IF(RETORNOS!A450="","",RETORNOS!A450)</f>
        <v>45063</v>
      </c>
      <c r="B450" s="7">
        <f>IF(RETORNOS!B450="","",OPTIMIZACION!$B$5*RETORNOS!B450+OPTIMIZACION!$B$6*RETORNOS!C450+OPTIMIZACION!$B$7*RETORNOS!D450+OPTIMIZACION!$B$8*RETORNOS!E450+OPTIMIZACION!$B$9*RETORNOS!F450+OPTIMIZACION!$B$10*RETORNOS!G450)</f>
        <v>0.01300960139</v>
      </c>
      <c r="C450" s="7">
        <f>IF(RETORNOS!H450="","",RETORNOS!H450)</f>
        <v>0.01922518656</v>
      </c>
      <c r="D450" s="7">
        <f>IF(RETORNOS!I450="","",RETORNOS!I450)</f>
        <v>-0.003599789631</v>
      </c>
      <c r="E450" s="7">
        <f t="shared" si="2"/>
        <v>0.007812698464</v>
      </c>
      <c r="F450" s="7">
        <f t="shared" si="3"/>
        <v>-0.006215585165</v>
      </c>
      <c r="G450" s="7">
        <f t="shared" si="4"/>
        <v>0.00519690293</v>
      </c>
      <c r="H450" s="5">
        <f t="shared" ref="H450:K450" si="450">IF(B450="","",H449*(1+B450))</f>
        <v>153.7504871</v>
      </c>
      <c r="I450" s="5">
        <f t="shared" si="450"/>
        <v>173.6451136</v>
      </c>
      <c r="J450" s="5">
        <f t="shared" si="450"/>
        <v>103.776801</v>
      </c>
      <c r="K450" s="5">
        <f t="shared" si="450"/>
        <v>137.4812397</v>
      </c>
      <c r="L450" s="7">
        <f t="shared" si="6"/>
        <v>-0.04473924551</v>
      </c>
    </row>
    <row r="451" ht="15.75" customHeight="1">
      <c r="A451" s="4">
        <f>IF(RETORNOS!A451="","",RETORNOS!A451)</f>
        <v>45064</v>
      </c>
      <c r="B451" s="7">
        <f>IF(RETORNOS!B451="","",OPTIMIZACION!$B$5*RETORNOS!B451+OPTIMIZACION!$B$6*RETORNOS!C451+OPTIMIZACION!$B$7*RETORNOS!D451+OPTIMIZACION!$B$8*RETORNOS!E451+OPTIMIZACION!$B$9*RETORNOS!F451+OPTIMIZACION!$B$10*RETORNOS!G451)</f>
        <v>0.005302875383</v>
      </c>
      <c r="C451" s="7">
        <f>IF(RETORNOS!H451="","",RETORNOS!H451)</f>
        <v>0.007265781853</v>
      </c>
      <c r="D451" s="7">
        <f>IF(RETORNOS!I451="","",RETORNOS!I451)</f>
        <v>-0.003009569645</v>
      </c>
      <c r="E451" s="7">
        <f t="shared" si="2"/>
        <v>0.002128106104</v>
      </c>
      <c r="F451" s="7">
        <f t="shared" si="3"/>
        <v>-0.00196290647</v>
      </c>
      <c r="G451" s="7">
        <f t="shared" si="4"/>
        <v>0.003174769279</v>
      </c>
      <c r="H451" s="5">
        <f t="shared" ref="H451:K451" si="451">IF(B451="","",H450*(1+B451))</f>
        <v>154.5658068</v>
      </c>
      <c r="I451" s="5">
        <f t="shared" si="451"/>
        <v>174.9067811</v>
      </c>
      <c r="J451" s="5">
        <f t="shared" si="451"/>
        <v>103.4644775</v>
      </c>
      <c r="K451" s="5">
        <f t="shared" si="451"/>
        <v>137.7738144</v>
      </c>
      <c r="L451" s="7">
        <f t="shared" si="6"/>
        <v>-0.03967361677</v>
      </c>
    </row>
    <row r="452" ht="15.75" customHeight="1">
      <c r="A452" s="4">
        <f>IF(RETORNOS!A452="","",RETORNOS!A452)</f>
        <v>45065</v>
      </c>
      <c r="B452" s="7">
        <f>IF(RETORNOS!B452="","",OPTIMIZACION!$B$5*RETORNOS!B452+OPTIMIZACION!$B$6*RETORNOS!C452+OPTIMIZACION!$B$7*RETORNOS!D452+OPTIMIZACION!$B$8*RETORNOS!E452+OPTIMIZACION!$B$9*RETORNOS!F452+OPTIMIZACION!$B$10*RETORNOS!G452)</f>
        <v>0.002009885195</v>
      </c>
      <c r="C452" s="7">
        <f>IF(RETORNOS!H452="","",RETORNOS!H452)</f>
        <v>0.007715146693</v>
      </c>
      <c r="D452" s="7">
        <f>IF(RETORNOS!I452="","",RETORNOS!I452)</f>
        <v>-0.001509327248</v>
      </c>
      <c r="E452" s="7">
        <f t="shared" si="2"/>
        <v>0.003102909723</v>
      </c>
      <c r="F452" s="7">
        <f t="shared" si="3"/>
        <v>-0.005705261498</v>
      </c>
      <c r="G452" s="7">
        <f t="shared" si="4"/>
        <v>-0.001093024527</v>
      </c>
      <c r="H452" s="5">
        <f t="shared" ref="H452:K452" si="452">IF(B452="","",H451*(1+B452))</f>
        <v>154.8764663</v>
      </c>
      <c r="I452" s="5">
        <f t="shared" si="452"/>
        <v>176.2562126</v>
      </c>
      <c r="J452" s="5">
        <f t="shared" si="452"/>
        <v>103.3083157</v>
      </c>
      <c r="K452" s="5">
        <f t="shared" si="452"/>
        <v>138.2013141</v>
      </c>
      <c r="L452" s="7">
        <f t="shared" si="6"/>
        <v>-0.03774347099</v>
      </c>
    </row>
    <row r="453" ht="15.75" customHeight="1">
      <c r="A453" s="4">
        <f>IF(RETORNOS!A453="","",RETORNOS!A453)</f>
        <v>45068</v>
      </c>
      <c r="B453" s="7">
        <f>IF(RETORNOS!B453="","",OPTIMIZACION!$B$5*RETORNOS!B453+OPTIMIZACION!$B$6*RETORNOS!C453+OPTIMIZACION!$B$7*RETORNOS!D453+OPTIMIZACION!$B$8*RETORNOS!E453+OPTIMIZACION!$B$9*RETORNOS!F453+OPTIMIZACION!$B$10*RETORNOS!G453)</f>
        <v>-0.004789107041</v>
      </c>
      <c r="C453" s="7">
        <f>IF(RETORNOS!H453="","",RETORNOS!H453)</f>
        <v>-0.00414303085</v>
      </c>
      <c r="D453" s="7">
        <f>IF(RETORNOS!I453="","",RETORNOS!I453)</f>
        <v>0.0002996871398</v>
      </c>
      <c r="E453" s="7">
        <f t="shared" si="2"/>
        <v>-0.001921671855</v>
      </c>
      <c r="F453" s="7">
        <f t="shared" si="3"/>
        <v>-0.0006460761907</v>
      </c>
      <c r="G453" s="7">
        <f t="shared" si="4"/>
        <v>-0.002867435186</v>
      </c>
      <c r="H453" s="5">
        <f t="shared" ref="H453:K453" si="453">IF(B453="","",H452*(1+B453))</f>
        <v>154.1347464</v>
      </c>
      <c r="I453" s="5">
        <f t="shared" si="453"/>
        <v>175.5259776</v>
      </c>
      <c r="J453" s="5">
        <f t="shared" si="453"/>
        <v>103.3392759</v>
      </c>
      <c r="K453" s="5">
        <f t="shared" si="453"/>
        <v>137.9357365</v>
      </c>
      <c r="L453" s="7">
        <f t="shared" si="6"/>
        <v>-0.04235182051</v>
      </c>
    </row>
    <row r="454" ht="15.75" customHeight="1">
      <c r="A454" s="4">
        <f>IF(RETORNOS!A454="","",RETORNOS!A454)</f>
        <v>45069</v>
      </c>
      <c r="B454" s="7">
        <f>IF(RETORNOS!B454="","",OPTIMIZACION!$B$5*RETORNOS!B454+OPTIMIZACION!$B$6*RETORNOS!C454+OPTIMIZACION!$B$7*RETORNOS!D454+OPTIMIZACION!$B$8*RETORNOS!E454+OPTIMIZACION!$B$9*RETORNOS!F454+OPTIMIZACION!$B$10*RETORNOS!G454)</f>
        <v>0.007147708887</v>
      </c>
      <c r="C454" s="7">
        <f>IF(RETORNOS!H454="","",RETORNOS!H454)</f>
        <v>0.01072111294</v>
      </c>
      <c r="D454" s="7">
        <f>IF(RETORNOS!I454="","",RETORNOS!I454)</f>
        <v>-0.003476646222</v>
      </c>
      <c r="E454" s="7">
        <f t="shared" si="2"/>
        <v>0.003622233359</v>
      </c>
      <c r="F454" s="7">
        <f t="shared" si="3"/>
        <v>-0.003573404053</v>
      </c>
      <c r="G454" s="7">
        <f t="shared" si="4"/>
        <v>0.003525475528</v>
      </c>
      <c r="H454" s="5">
        <f t="shared" ref="H454:K454" si="454">IF(B454="","",H453*(1+B454))</f>
        <v>155.2364567</v>
      </c>
      <c r="I454" s="5">
        <f t="shared" si="454"/>
        <v>177.4078115</v>
      </c>
      <c r="J454" s="5">
        <f t="shared" si="454"/>
        <v>102.9800018</v>
      </c>
      <c r="K454" s="5">
        <f t="shared" si="454"/>
        <v>138.435372</v>
      </c>
      <c r="L454" s="7">
        <f t="shared" si="6"/>
        <v>-0.03550683011</v>
      </c>
    </row>
    <row r="455" ht="15.75" customHeight="1">
      <c r="A455" s="4">
        <f>IF(RETORNOS!A455="","",RETORNOS!A455)</f>
        <v>45070</v>
      </c>
      <c r="B455" s="7">
        <f>IF(RETORNOS!B455="","",OPTIMIZACION!$B$5*RETORNOS!B455+OPTIMIZACION!$B$6*RETORNOS!C455+OPTIMIZACION!$B$7*RETORNOS!D455+OPTIMIZACION!$B$8*RETORNOS!E455+OPTIMIZACION!$B$9*RETORNOS!F455+OPTIMIZACION!$B$10*RETORNOS!G455)</f>
        <v>0.0003601249328</v>
      </c>
      <c r="C455" s="7">
        <f>IF(RETORNOS!H455="","",RETORNOS!H455)</f>
        <v>0.004367588015</v>
      </c>
      <c r="D455" s="7">
        <f>IF(RETORNOS!I455="","",RETORNOS!I455)</f>
        <v>-0.006521631399</v>
      </c>
      <c r="E455" s="7">
        <f t="shared" si="2"/>
        <v>-0.001077021692</v>
      </c>
      <c r="F455" s="7">
        <f t="shared" si="3"/>
        <v>-0.004007463082</v>
      </c>
      <c r="G455" s="7">
        <f t="shared" si="4"/>
        <v>0.001437146625</v>
      </c>
      <c r="H455" s="5">
        <f t="shared" ref="H455:K455" si="455">IF(B455="","",H454*(1+B455))</f>
        <v>155.2923612</v>
      </c>
      <c r="I455" s="5">
        <f t="shared" si="455"/>
        <v>178.1826557</v>
      </c>
      <c r="J455" s="5">
        <f t="shared" si="455"/>
        <v>102.3084042</v>
      </c>
      <c r="K455" s="5">
        <f t="shared" si="455"/>
        <v>138.2862741</v>
      </c>
      <c r="L455" s="7">
        <f t="shared" si="6"/>
        <v>-0.03515949207</v>
      </c>
    </row>
    <row r="456" ht="15.75" customHeight="1">
      <c r="A456" s="4">
        <f>IF(RETORNOS!A456="","",RETORNOS!A456)</f>
        <v>45071</v>
      </c>
      <c r="B456" s="7">
        <f>IF(RETORNOS!B456="","",OPTIMIZACION!$B$5*RETORNOS!B456+OPTIMIZACION!$B$6*RETORNOS!C456+OPTIMIZACION!$B$7*RETORNOS!D456+OPTIMIZACION!$B$8*RETORNOS!E456+OPTIMIZACION!$B$9*RETORNOS!F456+OPTIMIZACION!$B$10*RETORNOS!G456)</f>
        <v>-0.007541144348</v>
      </c>
      <c r="C456" s="7">
        <f>IF(RETORNOS!H456="","",RETORNOS!H456)</f>
        <v>-0.01776447377</v>
      </c>
      <c r="D456" s="7">
        <f>IF(RETORNOS!I456="","",RETORNOS!I456)</f>
        <v>-0.01344480248</v>
      </c>
      <c r="E456" s="7">
        <f t="shared" si="2"/>
        <v>-0.01560463813</v>
      </c>
      <c r="F456" s="7">
        <f t="shared" si="3"/>
        <v>0.01022332943</v>
      </c>
      <c r="G456" s="7">
        <f t="shared" si="4"/>
        <v>0.008063493782</v>
      </c>
      <c r="H456" s="5">
        <f t="shared" ref="H456:K456" si="456">IF(B456="","",H455*(1+B456))</f>
        <v>154.1212791</v>
      </c>
      <c r="I456" s="5">
        <f t="shared" si="456"/>
        <v>175.0173346</v>
      </c>
      <c r="J456" s="5">
        <f t="shared" si="456"/>
        <v>100.9328879</v>
      </c>
      <c r="K456" s="5">
        <f t="shared" si="456"/>
        <v>136.1283668</v>
      </c>
      <c r="L456" s="7">
        <f t="shared" si="6"/>
        <v>-0.04243549361</v>
      </c>
    </row>
    <row r="457" ht="15.75" customHeight="1">
      <c r="A457" s="4">
        <f>IF(RETORNOS!A457="","",RETORNOS!A457)</f>
        <v>45072</v>
      </c>
      <c r="B457" s="7">
        <f>IF(RETORNOS!B457="","",OPTIMIZACION!$B$5*RETORNOS!B457+OPTIMIZACION!$B$6*RETORNOS!C457+OPTIMIZACION!$B$7*RETORNOS!D457+OPTIMIZACION!$B$8*RETORNOS!E457+OPTIMIZACION!$B$9*RETORNOS!F457+OPTIMIZACION!$B$10*RETORNOS!G457)</f>
        <v>-0.0007573929684</v>
      </c>
      <c r="C457" s="7">
        <f>IF(RETORNOS!H457="","",RETORNOS!H457)</f>
        <v>-0.003917472648</v>
      </c>
      <c r="D457" s="7">
        <f>IF(RETORNOS!I457="","",RETORNOS!I457)</f>
        <v>0</v>
      </c>
      <c r="E457" s="7">
        <f t="shared" si="2"/>
        <v>-0.001958736324</v>
      </c>
      <c r="F457" s="7">
        <f t="shared" si="3"/>
        <v>0.00316007968</v>
      </c>
      <c r="G457" s="7">
        <f t="shared" si="4"/>
        <v>0.001201343356</v>
      </c>
      <c r="H457" s="5">
        <f t="shared" ref="H457:K457" si="457">IF(B457="","",H456*(1+B457))</f>
        <v>154.0045487</v>
      </c>
      <c r="I457" s="5">
        <f t="shared" si="457"/>
        <v>174.331709</v>
      </c>
      <c r="J457" s="5">
        <f t="shared" si="457"/>
        <v>100.9328879</v>
      </c>
      <c r="K457" s="5">
        <f t="shared" si="457"/>
        <v>135.8617272</v>
      </c>
      <c r="L457" s="7">
        <f t="shared" si="6"/>
        <v>-0.04316074624</v>
      </c>
    </row>
    <row r="458" ht="15.75" customHeight="1">
      <c r="A458" s="4">
        <f>IF(RETORNOS!A458="","",RETORNOS!A458)</f>
        <v>45076</v>
      </c>
      <c r="B458" s="7">
        <f>IF(RETORNOS!B458="","",OPTIMIZACION!$B$5*RETORNOS!B458+OPTIMIZACION!$B$6*RETORNOS!C458+OPTIMIZACION!$B$7*RETORNOS!D458+OPTIMIZACION!$B$8*RETORNOS!E458+OPTIMIZACION!$B$9*RETORNOS!F458+OPTIMIZACION!$B$10*RETORNOS!G458)</f>
        <v>-0.003203517749</v>
      </c>
      <c r="C458" s="7">
        <f>IF(RETORNOS!H458="","",RETORNOS!H458)</f>
        <v>-0.01028556489</v>
      </c>
      <c r="D458" s="7">
        <f>IF(RETORNOS!I458="","",RETORNOS!I458)</f>
        <v>-0.003866274758</v>
      </c>
      <c r="E458" s="7">
        <f t="shared" si="2"/>
        <v>-0.007075919822</v>
      </c>
      <c r="F458" s="7">
        <f t="shared" si="3"/>
        <v>0.007082047136</v>
      </c>
      <c r="G458" s="7">
        <f t="shared" si="4"/>
        <v>0.003872402073</v>
      </c>
      <c r="H458" s="5">
        <f t="shared" ref="H458:K458" si="458">IF(B458="","",H457*(1+B458))</f>
        <v>153.5111924</v>
      </c>
      <c r="I458" s="5">
        <f t="shared" si="458"/>
        <v>172.5386089</v>
      </c>
      <c r="J458" s="5">
        <f t="shared" si="458"/>
        <v>100.5426536</v>
      </c>
      <c r="K458" s="5">
        <f t="shared" si="458"/>
        <v>134.9003805</v>
      </c>
      <c r="L458" s="7">
        <f t="shared" si="6"/>
        <v>-0.04622599777</v>
      </c>
    </row>
    <row r="459" ht="15.75" customHeight="1">
      <c r="A459" s="4">
        <f>IF(RETORNOS!A459="","",RETORNOS!A459)</f>
        <v>45077</v>
      </c>
      <c r="B459" s="7">
        <f>IF(RETORNOS!B459="","",OPTIMIZACION!$B$5*RETORNOS!B459+OPTIMIZACION!$B$6*RETORNOS!C459+OPTIMIZACION!$B$7*RETORNOS!D459+OPTIMIZACION!$B$8*RETORNOS!E459+OPTIMIZACION!$B$9*RETORNOS!F459+OPTIMIZACION!$B$10*RETORNOS!G459)</f>
        <v>-0.009793625531</v>
      </c>
      <c r="C459" s="7">
        <f>IF(RETORNOS!H459="","",RETORNOS!H459)</f>
        <v>-0.01757275142</v>
      </c>
      <c r="D459" s="7">
        <f>IF(RETORNOS!I459="","",RETORNOS!I459)</f>
        <v>0.009163477384</v>
      </c>
      <c r="E459" s="7">
        <f t="shared" si="2"/>
        <v>-0.004204637016</v>
      </c>
      <c r="F459" s="7">
        <f t="shared" si="3"/>
        <v>0.007779125884</v>
      </c>
      <c r="G459" s="7">
        <f t="shared" si="4"/>
        <v>-0.005588988515</v>
      </c>
      <c r="H459" s="5">
        <f t="shared" ref="H459:K459" si="459">IF(B459="","",H458*(1+B459))</f>
        <v>152.0077613</v>
      </c>
      <c r="I459" s="5">
        <f t="shared" si="459"/>
        <v>169.5066308</v>
      </c>
      <c r="J459" s="5">
        <f t="shared" si="459"/>
        <v>101.4639739</v>
      </c>
      <c r="K459" s="5">
        <f t="shared" si="459"/>
        <v>134.3331734</v>
      </c>
      <c r="L459" s="7">
        <f t="shared" si="6"/>
        <v>-0.05556690319</v>
      </c>
    </row>
    <row r="460" ht="15.75" customHeight="1">
      <c r="A460" s="4">
        <f>IF(RETORNOS!A460="","",RETORNOS!A460)</f>
        <v>45078</v>
      </c>
      <c r="B460" s="7">
        <f>IF(RETORNOS!B460="","",OPTIMIZACION!$B$5*RETORNOS!B460+OPTIMIZACION!$B$6*RETORNOS!C460+OPTIMIZACION!$B$7*RETORNOS!D460+OPTIMIZACION!$B$8*RETORNOS!E460+OPTIMIZACION!$B$9*RETORNOS!F460+OPTIMIZACION!$B$10*RETORNOS!G460)</f>
        <v>0.0113853284</v>
      </c>
      <c r="C460" s="7">
        <f>IF(RETORNOS!H460="","",RETORNOS!H460)</f>
        <v>0.01240338461</v>
      </c>
      <c r="D460" s="7">
        <f>IF(RETORNOS!I460="","",RETORNOS!I460)</f>
        <v>-0.007390294036</v>
      </c>
      <c r="E460" s="7">
        <f t="shared" si="2"/>
        <v>0.002506545289</v>
      </c>
      <c r="F460" s="7">
        <f t="shared" si="3"/>
        <v>-0.001018056217</v>
      </c>
      <c r="G460" s="7">
        <f t="shared" si="4"/>
        <v>0.008878783107</v>
      </c>
      <c r="H460" s="5">
        <f t="shared" ref="H460:K460" si="460">IF(B460="","",H459*(1+B460))</f>
        <v>153.7384195</v>
      </c>
      <c r="I460" s="5">
        <f t="shared" si="460"/>
        <v>171.6090867</v>
      </c>
      <c r="J460" s="5">
        <f t="shared" si="460"/>
        <v>100.7141253</v>
      </c>
      <c r="K460" s="5">
        <f t="shared" si="460"/>
        <v>134.6698856</v>
      </c>
      <c r="L460" s="7">
        <f t="shared" si="6"/>
        <v>-0.04481422223</v>
      </c>
    </row>
    <row r="461" ht="15.75" customHeight="1">
      <c r="A461" s="4">
        <f>IF(RETORNOS!A461="","",RETORNOS!A461)</f>
        <v>45079</v>
      </c>
      <c r="B461" s="7">
        <f>IF(RETORNOS!B461="","",OPTIMIZACION!$B$5*RETORNOS!B461+OPTIMIZACION!$B$6*RETORNOS!C461+OPTIMIZACION!$B$7*RETORNOS!D461+OPTIMIZACION!$B$8*RETORNOS!E461+OPTIMIZACION!$B$9*RETORNOS!F461+OPTIMIZACION!$B$10*RETORNOS!G461)</f>
        <v>0.02054871093</v>
      </c>
      <c r="C461" s="7">
        <f>IF(RETORNOS!H461="","",RETORNOS!H461)</f>
        <v>0.03043925429</v>
      </c>
      <c r="D461" s="7">
        <f>IF(RETORNOS!I461="","",RETORNOS!I461)</f>
        <v>0.01039439237</v>
      </c>
      <c r="E461" s="7">
        <f t="shared" si="2"/>
        <v>0.02041682333</v>
      </c>
      <c r="F461" s="7">
        <f t="shared" si="3"/>
        <v>-0.009890543359</v>
      </c>
      <c r="G461" s="7">
        <f t="shared" si="4"/>
        <v>0.0001318876032</v>
      </c>
      <c r="H461" s="5">
        <f t="shared" ref="H461:K461" si="461">IF(B461="","",H460*(1+B461))</f>
        <v>156.8975459</v>
      </c>
      <c r="I461" s="5">
        <f t="shared" si="461"/>
        <v>176.8327394</v>
      </c>
      <c r="J461" s="5">
        <f t="shared" si="461"/>
        <v>101.7609875</v>
      </c>
      <c r="K461" s="5">
        <f t="shared" si="461"/>
        <v>137.4194168</v>
      </c>
      <c r="L461" s="7">
        <f t="shared" si="6"/>
        <v>-0.0251863858</v>
      </c>
    </row>
    <row r="462" ht="15.75" customHeight="1">
      <c r="A462" s="4">
        <f>IF(RETORNOS!A462="","",RETORNOS!A462)</f>
        <v>45082</v>
      </c>
      <c r="B462" s="7">
        <f>IF(RETORNOS!B462="","",OPTIMIZACION!$B$5*RETORNOS!B462+OPTIMIZACION!$B$6*RETORNOS!C462+OPTIMIZACION!$B$7*RETORNOS!D462+OPTIMIZACION!$B$8*RETORNOS!E462+OPTIMIZACION!$B$9*RETORNOS!F462+OPTIMIZACION!$B$10*RETORNOS!G462)</f>
        <v>0.0005135814742</v>
      </c>
      <c r="C462" s="7">
        <f>IF(RETORNOS!H462="","",RETORNOS!H462)</f>
        <v>-0.006633012605</v>
      </c>
      <c r="D462" s="7">
        <f>IF(RETORNOS!I462="","",RETORNOS!I462)</f>
        <v>0.00476091768</v>
      </c>
      <c r="E462" s="7">
        <f t="shared" si="2"/>
        <v>-0.0009360474625</v>
      </c>
      <c r="F462" s="7">
        <f t="shared" si="3"/>
        <v>0.007146594079</v>
      </c>
      <c r="G462" s="7">
        <f t="shared" si="4"/>
        <v>0.001449628937</v>
      </c>
      <c r="H462" s="5">
        <f t="shared" ref="H462:K462" si="462">IF(B462="","",H461*(1+B462))</f>
        <v>156.9781256</v>
      </c>
      <c r="I462" s="5">
        <f t="shared" si="462"/>
        <v>175.6598056</v>
      </c>
      <c r="J462" s="5">
        <f t="shared" si="462"/>
        <v>102.2454631</v>
      </c>
      <c r="K462" s="5">
        <f t="shared" si="462"/>
        <v>137.2907857</v>
      </c>
      <c r="L462" s="7">
        <f t="shared" si="6"/>
        <v>-0.02468573959</v>
      </c>
    </row>
    <row r="463" ht="15.75" customHeight="1">
      <c r="A463" s="4">
        <f>IF(RETORNOS!A463="","",RETORNOS!A463)</f>
        <v>45083</v>
      </c>
      <c r="B463" s="7">
        <f>IF(RETORNOS!B463="","",OPTIMIZACION!$B$5*RETORNOS!B463+OPTIMIZACION!$B$6*RETORNOS!C463+OPTIMIZACION!$B$7*RETORNOS!D463+OPTIMIZACION!$B$8*RETORNOS!E463+OPTIMIZACION!$B$9*RETORNOS!F463+OPTIMIZACION!$B$10*RETORNOS!G463)</f>
        <v>0.007735565777</v>
      </c>
      <c r="C463" s="7">
        <f>IF(RETORNOS!H463="","",RETORNOS!H463)</f>
        <v>0.008063002385</v>
      </c>
      <c r="D463" s="7">
        <f>IF(RETORNOS!I463="","",RETORNOS!I463)</f>
        <v>-0.0007619972981</v>
      </c>
      <c r="E463" s="7">
        <f t="shared" si="2"/>
        <v>0.003650502543</v>
      </c>
      <c r="F463" s="7">
        <f t="shared" si="3"/>
        <v>-0.0003274366077</v>
      </c>
      <c r="G463" s="7">
        <f t="shared" si="4"/>
        <v>0.004085063234</v>
      </c>
      <c r="H463" s="5">
        <f t="shared" ref="H463:K463" si="463">IF(B463="","",H462*(1+B463))</f>
        <v>158.1924402</v>
      </c>
      <c r="I463" s="5">
        <f t="shared" si="463"/>
        <v>177.076151</v>
      </c>
      <c r="J463" s="5">
        <f t="shared" si="463"/>
        <v>102.1675524</v>
      </c>
      <c r="K463" s="5">
        <f t="shared" si="463"/>
        <v>137.7919661</v>
      </c>
      <c r="L463" s="7">
        <f t="shared" si="6"/>
        <v>-0.01714113197</v>
      </c>
    </row>
    <row r="464" ht="15.75" customHeight="1">
      <c r="A464" s="4">
        <f>IF(RETORNOS!A464="","",RETORNOS!A464)</f>
        <v>45084</v>
      </c>
      <c r="B464" s="7">
        <f>IF(RETORNOS!B464="","",OPTIMIZACION!$B$5*RETORNOS!B464+OPTIMIZACION!$B$6*RETORNOS!C464+OPTIMIZACION!$B$7*RETORNOS!D464+OPTIMIZACION!$B$8*RETORNOS!E464+OPTIMIZACION!$B$9*RETORNOS!F464+OPTIMIZACION!$B$10*RETORNOS!G464)</f>
        <v>0.02038818289</v>
      </c>
      <c r="C464" s="7">
        <f>IF(RETORNOS!H464="","",RETORNOS!H464)</f>
        <v>0.02649284077</v>
      </c>
      <c r="D464" s="7">
        <f>IF(RETORNOS!I464="","",RETORNOS!I464)</f>
        <v>0.01697652657</v>
      </c>
      <c r="E464" s="7">
        <f t="shared" si="2"/>
        <v>0.02173468367</v>
      </c>
      <c r="F464" s="7">
        <f t="shared" si="3"/>
        <v>-0.006104657884</v>
      </c>
      <c r="G464" s="7">
        <f t="shared" si="4"/>
        <v>-0.001346500784</v>
      </c>
      <c r="H464" s="5">
        <f t="shared" ref="H464:K464" si="464">IF(B464="","",H463*(1+B464))</f>
        <v>161.4176966</v>
      </c>
      <c r="I464" s="5">
        <f t="shared" si="464"/>
        <v>181.7674013</v>
      </c>
      <c r="J464" s="5">
        <f t="shared" si="464"/>
        <v>103.9020025</v>
      </c>
      <c r="K464" s="5">
        <f t="shared" si="464"/>
        <v>140.7868309</v>
      </c>
      <c r="L464" s="7">
        <f t="shared" si="6"/>
        <v>0</v>
      </c>
    </row>
    <row r="465" ht="15.75" customHeight="1">
      <c r="A465" s="4">
        <f>IF(RETORNOS!A465="","",RETORNOS!A465)</f>
        <v>45085</v>
      </c>
      <c r="B465" s="7">
        <f>IF(RETORNOS!B465="","",OPTIMIZACION!$B$5*RETORNOS!B465+OPTIMIZACION!$B$6*RETORNOS!C465+OPTIMIZACION!$B$7*RETORNOS!D465+OPTIMIZACION!$B$8*RETORNOS!E465+OPTIMIZACION!$B$9*RETORNOS!F465+OPTIMIZACION!$B$10*RETORNOS!G465)</f>
        <v>0.003467553326</v>
      </c>
      <c r="C465" s="7">
        <f>IF(RETORNOS!H465="","",RETORNOS!H465)</f>
        <v>-0.004260166245</v>
      </c>
      <c r="D465" s="7">
        <f>IF(RETORNOS!I465="","",RETORNOS!I465)</f>
        <v>0.004361564531</v>
      </c>
      <c r="E465" s="7">
        <f t="shared" si="2"/>
        <v>0.000050699143</v>
      </c>
      <c r="F465" s="7">
        <f t="shared" si="3"/>
        <v>0.007727719571</v>
      </c>
      <c r="G465" s="7">
        <f t="shared" si="4"/>
        <v>0.003416854183</v>
      </c>
      <c r="H465" s="5">
        <f t="shared" ref="H465:K465" si="465">IF(B465="","",H464*(1+B465))</f>
        <v>161.977421</v>
      </c>
      <c r="I465" s="5">
        <f t="shared" si="465"/>
        <v>180.9930419</v>
      </c>
      <c r="J465" s="5">
        <f t="shared" si="465"/>
        <v>104.3551778</v>
      </c>
      <c r="K465" s="5">
        <f t="shared" si="465"/>
        <v>140.7939687</v>
      </c>
      <c r="L465" s="7">
        <f t="shared" si="6"/>
        <v>0</v>
      </c>
    </row>
    <row r="466" ht="15.75" customHeight="1">
      <c r="A466" s="4">
        <f>IF(RETORNOS!A466="","",RETORNOS!A466)</f>
        <v>45086</v>
      </c>
      <c r="B466" s="7">
        <f>IF(RETORNOS!B466="","",OPTIMIZACION!$B$5*RETORNOS!B466+OPTIMIZACION!$B$6*RETORNOS!C466+OPTIMIZACION!$B$7*RETORNOS!D466+OPTIMIZACION!$B$8*RETORNOS!E466+OPTIMIZACION!$B$9*RETORNOS!F466+OPTIMIZACION!$B$10*RETORNOS!G466)</f>
        <v>-0.01031203038</v>
      </c>
      <c r="C466" s="7">
        <f>IF(RETORNOS!H466="","",RETORNOS!H466)</f>
        <v>-0.005502704469</v>
      </c>
      <c r="D466" s="7">
        <f>IF(RETORNOS!I466="","",RETORNOS!I466)</f>
        <v>-0.005839068618</v>
      </c>
      <c r="E466" s="7">
        <f t="shared" si="2"/>
        <v>-0.005670886544</v>
      </c>
      <c r="F466" s="7">
        <f t="shared" si="3"/>
        <v>-0.00480932591</v>
      </c>
      <c r="G466" s="7">
        <f t="shared" si="4"/>
        <v>-0.004641143836</v>
      </c>
      <c r="H466" s="5">
        <f t="shared" ref="H466:K466" si="466">IF(B466="","",H465*(1+B466))</f>
        <v>160.307105</v>
      </c>
      <c r="I466" s="5">
        <f t="shared" si="466"/>
        <v>179.9970907</v>
      </c>
      <c r="J466" s="5">
        <f t="shared" si="466"/>
        <v>103.7458408</v>
      </c>
      <c r="K466" s="5">
        <f t="shared" si="466"/>
        <v>139.9955421</v>
      </c>
      <c r="L466" s="7">
        <f t="shared" si="6"/>
        <v>-0.01031203038</v>
      </c>
    </row>
    <row r="467" ht="15.75" customHeight="1">
      <c r="A467" s="4">
        <f>IF(RETORNOS!A467="","",RETORNOS!A467)</f>
        <v>45089</v>
      </c>
      <c r="B467" s="7">
        <f>IF(RETORNOS!B467="","",OPTIMIZACION!$B$5*RETORNOS!B467+OPTIMIZACION!$B$6*RETORNOS!C467+OPTIMIZACION!$B$7*RETORNOS!D467+OPTIMIZACION!$B$8*RETORNOS!E467+OPTIMIZACION!$B$9*RETORNOS!F467+OPTIMIZACION!$B$10*RETORNOS!G467)</f>
        <v>-0.003169913019</v>
      </c>
      <c r="C467" s="7">
        <f>IF(RETORNOS!H467="","",RETORNOS!H467)</f>
        <v>-0.009587384198</v>
      </c>
      <c r="D467" s="7">
        <f>IF(RETORNOS!I467="","",RETORNOS!I467)</f>
        <v>-0.001810215914</v>
      </c>
      <c r="E467" s="7">
        <f t="shared" si="2"/>
        <v>-0.005698800056</v>
      </c>
      <c r="F467" s="7">
        <f t="shared" si="3"/>
        <v>0.006417471179</v>
      </c>
      <c r="G467" s="7">
        <f t="shared" si="4"/>
        <v>0.002528887037</v>
      </c>
      <c r="H467" s="5">
        <f t="shared" ref="H467:K467" si="467">IF(B467="","",H466*(1+B467))</f>
        <v>159.7989454</v>
      </c>
      <c r="I467" s="5">
        <f t="shared" si="467"/>
        <v>178.2713894</v>
      </c>
      <c r="J467" s="5">
        <f t="shared" si="467"/>
        <v>103.5580384</v>
      </c>
      <c r="K467" s="5">
        <f t="shared" si="467"/>
        <v>139.1977354</v>
      </c>
      <c r="L467" s="7">
        <f t="shared" si="6"/>
        <v>-0.01344925516</v>
      </c>
    </row>
    <row r="468" ht="15.75" customHeight="1">
      <c r="A468" s="4">
        <f>IF(RETORNOS!A468="","",RETORNOS!A468)</f>
        <v>45090</v>
      </c>
      <c r="B468" s="7">
        <f>IF(RETORNOS!B468="","",OPTIMIZACION!$B$5*RETORNOS!B468+OPTIMIZACION!$B$6*RETORNOS!C468+OPTIMIZACION!$B$7*RETORNOS!D468+OPTIMIZACION!$B$8*RETORNOS!E468+OPTIMIZACION!$B$9*RETORNOS!F468+OPTIMIZACION!$B$10*RETORNOS!G468)</f>
        <v>0.001311315623</v>
      </c>
      <c r="C468" s="7">
        <f>IF(RETORNOS!H468="","",RETORNOS!H468)</f>
        <v>0.004713619723</v>
      </c>
      <c r="D468" s="7">
        <f>IF(RETORNOS!I468="","",RETORNOS!I468)</f>
        <v>-0.0001576955425</v>
      </c>
      <c r="E468" s="7">
        <f t="shared" si="2"/>
        <v>0.00227796209</v>
      </c>
      <c r="F468" s="7">
        <f t="shared" si="3"/>
        <v>-0.0034023041</v>
      </c>
      <c r="G468" s="7">
        <f t="shared" si="4"/>
        <v>-0.0009666464672</v>
      </c>
      <c r="H468" s="5">
        <f t="shared" ref="H468:K468" si="468">IF(B468="","",H467*(1+B468))</f>
        <v>160.0084922</v>
      </c>
      <c r="I468" s="5">
        <f t="shared" si="468"/>
        <v>179.111693</v>
      </c>
      <c r="J468" s="5">
        <f t="shared" si="468"/>
        <v>103.5417078</v>
      </c>
      <c r="K468" s="5">
        <f t="shared" si="468"/>
        <v>139.5148226</v>
      </c>
      <c r="L468" s="7">
        <f t="shared" si="6"/>
        <v>-0.01215557575</v>
      </c>
    </row>
    <row r="469" ht="15.75" customHeight="1">
      <c r="A469" s="4">
        <f>IF(RETORNOS!A469="","",RETORNOS!A469)</f>
        <v>45091</v>
      </c>
      <c r="B469" s="7">
        <f>IF(RETORNOS!B469="","",OPTIMIZACION!$B$5*RETORNOS!B469+OPTIMIZACION!$B$6*RETORNOS!C469+OPTIMIZACION!$B$7*RETORNOS!D469+OPTIMIZACION!$B$8*RETORNOS!E469+OPTIMIZACION!$B$9*RETORNOS!F469+OPTIMIZACION!$B$10*RETORNOS!G469)</f>
        <v>-0.004699705181</v>
      </c>
      <c r="C469" s="7">
        <f>IF(RETORNOS!H469="","",RETORNOS!H469)</f>
        <v>-0.01025471655</v>
      </c>
      <c r="D469" s="7">
        <f>IF(RETORNOS!I469="","",RETORNOS!I469)</f>
        <v>-0.0005947373955</v>
      </c>
      <c r="E469" s="7">
        <f t="shared" si="2"/>
        <v>-0.005424726971</v>
      </c>
      <c r="F469" s="7">
        <f t="shared" si="3"/>
        <v>0.005555011366</v>
      </c>
      <c r="G469" s="7">
        <f t="shared" si="4"/>
        <v>0.0007250217906</v>
      </c>
      <c r="H469" s="5">
        <f t="shared" ref="H469:K469" si="469">IF(B469="","",H468*(1+B469))</f>
        <v>159.2564995</v>
      </c>
      <c r="I469" s="5">
        <f t="shared" si="469"/>
        <v>177.2749533</v>
      </c>
      <c r="J469" s="5">
        <f t="shared" si="469"/>
        <v>103.4801277</v>
      </c>
      <c r="K469" s="5">
        <f t="shared" si="469"/>
        <v>138.7579928</v>
      </c>
      <c r="L469" s="7">
        <f t="shared" si="6"/>
        <v>-0.01679815331</v>
      </c>
    </row>
    <row r="470" ht="15.75" customHeight="1">
      <c r="A470" s="4">
        <f>IF(RETORNOS!A470="","",RETORNOS!A470)</f>
        <v>45092</v>
      </c>
      <c r="B470" s="7">
        <f>IF(RETORNOS!B470="","",OPTIMIZACION!$B$5*RETORNOS!B470+OPTIMIZACION!$B$6*RETORNOS!C470+OPTIMIZACION!$B$7*RETORNOS!D470+OPTIMIZACION!$B$8*RETORNOS!E470+OPTIMIZACION!$B$9*RETORNOS!F470+OPTIMIZACION!$B$10*RETORNOS!G470)</f>
        <v>0.01685345749</v>
      </c>
      <c r="C470" s="7">
        <f>IF(RETORNOS!H470="","",RETORNOS!H470)</f>
        <v>0.01098459258</v>
      </c>
      <c r="D470" s="7">
        <f>IF(RETORNOS!I470="","",RETORNOS!I470)</f>
        <v>0.01086945801</v>
      </c>
      <c r="E470" s="7">
        <f t="shared" si="2"/>
        <v>0.01092702529</v>
      </c>
      <c r="F470" s="7">
        <f t="shared" si="3"/>
        <v>0.005868864909</v>
      </c>
      <c r="G470" s="7">
        <f t="shared" si="4"/>
        <v>0.005926432194</v>
      </c>
      <c r="H470" s="5">
        <f t="shared" ref="H470:K470" si="470">IF(B470="","",H469*(1+B470))</f>
        <v>161.9405221</v>
      </c>
      <c r="I470" s="5">
        <f t="shared" si="470"/>
        <v>179.2222465</v>
      </c>
      <c r="J470" s="5">
        <f t="shared" si="470"/>
        <v>104.6049006</v>
      </c>
      <c r="K470" s="5">
        <f t="shared" si="470"/>
        <v>140.2742049</v>
      </c>
      <c r="L470" s="7">
        <f t="shared" si="6"/>
        <v>-0.0002278027898</v>
      </c>
    </row>
    <row r="471" ht="15.75" customHeight="1">
      <c r="A471" s="4">
        <f>IF(RETORNOS!A471="","",RETORNOS!A471)</f>
        <v>45093</v>
      </c>
      <c r="B471" s="7">
        <f>IF(RETORNOS!B471="","",OPTIMIZACION!$B$5*RETORNOS!B471+OPTIMIZACION!$B$6*RETORNOS!C471+OPTIMIZACION!$B$7*RETORNOS!D471+OPTIMIZACION!$B$8*RETORNOS!E471+OPTIMIZACION!$B$9*RETORNOS!F471+OPTIMIZACION!$B$10*RETORNOS!G471)</f>
        <v>0.005730104462</v>
      </c>
      <c r="C471" s="7">
        <f>IF(RETORNOS!H471="","",RETORNOS!H471)</f>
        <v>-0.001477196789</v>
      </c>
      <c r="D471" s="7">
        <f>IF(RETORNOS!I471="","",RETORNOS!I471)</f>
        <v>0.005382796517</v>
      </c>
      <c r="E471" s="7">
        <f t="shared" si="2"/>
        <v>0.001952799864</v>
      </c>
      <c r="F471" s="7">
        <f t="shared" si="3"/>
        <v>0.007207301252</v>
      </c>
      <c r="G471" s="7">
        <f t="shared" si="4"/>
        <v>0.003777304598</v>
      </c>
      <c r="H471" s="5">
        <f t="shared" ref="H471:K471" si="471">IF(B471="","",H470*(1+B471))</f>
        <v>162.8684582</v>
      </c>
      <c r="I471" s="5">
        <f t="shared" si="471"/>
        <v>178.9574999</v>
      </c>
      <c r="J471" s="5">
        <f t="shared" si="471"/>
        <v>105.1679674</v>
      </c>
      <c r="K471" s="5">
        <f t="shared" si="471"/>
        <v>140.5481323</v>
      </c>
      <c r="L471" s="7">
        <f t="shared" si="6"/>
        <v>0</v>
      </c>
    </row>
    <row r="472" ht="15.75" customHeight="1">
      <c r="A472" s="4">
        <f>IF(RETORNOS!A472="","",RETORNOS!A472)</f>
        <v>45097</v>
      </c>
      <c r="B472" s="7">
        <f>IF(RETORNOS!B472="","",OPTIMIZACION!$B$5*RETORNOS!B472+OPTIMIZACION!$B$6*RETORNOS!C472+OPTIMIZACION!$B$7*RETORNOS!D472+OPTIMIZACION!$B$8*RETORNOS!E472+OPTIMIZACION!$B$9*RETORNOS!F472+OPTIMIZACION!$B$10*RETORNOS!G472)</f>
        <v>-0.008832449346</v>
      </c>
      <c r="C472" s="7">
        <f>IF(RETORNOS!H472="","",RETORNOS!H472)</f>
        <v>-0.02238852476</v>
      </c>
      <c r="D472" s="7">
        <f>IF(RETORNOS!I472="","",RETORNOS!I472)</f>
        <v>-0.01173669432</v>
      </c>
      <c r="E472" s="7">
        <f t="shared" si="2"/>
        <v>-0.01706260954</v>
      </c>
      <c r="F472" s="7">
        <f t="shared" si="3"/>
        <v>0.01355607542</v>
      </c>
      <c r="G472" s="7">
        <f t="shared" si="4"/>
        <v>0.008230160193</v>
      </c>
      <c r="H472" s="5">
        <f t="shared" ref="H472:K472" si="472">IF(B472="","",H471*(1+B472))</f>
        <v>161.4299308</v>
      </c>
      <c r="I472" s="5">
        <f t="shared" si="472"/>
        <v>174.9509055</v>
      </c>
      <c r="J472" s="5">
        <f t="shared" si="472"/>
        <v>103.9336432</v>
      </c>
      <c r="K472" s="5">
        <f t="shared" si="472"/>
        <v>138.1500144</v>
      </c>
      <c r="L472" s="7">
        <f t="shared" si="6"/>
        <v>-0.008832449346</v>
      </c>
    </row>
    <row r="473" ht="15.75" customHeight="1">
      <c r="A473" s="4">
        <f>IF(RETORNOS!A473="","",RETORNOS!A473)</f>
        <v>45098</v>
      </c>
      <c r="B473" s="7">
        <f>IF(RETORNOS!B473="","",OPTIMIZACION!$B$5*RETORNOS!B473+OPTIMIZACION!$B$6*RETORNOS!C473+OPTIMIZACION!$B$7*RETORNOS!D473+OPTIMIZACION!$B$8*RETORNOS!E473+OPTIMIZACION!$B$9*RETORNOS!F473+OPTIMIZACION!$B$10*RETORNOS!G473)</f>
        <v>0.01588774323</v>
      </c>
      <c r="C473" s="7">
        <f>IF(RETORNOS!H473="","",RETORNOS!H473)</f>
        <v>0.007915523406</v>
      </c>
      <c r="D473" s="7">
        <f>IF(RETORNOS!I473="","",RETORNOS!I473)</f>
        <v>0.008033048761</v>
      </c>
      <c r="E473" s="7">
        <f t="shared" si="2"/>
        <v>0.007974286083</v>
      </c>
      <c r="F473" s="7">
        <f t="shared" si="3"/>
        <v>0.007972219825</v>
      </c>
      <c r="G473" s="7">
        <f t="shared" si="4"/>
        <v>0.007913457147</v>
      </c>
      <c r="H473" s="5">
        <f t="shared" ref="H473:K473" si="473">IF(B473="","",H472*(1+B473))</f>
        <v>163.9946881</v>
      </c>
      <c r="I473" s="5">
        <f t="shared" si="473"/>
        <v>176.3357335</v>
      </c>
      <c r="J473" s="5">
        <f t="shared" si="473"/>
        <v>104.7685472</v>
      </c>
      <c r="K473" s="5">
        <f t="shared" si="473"/>
        <v>139.2516622</v>
      </c>
      <c r="L473" s="7">
        <f t="shared" si="6"/>
        <v>0</v>
      </c>
    </row>
    <row r="474" ht="15.75" customHeight="1">
      <c r="A474" s="4">
        <f>IF(RETORNOS!A474="","",RETORNOS!A474)</f>
        <v>45099</v>
      </c>
      <c r="B474" s="7">
        <f>IF(RETORNOS!B474="","",OPTIMIZACION!$B$5*RETORNOS!B474+OPTIMIZACION!$B$6*RETORNOS!C474+OPTIMIZACION!$B$7*RETORNOS!D474+OPTIMIZACION!$B$8*RETORNOS!E474+OPTIMIZACION!$B$9*RETORNOS!F474+OPTIMIZACION!$B$10*RETORNOS!G474)</f>
        <v>-0.007854427416</v>
      </c>
      <c r="C474" s="7">
        <f>IF(RETORNOS!H474="","",RETORNOS!H474)</f>
        <v>-0.01342165614</v>
      </c>
      <c r="D474" s="7">
        <f>IF(RETORNOS!I474="","",RETORNOS!I474)</f>
        <v>-0.007667028207</v>
      </c>
      <c r="E474" s="7">
        <f t="shared" si="2"/>
        <v>-0.01054434217</v>
      </c>
      <c r="F474" s="7">
        <f t="shared" si="3"/>
        <v>0.005567228719</v>
      </c>
      <c r="G474" s="7">
        <f t="shared" si="4"/>
        <v>0.002689914755</v>
      </c>
      <c r="H474" s="5">
        <f t="shared" ref="H474:K474" si="474">IF(B474="","",H473*(1+B474))</f>
        <v>162.7066038</v>
      </c>
      <c r="I474" s="5">
        <f t="shared" si="474"/>
        <v>173.9690159</v>
      </c>
      <c r="J474" s="5">
        <f t="shared" si="474"/>
        <v>103.9652838</v>
      </c>
      <c r="K474" s="5">
        <f t="shared" si="474"/>
        <v>137.783345</v>
      </c>
      <c r="L474" s="7">
        <f t="shared" si="6"/>
        <v>-0.007854427416</v>
      </c>
    </row>
    <row r="475" ht="15.75" customHeight="1">
      <c r="A475" s="4">
        <f>IF(RETORNOS!A475="","",RETORNOS!A475)</f>
        <v>45100</v>
      </c>
      <c r="B475" s="7">
        <f>IF(RETORNOS!B475="","",OPTIMIZACION!$B$5*RETORNOS!B475+OPTIMIZACION!$B$6*RETORNOS!C475+OPTIMIZACION!$B$7*RETORNOS!D475+OPTIMIZACION!$B$8*RETORNOS!E475+OPTIMIZACION!$B$9*RETORNOS!F475+OPTIMIZACION!$B$10*RETORNOS!G475)</f>
        <v>-0.00599364334</v>
      </c>
      <c r="C475" s="7">
        <f>IF(RETORNOS!H475="","",RETORNOS!H475)</f>
        <v>-0.007188148891</v>
      </c>
      <c r="D475" s="7">
        <f>IF(RETORNOS!I475="","",RETORNOS!I475)</f>
        <v>-0.01469659436</v>
      </c>
      <c r="E475" s="7">
        <f t="shared" si="2"/>
        <v>-0.01094237162</v>
      </c>
      <c r="F475" s="7">
        <f t="shared" si="3"/>
        <v>0.001194505552</v>
      </c>
      <c r="G475" s="7">
        <f t="shared" si="4"/>
        <v>0.004948728284</v>
      </c>
      <c r="H475" s="5">
        <f t="shared" ref="H475:K475" si="475">IF(B475="","",H474*(1+B475))</f>
        <v>161.7313984</v>
      </c>
      <c r="I475" s="5">
        <f t="shared" si="475"/>
        <v>172.7185007</v>
      </c>
      <c r="J475" s="5">
        <f t="shared" si="475"/>
        <v>102.4373482</v>
      </c>
      <c r="K475" s="5">
        <f t="shared" si="475"/>
        <v>136.2756684</v>
      </c>
      <c r="L475" s="7">
        <f t="shared" si="6"/>
        <v>-0.01380099412</v>
      </c>
    </row>
    <row r="476" ht="15.75" customHeight="1">
      <c r="A476" s="4">
        <f>IF(RETORNOS!A476="","",RETORNOS!A476)</f>
        <v>45103</v>
      </c>
      <c r="B476" s="7">
        <f>IF(RETORNOS!B476="","",OPTIMIZACION!$B$5*RETORNOS!B476+OPTIMIZACION!$B$6*RETORNOS!C476+OPTIMIZACION!$B$7*RETORNOS!D476+OPTIMIZACION!$B$8*RETORNOS!E476+OPTIMIZACION!$B$9*RETORNOS!F476+OPTIMIZACION!$B$10*RETORNOS!G476)</f>
        <v>0.01924428329</v>
      </c>
      <c r="C476" s="7">
        <f>IF(RETORNOS!H476="","",RETORNOS!H476)</f>
        <v>0.01796993874</v>
      </c>
      <c r="D476" s="7">
        <f>IF(RETORNOS!I476="","",RETORNOS!I476)</f>
        <v>0.009840911355</v>
      </c>
      <c r="E476" s="7">
        <f t="shared" si="2"/>
        <v>0.01390542505</v>
      </c>
      <c r="F476" s="7">
        <f t="shared" si="3"/>
        <v>0.001274344551</v>
      </c>
      <c r="G476" s="7">
        <f t="shared" si="4"/>
        <v>0.005338858245</v>
      </c>
      <c r="H476" s="5">
        <f t="shared" ref="H476:K476" si="476">IF(B476="","",H475*(1+B476))</f>
        <v>164.8438032</v>
      </c>
      <c r="I476" s="5">
        <f t="shared" si="476"/>
        <v>175.8222416</v>
      </c>
      <c r="J476" s="5">
        <f t="shared" si="476"/>
        <v>103.445425</v>
      </c>
      <c r="K476" s="5">
        <f t="shared" si="476"/>
        <v>138.1706395</v>
      </c>
      <c r="L476" s="7">
        <f t="shared" si="6"/>
        <v>0</v>
      </c>
    </row>
    <row r="477" ht="15.75" customHeight="1">
      <c r="A477" s="4">
        <f>IF(RETORNOS!A477="","",RETORNOS!A477)</f>
        <v>45104</v>
      </c>
      <c r="B477" s="7">
        <f>IF(RETORNOS!B477="","",OPTIMIZACION!$B$5*RETORNOS!B477+OPTIMIZACION!$B$6*RETORNOS!C477+OPTIMIZACION!$B$7*RETORNOS!D477+OPTIMIZACION!$B$8*RETORNOS!E477+OPTIMIZACION!$B$9*RETORNOS!F477+OPTIMIZACION!$B$10*RETORNOS!G477)</f>
        <v>-0.0006910994013</v>
      </c>
      <c r="C477" s="7">
        <f>IF(RETORNOS!H477="","",RETORNOS!H477)</f>
        <v>0.002286221722</v>
      </c>
      <c r="D477" s="7">
        <f>IF(RETORNOS!I477="","",RETORNOS!I477)</f>
        <v>0.000305867727</v>
      </c>
      <c r="E477" s="7">
        <f t="shared" si="2"/>
        <v>0.001296044725</v>
      </c>
      <c r="F477" s="7">
        <f t="shared" si="3"/>
        <v>-0.002977321123</v>
      </c>
      <c r="G477" s="7">
        <f t="shared" si="4"/>
        <v>-0.001987144126</v>
      </c>
      <c r="H477" s="5">
        <f t="shared" ref="H477:K477" si="477">IF(B477="","",H476*(1+B477))</f>
        <v>164.7298798</v>
      </c>
      <c r="I477" s="5">
        <f t="shared" si="477"/>
        <v>176.2242102</v>
      </c>
      <c r="J477" s="5">
        <f t="shared" si="477"/>
        <v>103.4770657</v>
      </c>
      <c r="K477" s="5">
        <f t="shared" si="477"/>
        <v>138.3497149</v>
      </c>
      <c r="L477" s="7">
        <f t="shared" si="6"/>
        <v>-0.0006910994013</v>
      </c>
    </row>
    <row r="478" ht="15.75" customHeight="1">
      <c r="A478" s="4">
        <f>IF(RETORNOS!A478="","",RETORNOS!A478)</f>
        <v>45105</v>
      </c>
      <c r="B478" s="7">
        <f>IF(RETORNOS!B478="","",OPTIMIZACION!$B$5*RETORNOS!B478+OPTIMIZACION!$B$6*RETORNOS!C478+OPTIMIZACION!$B$7*RETORNOS!D478+OPTIMIZACION!$B$8*RETORNOS!E478+OPTIMIZACION!$B$9*RETORNOS!F478+OPTIMIZACION!$B$10*RETORNOS!G478)</f>
        <v>-0.001384908451</v>
      </c>
      <c r="C478" s="7">
        <f>IF(RETORNOS!H478="","",RETORNOS!H478)</f>
        <v>0.01013108223</v>
      </c>
      <c r="D478" s="7">
        <f>IF(RETORNOS!I478="","",RETORNOS!I478)</f>
        <v>-0.01476922268</v>
      </c>
      <c r="E478" s="7">
        <f t="shared" si="2"/>
        <v>-0.002319070225</v>
      </c>
      <c r="F478" s="7">
        <f t="shared" si="3"/>
        <v>-0.01151599068</v>
      </c>
      <c r="G478" s="7">
        <f t="shared" si="4"/>
        <v>0.000934161774</v>
      </c>
      <c r="H478" s="5">
        <f t="shared" ref="H478:K478" si="478">IF(B478="","",H477*(1+B478))</f>
        <v>164.501744</v>
      </c>
      <c r="I478" s="5">
        <f t="shared" si="478"/>
        <v>178.0095522</v>
      </c>
      <c r="J478" s="5">
        <f t="shared" si="478"/>
        <v>101.9487898</v>
      </c>
      <c r="K478" s="5">
        <f t="shared" si="478"/>
        <v>138.0288721</v>
      </c>
      <c r="L478" s="7">
        <f t="shared" si="6"/>
        <v>-0.002075050743</v>
      </c>
    </row>
    <row r="479" ht="15.75" customHeight="1">
      <c r="A479" s="4">
        <f>IF(RETORNOS!A479="","",RETORNOS!A479)</f>
        <v>45106</v>
      </c>
      <c r="B479" s="7">
        <f>IF(RETORNOS!B479="","",OPTIMIZACION!$B$5*RETORNOS!B479+OPTIMIZACION!$B$6*RETORNOS!C479+OPTIMIZACION!$B$7*RETORNOS!D479+OPTIMIZACION!$B$8*RETORNOS!E479+OPTIMIZACION!$B$9*RETORNOS!F479+OPTIMIZACION!$B$10*RETORNOS!G479)</f>
        <v>0.009810691146</v>
      </c>
      <c r="C479" s="7">
        <f>IF(RETORNOS!H479="","",RETORNOS!H479)</f>
        <v>0.0115385244</v>
      </c>
      <c r="D479" s="7">
        <f>IF(RETORNOS!I479="","",RETORNOS!I479)</f>
        <v>0</v>
      </c>
      <c r="E479" s="7">
        <f t="shared" si="2"/>
        <v>0.005769262199</v>
      </c>
      <c r="F479" s="7">
        <f t="shared" si="3"/>
        <v>-0.001727833252</v>
      </c>
      <c r="G479" s="7">
        <f t="shared" si="4"/>
        <v>0.004041428947</v>
      </c>
      <c r="H479" s="5">
        <f t="shared" ref="H479:K479" si="479">IF(B479="","",H478*(1+B479))</f>
        <v>166.1156198</v>
      </c>
      <c r="I479" s="5">
        <f t="shared" si="479"/>
        <v>180.0635198</v>
      </c>
      <c r="J479" s="5">
        <f t="shared" si="479"/>
        <v>101.9487898</v>
      </c>
      <c r="K479" s="5">
        <f t="shared" si="479"/>
        <v>138.8251969</v>
      </c>
      <c r="L479" s="7">
        <f t="shared" si="6"/>
        <v>0</v>
      </c>
    </row>
    <row r="480" ht="15.75" customHeight="1">
      <c r="A480" s="4">
        <f>IF(RETORNOS!A480="","",RETORNOS!A480)</f>
        <v>45107</v>
      </c>
      <c r="B480" s="7">
        <f>IF(RETORNOS!B480="","",OPTIMIZACION!$B$5*RETORNOS!B480+OPTIMIZACION!$B$6*RETORNOS!C480+OPTIMIZACION!$B$7*RETORNOS!D480+OPTIMIZACION!$B$8*RETORNOS!E480+OPTIMIZACION!$B$9*RETORNOS!F480+OPTIMIZACION!$B$10*RETORNOS!G480)</f>
        <v>0.00588004672</v>
      </c>
      <c r="C480" s="7">
        <f>IF(RETORNOS!H480="","",RETORNOS!H480)</f>
        <v>0.006452064607</v>
      </c>
      <c r="D480" s="7">
        <f>IF(RETORNOS!I480="","",RETORNOS!I480)</f>
        <v>0.01112616551</v>
      </c>
      <c r="E480" s="7">
        <f t="shared" si="2"/>
        <v>0.008789115059</v>
      </c>
      <c r="F480" s="7">
        <f t="shared" si="3"/>
        <v>-0.0005720178864</v>
      </c>
      <c r="G480" s="7">
        <f t="shared" si="4"/>
        <v>-0.002909068338</v>
      </c>
      <c r="H480" s="5">
        <f t="shared" ref="H480:K480" si="480">IF(B480="","",H479*(1+B480))</f>
        <v>167.0923874</v>
      </c>
      <c r="I480" s="5">
        <f t="shared" si="480"/>
        <v>181.2253012</v>
      </c>
      <c r="J480" s="5">
        <f t="shared" si="480"/>
        <v>103.0830889</v>
      </c>
      <c r="K480" s="5">
        <f t="shared" si="480"/>
        <v>140.0453475</v>
      </c>
      <c r="L480" s="7">
        <f t="shared" si="6"/>
        <v>0</v>
      </c>
    </row>
    <row r="481" ht="15.75" customHeight="1">
      <c r="A481" s="4">
        <f>IF(RETORNOS!A481="","",RETORNOS!A481)</f>
        <v>45110</v>
      </c>
      <c r="B481" s="7">
        <f>IF(RETORNOS!B481="","",OPTIMIZACION!$B$5*RETORNOS!B481+OPTIMIZACION!$B$6*RETORNOS!C481+OPTIMIZACION!$B$7*RETORNOS!D481+OPTIMIZACION!$B$8*RETORNOS!E481+OPTIMIZACION!$B$9*RETORNOS!F481+OPTIMIZACION!$B$10*RETORNOS!G481)</f>
        <v>0.001336701741</v>
      </c>
      <c r="C481" s="7">
        <f>IF(RETORNOS!H481="","",RETORNOS!H481)</f>
        <v>0.002338461538</v>
      </c>
      <c r="D481" s="7">
        <f>IF(RETORNOS!I481="","",RETORNOS!I481)</f>
        <v>0.00749204589</v>
      </c>
      <c r="E481" s="7">
        <f t="shared" si="2"/>
        <v>0.004915253714</v>
      </c>
      <c r="F481" s="7">
        <f t="shared" si="3"/>
        <v>-0.001001759797</v>
      </c>
      <c r="G481" s="7">
        <f t="shared" si="4"/>
        <v>-0.003578551973</v>
      </c>
      <c r="H481" s="5">
        <f t="shared" ref="H481:K481" si="481">IF(B481="","",H480*(1+B481))</f>
        <v>167.3157401</v>
      </c>
      <c r="I481" s="5">
        <f t="shared" si="481"/>
        <v>181.6490896</v>
      </c>
      <c r="J481" s="5">
        <f t="shared" si="481"/>
        <v>103.8553922</v>
      </c>
      <c r="K481" s="5">
        <f t="shared" si="481"/>
        <v>140.7337059</v>
      </c>
      <c r="L481" s="7">
        <f t="shared" si="6"/>
        <v>0</v>
      </c>
    </row>
    <row r="482" ht="15.75" customHeight="1">
      <c r="A482" s="4">
        <f>IF(RETORNOS!A482="","",RETORNOS!A482)</f>
        <v>45112</v>
      </c>
      <c r="B482" s="7">
        <f>IF(RETORNOS!B482="","",OPTIMIZACION!$B$5*RETORNOS!B482+OPTIMIZACION!$B$6*RETORNOS!C482+OPTIMIZACION!$B$7*RETORNOS!D482+OPTIMIZACION!$B$8*RETORNOS!E482+OPTIMIZACION!$B$9*RETORNOS!F482+OPTIMIZACION!$B$10*RETORNOS!G482)</f>
        <v>0.004821997068</v>
      </c>
      <c r="C482" s="7">
        <f>IF(RETORNOS!H482="","",RETORNOS!H482)</f>
        <v>-0.005530878961</v>
      </c>
      <c r="D482" s="7">
        <f>IF(RETORNOS!I482="","",RETORNOS!I482)</f>
        <v>0.01137398528</v>
      </c>
      <c r="E482" s="7">
        <f t="shared" si="2"/>
        <v>0.002921553162</v>
      </c>
      <c r="F482" s="7">
        <f t="shared" si="3"/>
        <v>0.01035287603</v>
      </c>
      <c r="G482" s="7">
        <f t="shared" si="4"/>
        <v>0.001900443907</v>
      </c>
      <c r="H482" s="5">
        <f t="shared" ref="H482:K482" si="482">IF(B482="","",H481*(1+B482))</f>
        <v>168.1225361</v>
      </c>
      <c r="I482" s="5">
        <f t="shared" si="482"/>
        <v>180.6444105</v>
      </c>
      <c r="J482" s="5">
        <f t="shared" si="482"/>
        <v>105.0366419</v>
      </c>
      <c r="K482" s="5">
        <f t="shared" si="482"/>
        <v>141.1448669</v>
      </c>
      <c r="L482" s="7">
        <f t="shared" si="6"/>
        <v>0</v>
      </c>
    </row>
    <row r="483" ht="15.75" customHeight="1">
      <c r="A483" s="4">
        <f>IF(RETORNOS!A483="","",RETORNOS!A483)</f>
        <v>45113</v>
      </c>
      <c r="B483" s="7">
        <f>IF(RETORNOS!B483="","",OPTIMIZACION!$B$5*RETORNOS!B483+OPTIMIZACION!$B$6*RETORNOS!C483+OPTIMIZACION!$B$7*RETORNOS!D483+OPTIMIZACION!$B$8*RETORNOS!E483+OPTIMIZACION!$B$9*RETORNOS!F483+OPTIMIZACION!$B$10*RETORNOS!G483)</f>
        <v>-0.02041795011</v>
      </c>
      <c r="C483" s="7">
        <f>IF(RETORNOS!H483="","",RETORNOS!H483)</f>
        <v>-0.02249350426</v>
      </c>
      <c r="D483" s="7">
        <f>IF(RETORNOS!I483="","",RETORNOS!I483)</f>
        <v>-0.01215301396</v>
      </c>
      <c r="E483" s="7">
        <f t="shared" si="2"/>
        <v>-0.01732325911</v>
      </c>
      <c r="F483" s="7">
        <f t="shared" si="3"/>
        <v>0.00207555415</v>
      </c>
      <c r="G483" s="7">
        <f t="shared" si="4"/>
        <v>-0.003094691001</v>
      </c>
      <c r="H483" s="5">
        <f t="shared" ref="H483:K483" si="483">IF(B483="","",H482*(1+B483))</f>
        <v>164.6898185</v>
      </c>
      <c r="I483" s="5">
        <f t="shared" si="483"/>
        <v>176.5810847</v>
      </c>
      <c r="J483" s="5">
        <f t="shared" si="483"/>
        <v>103.7601301</v>
      </c>
      <c r="K483" s="5">
        <f t="shared" si="483"/>
        <v>138.6997778</v>
      </c>
      <c r="L483" s="7">
        <f t="shared" si="6"/>
        <v>-0.02041795011</v>
      </c>
    </row>
    <row r="484" ht="15.75" customHeight="1">
      <c r="A484" s="4">
        <f>IF(RETORNOS!A484="","",RETORNOS!A484)</f>
        <v>45114</v>
      </c>
      <c r="B484" s="7">
        <f>IF(RETORNOS!B484="","",OPTIMIZACION!$B$5*RETORNOS!B484+OPTIMIZACION!$B$6*RETORNOS!C484+OPTIMIZACION!$B$7*RETORNOS!D484+OPTIMIZACION!$B$8*RETORNOS!E484+OPTIMIZACION!$B$9*RETORNOS!F484+OPTIMIZACION!$B$10*RETORNOS!G484)</f>
        <v>0.004127761341</v>
      </c>
      <c r="C484" s="7">
        <f>IF(RETORNOS!H484="","",RETORNOS!H484)</f>
        <v>0.02149533737</v>
      </c>
      <c r="D484" s="7">
        <f>IF(RETORNOS!I484="","",RETORNOS!I484)</f>
        <v>-0.007285771433</v>
      </c>
      <c r="E484" s="7">
        <f t="shared" si="2"/>
        <v>0.007104782968</v>
      </c>
      <c r="F484" s="7">
        <f t="shared" si="3"/>
        <v>-0.01736757603</v>
      </c>
      <c r="G484" s="7">
        <f t="shared" si="4"/>
        <v>-0.002977021627</v>
      </c>
      <c r="H484" s="5">
        <f t="shared" ref="H484:K484" si="484">IF(B484="","",H483*(1+B484))</f>
        <v>165.3696188</v>
      </c>
      <c r="I484" s="5">
        <f t="shared" si="484"/>
        <v>180.3767547</v>
      </c>
      <c r="J484" s="5">
        <f t="shared" si="484"/>
        <v>103.0041575</v>
      </c>
      <c r="K484" s="5">
        <f t="shared" si="484"/>
        <v>139.6852097</v>
      </c>
      <c r="L484" s="7">
        <f t="shared" si="6"/>
        <v>-0.0163744692</v>
      </c>
    </row>
    <row r="485" ht="15.75" customHeight="1">
      <c r="A485" s="4">
        <f>IF(RETORNOS!A485="","",RETORNOS!A485)</f>
        <v>45117</v>
      </c>
      <c r="B485" s="7">
        <f>IF(RETORNOS!B485="","",OPTIMIZACION!$B$5*RETORNOS!B485+OPTIMIZACION!$B$6*RETORNOS!C485+OPTIMIZACION!$B$7*RETORNOS!D485+OPTIMIZACION!$B$8*RETORNOS!E485+OPTIMIZACION!$B$9*RETORNOS!F485+OPTIMIZACION!$B$10*RETORNOS!G485)</f>
        <v>0.005290946791</v>
      </c>
      <c r="C485" s="7">
        <f>IF(RETORNOS!H485="","",RETORNOS!H485)</f>
        <v>0.007795698925</v>
      </c>
      <c r="D485" s="7">
        <f>IF(RETORNOS!I485="","",RETORNOS!I485)</f>
        <v>-0.004280674867</v>
      </c>
      <c r="E485" s="7">
        <f t="shared" si="2"/>
        <v>0.001757512029</v>
      </c>
      <c r="F485" s="7">
        <f t="shared" si="3"/>
        <v>-0.002504752134</v>
      </c>
      <c r="G485" s="7">
        <f t="shared" si="4"/>
        <v>0.003533434762</v>
      </c>
      <c r="H485" s="5">
        <f t="shared" ref="H485:K485" si="485">IF(B485="","",H484*(1+B485))</f>
        <v>166.2445807</v>
      </c>
      <c r="I485" s="5">
        <f t="shared" si="485"/>
        <v>181.7829175</v>
      </c>
      <c r="J485" s="5">
        <f t="shared" si="485"/>
        <v>102.5632302</v>
      </c>
      <c r="K485" s="5">
        <f t="shared" si="485"/>
        <v>139.9307081</v>
      </c>
      <c r="L485" s="7">
        <f t="shared" si="6"/>
        <v>-0.01117015885</v>
      </c>
    </row>
    <row r="486" ht="15.75" customHeight="1">
      <c r="A486" s="4">
        <f>IF(RETORNOS!A486="","",RETORNOS!A486)</f>
        <v>45118</v>
      </c>
      <c r="B486" s="7">
        <f>IF(RETORNOS!B486="","",OPTIMIZACION!$B$5*RETORNOS!B486+OPTIMIZACION!$B$6*RETORNOS!C486+OPTIMIZACION!$B$7*RETORNOS!D486+OPTIMIZACION!$B$8*RETORNOS!E486+OPTIMIZACION!$B$9*RETORNOS!F486+OPTIMIZACION!$B$10*RETORNOS!G486)</f>
        <v>0.008611149333</v>
      </c>
      <c r="C486" s="7">
        <f>IF(RETORNOS!H486="","",RETORNOS!H486)</f>
        <v>0.02198452921</v>
      </c>
      <c r="D486" s="7">
        <f>IF(RETORNOS!I486="","",RETORNOS!I486)</f>
        <v>0.01243946129</v>
      </c>
      <c r="E486" s="7">
        <f t="shared" si="2"/>
        <v>0.01721199525</v>
      </c>
      <c r="F486" s="7">
        <f t="shared" si="3"/>
        <v>-0.01337337987</v>
      </c>
      <c r="G486" s="7">
        <f t="shared" si="4"/>
        <v>-0.008600845915</v>
      </c>
      <c r="H486" s="5">
        <f t="shared" ref="H486:K486" si="486">IF(B486="","",H485*(1+B486))</f>
        <v>167.6761376</v>
      </c>
      <c r="I486" s="5">
        <f t="shared" si="486"/>
        <v>185.7793294</v>
      </c>
      <c r="J486" s="5">
        <f t="shared" si="486"/>
        <v>103.8390615</v>
      </c>
      <c r="K486" s="5">
        <f t="shared" si="486"/>
        <v>142.3391948</v>
      </c>
      <c r="L486" s="7">
        <f t="shared" si="6"/>
        <v>-0.002655197424</v>
      </c>
    </row>
    <row r="487" ht="15.75" customHeight="1">
      <c r="A487" s="4">
        <f>IF(RETORNOS!A487="","",RETORNOS!A487)</f>
        <v>45119</v>
      </c>
      <c r="B487" s="7">
        <f>IF(RETORNOS!B487="","",OPTIMIZACION!$B$5*RETORNOS!B487+OPTIMIZACION!$B$6*RETORNOS!C487+OPTIMIZACION!$B$7*RETORNOS!D487+OPTIMIZACION!$B$8*RETORNOS!E487+OPTIMIZACION!$B$9*RETORNOS!F487+OPTIMIZACION!$B$10*RETORNOS!G487)</f>
        <v>0.01159855406</v>
      </c>
      <c r="C487" s="7">
        <f>IF(RETORNOS!H487="","",RETORNOS!H487)</f>
        <v>0.009255054262</v>
      </c>
      <c r="D487" s="7">
        <f>IF(RETORNOS!I487="","",RETORNOS!I487)</f>
        <v>0.014563743</v>
      </c>
      <c r="E487" s="7">
        <f t="shared" si="2"/>
        <v>0.01190939863</v>
      </c>
      <c r="F487" s="7">
        <f t="shared" si="3"/>
        <v>0.002343499798</v>
      </c>
      <c r="G487" s="7">
        <f t="shared" si="4"/>
        <v>-0.0003108445691</v>
      </c>
      <c r="H487" s="5">
        <f t="shared" ref="H487:K487" si="487">IF(B487="","",H486*(1+B487))</f>
        <v>169.6209383</v>
      </c>
      <c r="I487" s="5">
        <f t="shared" si="487"/>
        <v>187.4987272</v>
      </c>
      <c r="J487" s="5">
        <f t="shared" si="487"/>
        <v>105.3513469</v>
      </c>
      <c r="K487" s="5">
        <f t="shared" si="487"/>
        <v>144.034369</v>
      </c>
      <c r="L487" s="7">
        <f t="shared" si="6"/>
        <v>0</v>
      </c>
    </row>
    <row r="488" ht="15.75" customHeight="1">
      <c r="A488" s="4">
        <f>IF(RETORNOS!A488="","",RETORNOS!A488)</f>
        <v>45120</v>
      </c>
      <c r="B488" s="7">
        <f>IF(RETORNOS!B488="","",OPTIMIZACION!$B$5*RETORNOS!B488+OPTIMIZACION!$B$6*RETORNOS!C488+OPTIMIZACION!$B$7*RETORNOS!D488+OPTIMIZACION!$B$8*RETORNOS!E488+OPTIMIZACION!$B$9*RETORNOS!F488+OPTIMIZACION!$B$10*RETORNOS!G488)</f>
        <v>-0.001521474398</v>
      </c>
      <c r="C488" s="7">
        <f>IF(RETORNOS!H488="","",RETORNOS!H488)</f>
        <v>-0.003809272592</v>
      </c>
      <c r="D488" s="7">
        <f>IF(RETORNOS!I488="","",RETORNOS!I488)</f>
        <v>0.003442540892</v>
      </c>
      <c r="E488" s="7">
        <f t="shared" si="2"/>
        <v>-0.0001833658498</v>
      </c>
      <c r="F488" s="7">
        <f t="shared" si="3"/>
        <v>0.002287798193</v>
      </c>
      <c r="G488" s="7">
        <f t="shared" si="4"/>
        <v>-0.001338108549</v>
      </c>
      <c r="H488" s="5">
        <f t="shared" ref="H488:K488" si="488">IF(B488="","",H487*(1+B488))</f>
        <v>169.3628644</v>
      </c>
      <c r="I488" s="5">
        <f t="shared" si="488"/>
        <v>186.7844934</v>
      </c>
      <c r="J488" s="5">
        <f t="shared" si="488"/>
        <v>105.7140233</v>
      </c>
      <c r="K488" s="5">
        <f t="shared" si="488"/>
        <v>144.007958</v>
      </c>
      <c r="L488" s="7">
        <f t="shared" si="6"/>
        <v>-0.001521474398</v>
      </c>
    </row>
    <row r="489" ht="15.75" customHeight="1">
      <c r="A489" s="4">
        <f>IF(RETORNOS!A489="","",RETORNOS!A489)</f>
        <v>45121</v>
      </c>
      <c r="B489" s="7">
        <f>IF(RETORNOS!B489="","",OPTIMIZACION!$B$5*RETORNOS!B489+OPTIMIZACION!$B$6*RETORNOS!C489+OPTIMIZACION!$B$7*RETORNOS!D489+OPTIMIZACION!$B$8*RETORNOS!E489+OPTIMIZACION!$B$9*RETORNOS!F489+OPTIMIZACION!$B$10*RETORNOS!G489)</f>
        <v>-0.02047017838</v>
      </c>
      <c r="C489" s="7">
        <f>IF(RETORNOS!H489="","",RETORNOS!H489)</f>
        <v>-0.02641641681</v>
      </c>
      <c r="D489" s="7">
        <f>IF(RETORNOS!I489="","",RETORNOS!I489)</f>
        <v>-0.003878077117</v>
      </c>
      <c r="E489" s="7">
        <f t="shared" si="2"/>
        <v>-0.01514724696</v>
      </c>
      <c r="F489" s="7">
        <f t="shared" si="3"/>
        <v>0.005946238421</v>
      </c>
      <c r="G489" s="7">
        <f t="shared" si="4"/>
        <v>-0.005322931423</v>
      </c>
      <c r="H489" s="5">
        <f t="shared" ref="H489:K489" si="489">IF(B489="","",H488*(1+B489))</f>
        <v>165.8959764</v>
      </c>
      <c r="I489" s="5">
        <f t="shared" si="489"/>
        <v>181.8503164</v>
      </c>
      <c r="J489" s="5">
        <f t="shared" si="489"/>
        <v>105.3040561</v>
      </c>
      <c r="K489" s="5">
        <f t="shared" si="489"/>
        <v>141.8266339</v>
      </c>
      <c r="L489" s="7">
        <f t="shared" si="6"/>
        <v>-0.02196050793</v>
      </c>
    </row>
    <row r="490" ht="15.75" customHeight="1">
      <c r="A490" s="4">
        <f>IF(RETORNOS!A490="","",RETORNOS!A490)</f>
        <v>45124</v>
      </c>
      <c r="B490" s="7">
        <f>IF(RETORNOS!B490="","",OPTIMIZACION!$B$5*RETORNOS!B490+OPTIMIZACION!$B$6*RETORNOS!C490+OPTIMIZACION!$B$7*RETORNOS!D490+OPTIMIZACION!$B$8*RETORNOS!E490+OPTIMIZACION!$B$9*RETORNOS!F490+OPTIMIZACION!$B$10*RETORNOS!G490)</f>
        <v>0.0003500970225</v>
      </c>
      <c r="C490" s="7">
        <f>IF(RETORNOS!H490="","",RETORNOS!H490)</f>
        <v>-0.00196512896</v>
      </c>
      <c r="D490" s="7">
        <f>IF(RETORNOS!I490="","",RETORNOS!I490)</f>
        <v>-0.01151798292</v>
      </c>
      <c r="E490" s="7">
        <f t="shared" si="2"/>
        <v>-0.006741555938</v>
      </c>
      <c r="F490" s="7">
        <f t="shared" si="3"/>
        <v>0.002315225982</v>
      </c>
      <c r="G490" s="7">
        <f t="shared" si="4"/>
        <v>0.00709165296</v>
      </c>
      <c r="H490" s="5">
        <f t="shared" ref="H490:K490" si="490">IF(B490="","",H489*(1+B490))</f>
        <v>165.954056</v>
      </c>
      <c r="I490" s="5">
        <f t="shared" si="490"/>
        <v>181.4929571</v>
      </c>
      <c r="J490" s="5">
        <f t="shared" si="490"/>
        <v>104.0911658</v>
      </c>
      <c r="K490" s="5">
        <f t="shared" si="490"/>
        <v>140.8705017</v>
      </c>
      <c r="L490" s="7">
        <f t="shared" si="6"/>
        <v>-0.02161809922</v>
      </c>
    </row>
    <row r="491" ht="15.75" customHeight="1">
      <c r="A491" s="4">
        <f>IF(RETORNOS!A491="","",RETORNOS!A491)</f>
        <v>45125</v>
      </c>
      <c r="B491" s="7">
        <f>IF(RETORNOS!B491="","",OPTIMIZACION!$B$5*RETORNOS!B491+OPTIMIZACION!$B$6*RETORNOS!C491+OPTIMIZACION!$B$7*RETORNOS!D491+OPTIMIZACION!$B$8*RETORNOS!E491+OPTIMIZACION!$B$9*RETORNOS!F491+OPTIMIZACION!$B$10*RETORNOS!G491)</f>
        <v>0.003171167353</v>
      </c>
      <c r="C491" s="7">
        <f>IF(RETORNOS!H491="","",RETORNOS!H491)</f>
        <v>0.01008543903</v>
      </c>
      <c r="D491" s="7">
        <f>IF(RETORNOS!I491="","",RETORNOS!I491)</f>
        <v>-0.007716921991</v>
      </c>
      <c r="E491" s="7">
        <f t="shared" si="2"/>
        <v>0.00118425852</v>
      </c>
      <c r="F491" s="7">
        <f t="shared" si="3"/>
        <v>-0.006914271678</v>
      </c>
      <c r="G491" s="7">
        <f t="shared" si="4"/>
        <v>0.001986908833</v>
      </c>
      <c r="H491" s="5">
        <f t="shared" ref="H491:K491" si="491">IF(B491="","",H490*(1+B491))</f>
        <v>166.4803241</v>
      </c>
      <c r="I491" s="5">
        <f t="shared" si="491"/>
        <v>183.3233932</v>
      </c>
      <c r="J491" s="5">
        <f t="shared" si="491"/>
        <v>103.2879024</v>
      </c>
      <c r="K491" s="5">
        <f t="shared" si="491"/>
        <v>141.0373288</v>
      </c>
      <c r="L491" s="7">
        <f t="shared" si="6"/>
        <v>-0.01851548647</v>
      </c>
    </row>
    <row r="492" ht="15.75" customHeight="1">
      <c r="A492" s="4">
        <f>IF(RETORNOS!A492="","",RETORNOS!A492)</f>
        <v>45126</v>
      </c>
      <c r="B492" s="7">
        <f>IF(RETORNOS!B492="","",OPTIMIZACION!$B$5*RETORNOS!B492+OPTIMIZACION!$B$6*RETORNOS!C492+OPTIMIZACION!$B$7*RETORNOS!D492+OPTIMIZACION!$B$8*RETORNOS!E492+OPTIMIZACION!$B$9*RETORNOS!F492+OPTIMIZACION!$B$10*RETORNOS!G492)</f>
        <v>0.006375468056</v>
      </c>
      <c r="C492" s="7">
        <f>IF(RETORNOS!H492="","",RETORNOS!H492)</f>
        <v>0.005848015087</v>
      </c>
      <c r="D492" s="7">
        <f>IF(RETORNOS!I492="","",RETORNOS!I492)</f>
        <v>0.01021772786</v>
      </c>
      <c r="E492" s="7">
        <f t="shared" si="2"/>
        <v>0.008032871472</v>
      </c>
      <c r="F492" s="7">
        <f t="shared" si="3"/>
        <v>0.0005274529688</v>
      </c>
      <c r="G492" s="7">
        <f t="shared" si="4"/>
        <v>-0.001657403416</v>
      </c>
      <c r="H492" s="5">
        <f t="shared" ref="H492:K492" si="492">IF(B492="","",H491*(1+B492))</f>
        <v>167.5417141</v>
      </c>
      <c r="I492" s="5">
        <f t="shared" si="492"/>
        <v>184.3954712</v>
      </c>
      <c r="J492" s="5">
        <f t="shared" si="492"/>
        <v>104.3432701</v>
      </c>
      <c r="K492" s="5">
        <f t="shared" si="492"/>
        <v>142.1702635</v>
      </c>
      <c r="L492" s="7">
        <f t="shared" si="6"/>
        <v>-0.01225806331</v>
      </c>
    </row>
    <row r="493" ht="15.75" customHeight="1">
      <c r="A493" s="4">
        <f>IF(RETORNOS!A493="","",RETORNOS!A493)</f>
        <v>45127</v>
      </c>
      <c r="B493" s="7">
        <f>IF(RETORNOS!B493="","",OPTIMIZACION!$B$5*RETORNOS!B493+OPTIMIZACION!$B$6*RETORNOS!C493+OPTIMIZACION!$B$7*RETORNOS!D493+OPTIMIZACION!$B$8*RETORNOS!E493+OPTIMIZACION!$B$9*RETORNOS!F493+OPTIMIZACION!$B$10*RETORNOS!G493)</f>
        <v>0.009418309329</v>
      </c>
      <c r="C493" s="7">
        <f>IF(RETORNOS!H493="","",RETORNOS!H493)</f>
        <v>0.01174373107</v>
      </c>
      <c r="D493" s="7">
        <f>IF(RETORNOS!I493="","",RETORNOS!I493)</f>
        <v>0.01826914298</v>
      </c>
      <c r="E493" s="7">
        <f t="shared" si="2"/>
        <v>0.01500643703</v>
      </c>
      <c r="F493" s="7">
        <f t="shared" si="3"/>
        <v>-0.002325421738</v>
      </c>
      <c r="G493" s="7">
        <f t="shared" si="4"/>
        <v>-0.005588127696</v>
      </c>
      <c r="H493" s="5">
        <f t="shared" ref="H493:K493" si="493">IF(B493="","",H492*(1+B493))</f>
        <v>169.1196738</v>
      </c>
      <c r="I493" s="5">
        <f t="shared" si="493"/>
        <v>186.560962</v>
      </c>
      <c r="J493" s="5">
        <f t="shared" si="493"/>
        <v>106.2495322</v>
      </c>
      <c r="K493" s="5">
        <f t="shared" si="493"/>
        <v>144.3037327</v>
      </c>
      <c r="L493" s="7">
        <f t="shared" si="6"/>
        <v>-0.002955204214</v>
      </c>
    </row>
    <row r="494" ht="15.75" customHeight="1">
      <c r="A494" s="4">
        <f>IF(RETORNOS!A494="","",RETORNOS!A494)</f>
        <v>45128</v>
      </c>
      <c r="B494" s="7">
        <f>IF(RETORNOS!B494="","",OPTIMIZACION!$B$5*RETORNOS!B494+OPTIMIZACION!$B$6*RETORNOS!C494+OPTIMIZACION!$B$7*RETORNOS!D494+OPTIMIZACION!$B$8*RETORNOS!E494+OPTIMIZACION!$B$9*RETORNOS!F494+OPTIMIZACION!$B$10*RETORNOS!G494)</f>
        <v>0.01311609594</v>
      </c>
      <c r="C494" s="7">
        <f>IF(RETORNOS!H494="","",RETORNOS!H494)</f>
        <v>0.008855008655</v>
      </c>
      <c r="D494" s="7">
        <f>IF(RETORNOS!I494="","",RETORNOS!I494)</f>
        <v>0.0149698202</v>
      </c>
      <c r="E494" s="7">
        <f t="shared" si="2"/>
        <v>0.01191241443</v>
      </c>
      <c r="F494" s="7">
        <f t="shared" si="3"/>
        <v>0.004261087285</v>
      </c>
      <c r="G494" s="7">
        <f t="shared" si="4"/>
        <v>0.001203681511</v>
      </c>
      <c r="H494" s="5">
        <f t="shared" ref="H494:K494" si="494">IF(B494="","",H493*(1+B494))</f>
        <v>171.3378637</v>
      </c>
      <c r="I494" s="5">
        <f t="shared" si="494"/>
        <v>188.2129609</v>
      </c>
      <c r="J494" s="5">
        <f t="shared" si="494"/>
        <v>107.8400686</v>
      </c>
      <c r="K494" s="5">
        <f t="shared" si="494"/>
        <v>146.0227385</v>
      </c>
      <c r="L494" s="7">
        <f t="shared" si="6"/>
        <v>0</v>
      </c>
    </row>
    <row r="495" ht="15.75" customHeight="1">
      <c r="A495" s="4">
        <f>IF(RETORNOS!A495="","",RETORNOS!A495)</f>
        <v>45131</v>
      </c>
      <c r="B495" s="7">
        <f>IF(RETORNOS!B495="","",OPTIMIZACION!$B$5*RETORNOS!B495+OPTIMIZACION!$B$6*RETORNOS!C495+OPTIMIZACION!$B$7*RETORNOS!D495+OPTIMIZACION!$B$8*RETORNOS!E495+OPTIMIZACION!$B$9*RETORNOS!F495+OPTIMIZACION!$B$10*RETORNOS!G495)</f>
        <v>0.004925096792</v>
      </c>
      <c r="C495" s="7">
        <f>IF(RETORNOS!H495="","",RETORNOS!H495)</f>
        <v>0.01613505736</v>
      </c>
      <c r="D495" s="7">
        <f>IF(RETORNOS!I495="","",RETORNOS!I495)</f>
        <v>-0.002631163833</v>
      </c>
      <c r="E495" s="7">
        <f t="shared" si="2"/>
        <v>0.006751946764</v>
      </c>
      <c r="F495" s="7">
        <f t="shared" si="3"/>
        <v>-0.01120996057</v>
      </c>
      <c r="G495" s="7">
        <f t="shared" si="4"/>
        <v>-0.001826849971</v>
      </c>
      <c r="H495" s="5">
        <f t="shared" ref="H495:K495" si="495">IF(B495="","",H494*(1+B495))</f>
        <v>172.1817192</v>
      </c>
      <c r="I495" s="5">
        <f t="shared" si="495"/>
        <v>191.2497879</v>
      </c>
      <c r="J495" s="5">
        <f t="shared" si="495"/>
        <v>107.5563237</v>
      </c>
      <c r="K495" s="5">
        <f t="shared" si="495"/>
        <v>147.0086763</v>
      </c>
      <c r="L495" s="7">
        <f t="shared" si="6"/>
        <v>0</v>
      </c>
    </row>
    <row r="496" ht="15.75" customHeight="1">
      <c r="A496" s="4">
        <f>IF(RETORNOS!A496="","",RETORNOS!A496)</f>
        <v>45132</v>
      </c>
      <c r="B496" s="7">
        <f>IF(RETORNOS!B496="","",OPTIMIZACION!$B$5*RETORNOS!B496+OPTIMIZACION!$B$6*RETORNOS!C496+OPTIMIZACION!$B$7*RETORNOS!D496+OPTIMIZACION!$B$8*RETORNOS!E496+OPTIMIZACION!$B$9*RETORNOS!F496+OPTIMIZACION!$B$10*RETORNOS!G496)</f>
        <v>-0.001891045528</v>
      </c>
      <c r="C496" s="7">
        <f>IF(RETORNOS!H496="","",RETORNOS!H496)</f>
        <v>0.005253230027</v>
      </c>
      <c r="D496" s="7">
        <f>IF(RETORNOS!I496="","",RETORNOS!I496)</f>
        <v>0.001761899942</v>
      </c>
      <c r="E496" s="7">
        <f t="shared" si="2"/>
        <v>0.003507564984</v>
      </c>
      <c r="F496" s="7">
        <f t="shared" si="3"/>
        <v>-0.007144275554</v>
      </c>
      <c r="G496" s="7">
        <f t="shared" si="4"/>
        <v>-0.005398610512</v>
      </c>
      <c r="H496" s="5">
        <f t="shared" ref="H496:K496" si="496">IF(B496="","",H495*(1+B496))</f>
        <v>171.8561158</v>
      </c>
      <c r="I496" s="5">
        <f t="shared" si="496"/>
        <v>192.254467</v>
      </c>
      <c r="J496" s="5">
        <f t="shared" si="496"/>
        <v>107.7458272</v>
      </c>
      <c r="K496" s="5">
        <f t="shared" si="496"/>
        <v>147.5243188</v>
      </c>
      <c r="L496" s="7">
        <f t="shared" si="6"/>
        <v>-0.001891045528</v>
      </c>
    </row>
    <row r="497" ht="15.75" customHeight="1">
      <c r="A497" s="4">
        <f>IF(RETORNOS!A497="","",RETORNOS!A497)</f>
        <v>45133</v>
      </c>
      <c r="B497" s="7">
        <f>IF(RETORNOS!B497="","",OPTIMIZACION!$B$5*RETORNOS!B497+OPTIMIZACION!$B$6*RETORNOS!C497+OPTIMIZACION!$B$7*RETORNOS!D497+OPTIMIZACION!$B$8*RETORNOS!E497+OPTIMIZACION!$B$9*RETORNOS!F497+OPTIMIZACION!$B$10*RETORNOS!G497)</f>
        <v>-0.001157112946</v>
      </c>
      <c r="C497" s="7">
        <f>IF(RETORNOS!H497="","",RETORNOS!H497)</f>
        <v>0.000350571002</v>
      </c>
      <c r="D497" s="7">
        <f>IF(RETORNOS!I497="","",RETORNOS!I497)</f>
        <v>0</v>
      </c>
      <c r="E497" s="7">
        <f t="shared" si="2"/>
        <v>0.000175285501</v>
      </c>
      <c r="F497" s="7">
        <f t="shared" si="3"/>
        <v>-0.001507683948</v>
      </c>
      <c r="G497" s="7">
        <f t="shared" si="4"/>
        <v>-0.001332398447</v>
      </c>
      <c r="H497" s="5">
        <f t="shared" ref="H497:K497" si="497">IF(B497="","",H496*(1+B497))</f>
        <v>171.6572588</v>
      </c>
      <c r="I497" s="5">
        <f t="shared" si="497"/>
        <v>192.3218658</v>
      </c>
      <c r="J497" s="5">
        <f t="shared" si="497"/>
        <v>107.7458272</v>
      </c>
      <c r="K497" s="5">
        <f t="shared" si="497"/>
        <v>147.5501776</v>
      </c>
      <c r="L497" s="7">
        <f t="shared" si="6"/>
        <v>-0.00304597032</v>
      </c>
    </row>
    <row r="498" ht="15.75" customHeight="1">
      <c r="A498" s="4">
        <f>IF(RETORNOS!A498="","",RETORNOS!A498)</f>
        <v>45134</v>
      </c>
      <c r="B498" s="7">
        <f>IF(RETORNOS!B498="","",OPTIMIZACION!$B$5*RETORNOS!B498+OPTIMIZACION!$B$6*RETORNOS!C498+OPTIMIZACION!$B$7*RETORNOS!D498+OPTIMIZACION!$B$8*RETORNOS!E498+OPTIMIZACION!$B$9*RETORNOS!F498+OPTIMIZACION!$B$10*RETORNOS!G498)</f>
        <v>-0.00849137514</v>
      </c>
      <c r="C498" s="7">
        <f>IF(RETORNOS!H498="","",RETORNOS!H498)</f>
        <v>-0.00639126653</v>
      </c>
      <c r="D498" s="7">
        <f>IF(RETORNOS!I498="","",RETORNOS!I498)</f>
        <v>-0.01769221296</v>
      </c>
      <c r="E498" s="7">
        <f t="shared" si="2"/>
        <v>-0.01204173975</v>
      </c>
      <c r="F498" s="7">
        <f t="shared" si="3"/>
        <v>-0.00210010861</v>
      </c>
      <c r="G498" s="7">
        <f t="shared" si="4"/>
        <v>0.003550364607</v>
      </c>
      <c r="H498" s="5">
        <f t="shared" ref="H498:K498" si="498">IF(B498="","",H497*(1+B498))</f>
        <v>170.1996526</v>
      </c>
      <c r="I498" s="5">
        <f t="shared" si="498"/>
        <v>191.0926855</v>
      </c>
      <c r="J498" s="5">
        <f t="shared" si="498"/>
        <v>105.8395651</v>
      </c>
      <c r="K498" s="5">
        <f t="shared" si="498"/>
        <v>145.7734168</v>
      </c>
      <c r="L498" s="7">
        <f t="shared" si="6"/>
        <v>-0.01151148098</v>
      </c>
    </row>
    <row r="499" ht="15.75" customHeight="1">
      <c r="A499" s="4">
        <f>IF(RETORNOS!A499="","",RETORNOS!A499)</f>
        <v>45135</v>
      </c>
      <c r="B499" s="7">
        <f>IF(RETORNOS!B499="","",OPTIMIZACION!$B$5*RETORNOS!B499+OPTIMIZACION!$B$6*RETORNOS!C499+OPTIMIZACION!$B$7*RETORNOS!D499+OPTIMIZACION!$B$8*RETORNOS!E499+OPTIMIZACION!$B$9*RETORNOS!F499+OPTIMIZACION!$B$10*RETORNOS!G499)</f>
        <v>-0.00376531587</v>
      </c>
      <c r="C499" s="7">
        <f>IF(RETORNOS!H499="","",RETORNOS!H499)</f>
        <v>0.003039837605</v>
      </c>
      <c r="D499" s="7">
        <f>IF(RETORNOS!I499="","",RETORNOS!I499)</f>
        <v>-0.00223408017</v>
      </c>
      <c r="E499" s="7">
        <f t="shared" si="2"/>
        <v>0.0004028787175</v>
      </c>
      <c r="F499" s="7">
        <f t="shared" si="3"/>
        <v>-0.006805153474</v>
      </c>
      <c r="G499" s="7">
        <f t="shared" si="4"/>
        <v>-0.004168194587</v>
      </c>
      <c r="H499" s="5">
        <f t="shared" ref="H499:K499" si="499">IF(B499="","",H498*(1+B499))</f>
        <v>169.5587972</v>
      </c>
      <c r="I499" s="5">
        <f t="shared" si="499"/>
        <v>191.6735763</v>
      </c>
      <c r="J499" s="5">
        <f t="shared" si="499"/>
        <v>105.603111</v>
      </c>
      <c r="K499" s="5">
        <f t="shared" si="499"/>
        <v>145.8321458</v>
      </c>
      <c r="L499" s="7">
        <f t="shared" si="6"/>
        <v>-0.01523345249</v>
      </c>
    </row>
    <row r="500" ht="15.75" customHeight="1">
      <c r="A500" s="4">
        <f>IF(RETORNOS!A500="","",RETORNOS!A500)</f>
        <v>45138</v>
      </c>
      <c r="B500" s="7">
        <f>IF(RETORNOS!B500="","",OPTIMIZACION!$B$5*RETORNOS!B500+OPTIMIZACION!$B$6*RETORNOS!C500+OPTIMIZACION!$B$7*RETORNOS!D500+OPTIMIZACION!$B$8*RETORNOS!E500+OPTIMIZACION!$B$9*RETORNOS!F500+OPTIMIZACION!$B$10*RETORNOS!G500)</f>
        <v>0.01392435482</v>
      </c>
      <c r="C500" s="7">
        <f>IF(RETORNOS!H500="","",RETORNOS!H500)</f>
        <v>0.01898820637</v>
      </c>
      <c r="D500" s="7">
        <f>IF(RETORNOS!I500="","",RETORNOS!I500)</f>
        <v>0.0004510381933</v>
      </c>
      <c r="E500" s="7">
        <f t="shared" si="2"/>
        <v>0.00971962228</v>
      </c>
      <c r="F500" s="7">
        <f t="shared" si="3"/>
        <v>-0.005063851548</v>
      </c>
      <c r="G500" s="7">
        <f t="shared" si="4"/>
        <v>0.004204732539</v>
      </c>
      <c r="H500" s="5">
        <f t="shared" ref="H500:K500" si="500">IF(B500="","",H499*(1+B500))</f>
        <v>171.919794</v>
      </c>
      <c r="I500" s="5">
        <f t="shared" si="500"/>
        <v>195.3131137</v>
      </c>
      <c r="J500" s="5">
        <f t="shared" si="500"/>
        <v>105.650742</v>
      </c>
      <c r="K500" s="5">
        <f t="shared" si="500"/>
        <v>147.2495792</v>
      </c>
      <c r="L500" s="7">
        <f t="shared" si="6"/>
        <v>-0.00152121367</v>
      </c>
    </row>
    <row r="501" ht="15.75" customHeight="1">
      <c r="A501" s="4">
        <f>IF(RETORNOS!A501="","",RETORNOS!A501)</f>
        <v>45139</v>
      </c>
      <c r="B501" s="7">
        <f>IF(RETORNOS!B501="","",OPTIMIZACION!$B$5*RETORNOS!B501+OPTIMIZACION!$B$6*RETORNOS!C501+OPTIMIZACION!$B$7*RETORNOS!D501+OPTIMIZACION!$B$8*RETORNOS!E501+OPTIMIZACION!$B$9*RETORNOS!F501+OPTIMIZACION!$B$10*RETORNOS!G501)</f>
        <v>-0.002493960208</v>
      </c>
      <c r="C501" s="7">
        <f>IF(RETORNOS!H501="","",RETORNOS!H501)</f>
        <v>-0.004687143127</v>
      </c>
      <c r="D501" s="7">
        <f>IF(RETORNOS!I501="","",RETORNOS!I501)</f>
        <v>-0.01222728517</v>
      </c>
      <c r="E501" s="7">
        <f t="shared" si="2"/>
        <v>-0.008457214148</v>
      </c>
      <c r="F501" s="7">
        <f t="shared" si="3"/>
        <v>0.002193182919</v>
      </c>
      <c r="G501" s="7">
        <f t="shared" si="4"/>
        <v>0.00596325394</v>
      </c>
      <c r="H501" s="5">
        <f t="shared" ref="H501:K501" si="501">IF(B501="","",H500*(1+B501))</f>
        <v>171.4910329</v>
      </c>
      <c r="I501" s="5">
        <f t="shared" si="501"/>
        <v>194.3976532</v>
      </c>
      <c r="J501" s="5">
        <f t="shared" si="501"/>
        <v>104.3589203</v>
      </c>
      <c r="K501" s="5">
        <f t="shared" si="501"/>
        <v>146.004258</v>
      </c>
      <c r="L501" s="7">
        <f t="shared" si="6"/>
        <v>-0.004011380031</v>
      </c>
    </row>
    <row r="502" ht="15.75" customHeight="1">
      <c r="A502" s="4">
        <f>IF(RETORNOS!A502="","",RETORNOS!A502)</f>
        <v>45140</v>
      </c>
      <c r="B502" s="7">
        <f>IF(RETORNOS!B502="","",OPTIMIZACION!$B$5*RETORNOS!B502+OPTIMIZACION!$B$6*RETORNOS!C502+OPTIMIZACION!$B$7*RETORNOS!D502+OPTIMIZACION!$B$8*RETORNOS!E502+OPTIMIZACION!$B$9*RETORNOS!F502+OPTIMIZACION!$B$10*RETORNOS!G502)</f>
        <v>-0.00923100118</v>
      </c>
      <c r="C502" s="7">
        <f>IF(RETORNOS!H502="","",RETORNOS!H502)</f>
        <v>-0.01309251813</v>
      </c>
      <c r="D502" s="7">
        <f>IF(RETORNOS!I502="","",RETORNOS!I502)</f>
        <v>0</v>
      </c>
      <c r="E502" s="7">
        <f t="shared" si="2"/>
        <v>-0.006546259067</v>
      </c>
      <c r="F502" s="7">
        <f t="shared" si="3"/>
        <v>0.003861516954</v>
      </c>
      <c r="G502" s="7">
        <f t="shared" si="4"/>
        <v>-0.002684742113</v>
      </c>
      <c r="H502" s="5">
        <f t="shared" ref="H502:K502" si="502">IF(B502="","",H501*(1+B502))</f>
        <v>169.907999</v>
      </c>
      <c r="I502" s="5">
        <f t="shared" si="502"/>
        <v>191.8524984</v>
      </c>
      <c r="J502" s="5">
        <f t="shared" si="502"/>
        <v>104.3589203</v>
      </c>
      <c r="K502" s="5">
        <f t="shared" si="502"/>
        <v>145.0484763</v>
      </c>
      <c r="L502" s="7">
        <f t="shared" si="6"/>
        <v>-0.01320535216</v>
      </c>
    </row>
    <row r="503" ht="15.75" customHeight="1">
      <c r="A503" s="4">
        <f>IF(RETORNOS!A503="","",RETORNOS!A503)</f>
        <v>45141</v>
      </c>
      <c r="B503" s="7">
        <f>IF(RETORNOS!B503="","",OPTIMIZACION!$B$5*RETORNOS!B503+OPTIMIZACION!$B$6*RETORNOS!C503+OPTIMIZACION!$B$7*RETORNOS!D503+OPTIMIZACION!$B$8*RETORNOS!E503+OPTIMIZACION!$B$9*RETORNOS!F503+OPTIMIZACION!$B$10*RETORNOS!G503)</f>
        <v>-0.002230555936</v>
      </c>
      <c r="C503" s="7">
        <f>IF(RETORNOS!H503="","",RETORNOS!H503)</f>
        <v>0.01012467555</v>
      </c>
      <c r="D503" s="7">
        <f>IF(RETORNOS!I503="","",RETORNOS!I503)</f>
        <v>-0.02279143764</v>
      </c>
      <c r="E503" s="7">
        <f t="shared" si="2"/>
        <v>-0.006333381048</v>
      </c>
      <c r="F503" s="7">
        <f t="shared" si="3"/>
        <v>-0.01235523148</v>
      </c>
      <c r="G503" s="7">
        <f t="shared" si="4"/>
        <v>0.004102825112</v>
      </c>
      <c r="H503" s="5">
        <f t="shared" ref="H503:K503" si="503">IF(B503="","",H502*(1+B503))</f>
        <v>169.5290097</v>
      </c>
      <c r="I503" s="5">
        <f t="shared" si="503"/>
        <v>193.7949427</v>
      </c>
      <c r="J503" s="5">
        <f t="shared" si="503"/>
        <v>101.9804304</v>
      </c>
      <c r="K503" s="5">
        <f t="shared" si="503"/>
        <v>144.129829</v>
      </c>
      <c r="L503" s="7">
        <f t="shared" si="6"/>
        <v>-0.01540645282</v>
      </c>
    </row>
    <row r="504" ht="15.75" customHeight="1">
      <c r="A504" s="4">
        <f>IF(RETORNOS!A504="","",RETORNOS!A504)</f>
        <v>45142</v>
      </c>
      <c r="B504" s="7">
        <f>IF(RETORNOS!B504="","",OPTIMIZACION!$B$5*RETORNOS!B504+OPTIMIZACION!$B$6*RETORNOS!C504+OPTIMIZACION!$B$7*RETORNOS!D504+OPTIMIZACION!$B$8*RETORNOS!E504+OPTIMIZACION!$B$9*RETORNOS!F504+OPTIMIZACION!$B$10*RETORNOS!G504)</f>
        <v>-0.0005114456441</v>
      </c>
      <c r="C504" s="7">
        <f>IF(RETORNOS!H504="","",RETORNOS!H504)</f>
        <v>0.001381129073</v>
      </c>
      <c r="D504" s="7">
        <f>IF(RETORNOS!I504="","",RETORNOS!I504)</f>
        <v>-0.01158310175</v>
      </c>
      <c r="E504" s="7">
        <f t="shared" si="2"/>
        <v>-0.005100986338</v>
      </c>
      <c r="F504" s="7">
        <f t="shared" si="3"/>
        <v>-0.001892574717</v>
      </c>
      <c r="G504" s="7">
        <f t="shared" si="4"/>
        <v>0.004589540694</v>
      </c>
      <c r="H504" s="5">
        <f t="shared" ref="H504:K504" si="504">IF(B504="","",H503*(1+B504))</f>
        <v>169.4423048</v>
      </c>
      <c r="I504" s="5">
        <f t="shared" si="504"/>
        <v>194.0625985</v>
      </c>
      <c r="J504" s="5">
        <f t="shared" si="504"/>
        <v>100.7991807</v>
      </c>
      <c r="K504" s="5">
        <f t="shared" si="504"/>
        <v>143.3946247</v>
      </c>
      <c r="L504" s="7">
        <f t="shared" si="6"/>
        <v>-0.0159100189</v>
      </c>
    </row>
    <row r="505" ht="15.75" customHeight="1">
      <c r="A505" s="4">
        <f>IF(RETORNOS!A505="","",RETORNOS!A505)</f>
        <v>45145</v>
      </c>
      <c r="B505" s="7">
        <f>IF(RETORNOS!B505="","",OPTIMIZACION!$B$5*RETORNOS!B505+OPTIMIZACION!$B$6*RETORNOS!C505+OPTIMIZACION!$B$7*RETORNOS!D505+OPTIMIZACION!$B$8*RETORNOS!E505+OPTIMIZACION!$B$9*RETORNOS!F505+OPTIMIZACION!$B$10*RETORNOS!G505)</f>
        <v>0.002903224833</v>
      </c>
      <c r="C505" s="7">
        <f>IF(RETORNOS!H505="","",RETORNOS!H505)</f>
        <v>0.001151852083</v>
      </c>
      <c r="D505" s="7">
        <f>IF(RETORNOS!I505="","",RETORNOS!I505)</f>
        <v>-0.0001620116446</v>
      </c>
      <c r="E505" s="7">
        <f t="shared" si="2"/>
        <v>0.0004949202193</v>
      </c>
      <c r="F505" s="7">
        <f t="shared" si="3"/>
        <v>0.00175137275</v>
      </c>
      <c r="G505" s="7">
        <f t="shared" si="4"/>
        <v>0.002408304614</v>
      </c>
      <c r="H505" s="5">
        <f t="shared" ref="H505:K505" si="505">IF(B505="","",H504*(1+B505))</f>
        <v>169.9342339</v>
      </c>
      <c r="I505" s="5">
        <f t="shared" si="505"/>
        <v>194.2861299</v>
      </c>
      <c r="J505" s="5">
        <f t="shared" si="505"/>
        <v>100.7828501</v>
      </c>
      <c r="K505" s="5">
        <f t="shared" si="505"/>
        <v>143.4655936</v>
      </c>
      <c r="L505" s="7">
        <f t="shared" si="6"/>
        <v>-0.01305298443</v>
      </c>
    </row>
    <row r="506" ht="15.75" customHeight="1">
      <c r="A506" s="4">
        <f>IF(RETORNOS!A506="","",RETORNOS!A506)</f>
        <v>45146</v>
      </c>
      <c r="B506" s="7">
        <f>IF(RETORNOS!B506="","",OPTIMIZACION!$B$5*RETORNOS!B506+OPTIMIZACION!$B$6*RETORNOS!C506+OPTIMIZACION!$B$7*RETORNOS!D506+OPTIMIZACION!$B$8*RETORNOS!E506+OPTIMIZACION!$B$9*RETORNOS!F506+OPTIMIZACION!$B$10*RETORNOS!G506)</f>
        <v>0.008967919892</v>
      </c>
      <c r="C506" s="7">
        <f>IF(RETORNOS!H506="","",RETORNOS!H506)</f>
        <v>0.004939029564</v>
      </c>
      <c r="D506" s="7">
        <f>IF(RETORNOS!I506="","",RETORNOS!I506)</f>
        <v>0.004692347423</v>
      </c>
      <c r="E506" s="7">
        <f t="shared" si="2"/>
        <v>0.004815688494</v>
      </c>
      <c r="F506" s="7">
        <f t="shared" si="3"/>
        <v>0.004028890328</v>
      </c>
      <c r="G506" s="7">
        <f t="shared" si="4"/>
        <v>0.004152231399</v>
      </c>
      <c r="H506" s="5">
        <f t="shared" ref="H506:K506" si="506">IF(B506="","",H505*(1+B506))</f>
        <v>171.4581905</v>
      </c>
      <c r="I506" s="5">
        <f t="shared" si="506"/>
        <v>195.2457148</v>
      </c>
      <c r="J506" s="5">
        <f t="shared" si="506"/>
        <v>101.2557583</v>
      </c>
      <c r="K506" s="5">
        <f t="shared" si="506"/>
        <v>144.1564792</v>
      </c>
      <c r="L506" s="7">
        <f t="shared" si="6"/>
        <v>-0.004202122652</v>
      </c>
    </row>
    <row r="507" ht="15.75" customHeight="1">
      <c r="A507" s="4">
        <f>IF(RETORNOS!A507="","",RETORNOS!A507)</f>
        <v>45147</v>
      </c>
      <c r="B507" s="7">
        <f>IF(RETORNOS!B507="","",OPTIMIZACION!$B$5*RETORNOS!B507+OPTIMIZACION!$B$6*RETORNOS!C507+OPTIMIZACION!$B$7*RETORNOS!D507+OPTIMIZACION!$B$8*RETORNOS!E507+OPTIMIZACION!$B$9*RETORNOS!F507+OPTIMIZACION!$B$10*RETORNOS!G507)</f>
        <v>0.01219020356</v>
      </c>
      <c r="C507" s="7">
        <f>IF(RETORNOS!H507="","",RETORNOS!H507)</f>
        <v>0.01257869445</v>
      </c>
      <c r="D507" s="7">
        <f>IF(RETORNOS!I507="","",RETORNOS!I507)</f>
        <v>0.002180655003</v>
      </c>
      <c r="E507" s="7">
        <f t="shared" si="2"/>
        <v>0.007379674726</v>
      </c>
      <c r="F507" s="7">
        <f t="shared" si="3"/>
        <v>-0.0003884908909</v>
      </c>
      <c r="G507" s="7">
        <f t="shared" si="4"/>
        <v>0.004810528832</v>
      </c>
      <c r="H507" s="5">
        <f t="shared" ref="H507:K507" si="507">IF(B507="","",H506*(1+B507))</f>
        <v>173.5483008</v>
      </c>
      <c r="I507" s="5">
        <f t="shared" si="507"/>
        <v>197.701651</v>
      </c>
      <c r="J507" s="5">
        <f t="shared" si="507"/>
        <v>101.4765621</v>
      </c>
      <c r="K507" s="5">
        <f t="shared" si="507"/>
        <v>145.2203071</v>
      </c>
      <c r="L507" s="7">
        <f t="shared" si="6"/>
        <v>0</v>
      </c>
    </row>
    <row r="508" ht="15.75" customHeight="1">
      <c r="A508" s="4">
        <f>IF(RETORNOS!A508="","",RETORNOS!A508)</f>
        <v>45148</v>
      </c>
      <c r="B508" s="7">
        <f>IF(RETORNOS!B508="","",OPTIMIZACION!$B$5*RETORNOS!B508+OPTIMIZACION!$B$6*RETORNOS!C508+OPTIMIZACION!$B$7*RETORNOS!D508+OPTIMIZACION!$B$8*RETORNOS!E508+OPTIMIZACION!$B$9*RETORNOS!F508+OPTIMIZACION!$B$10*RETORNOS!G508)</f>
        <v>0.002197568677</v>
      </c>
      <c r="C508" s="7">
        <f>IF(RETORNOS!H508="","",RETORNOS!H508)</f>
        <v>-0.0001103671547</v>
      </c>
      <c r="D508" s="7">
        <f>IF(RETORNOS!I508="","",RETORNOS!I508)</f>
        <v>-0.003107964032</v>
      </c>
      <c r="E508" s="7">
        <f t="shared" si="2"/>
        <v>-0.001609165593</v>
      </c>
      <c r="F508" s="7">
        <f t="shared" si="3"/>
        <v>0.002307935832</v>
      </c>
      <c r="G508" s="7">
        <f t="shared" si="4"/>
        <v>0.003806734271</v>
      </c>
      <c r="H508" s="5">
        <f t="shared" ref="H508:K508" si="508">IF(B508="","",H507*(1+B508))</f>
        <v>173.9296851</v>
      </c>
      <c r="I508" s="5">
        <f t="shared" si="508"/>
        <v>197.6798313</v>
      </c>
      <c r="J508" s="5">
        <f t="shared" si="508"/>
        <v>101.1611766</v>
      </c>
      <c r="K508" s="5">
        <f t="shared" si="508"/>
        <v>144.9866236</v>
      </c>
      <c r="L508" s="7">
        <f t="shared" si="6"/>
        <v>0</v>
      </c>
    </row>
    <row r="509" ht="15.75" customHeight="1">
      <c r="A509" s="4">
        <f>IF(RETORNOS!A509="","",RETORNOS!A509)</f>
        <v>45149</v>
      </c>
      <c r="B509" s="7">
        <f>IF(RETORNOS!B509="","",OPTIMIZACION!$B$5*RETORNOS!B509+OPTIMIZACION!$B$6*RETORNOS!C509+OPTIMIZACION!$B$7*RETORNOS!D509+OPTIMIZACION!$B$8*RETORNOS!E509+OPTIMIZACION!$B$9*RETORNOS!F509+OPTIMIZACION!$B$10*RETORNOS!G509)</f>
        <v>0.005732728034</v>
      </c>
      <c r="C509" s="7">
        <f>IF(RETORNOS!H509="","",RETORNOS!H509)</f>
        <v>0.01535499221</v>
      </c>
      <c r="D509" s="7">
        <f>IF(RETORNOS!I509="","",RETORNOS!I509)</f>
        <v>0.005451689822</v>
      </c>
      <c r="E509" s="7">
        <f t="shared" si="2"/>
        <v>0.01040334102</v>
      </c>
      <c r="F509" s="7">
        <f t="shared" si="3"/>
        <v>-0.009622264178</v>
      </c>
      <c r="G509" s="7">
        <f t="shared" si="4"/>
        <v>-0.004670612983</v>
      </c>
      <c r="H509" s="5">
        <f t="shared" ref="H509:K509" si="509">IF(B509="","",H508*(1+B509))</f>
        <v>174.9267767</v>
      </c>
      <c r="I509" s="5">
        <f t="shared" si="509"/>
        <v>200.7152035</v>
      </c>
      <c r="J509" s="5">
        <f t="shared" si="509"/>
        <v>101.712676</v>
      </c>
      <c r="K509" s="5">
        <f t="shared" si="509"/>
        <v>146.4949689</v>
      </c>
      <c r="L509" s="7">
        <f t="shared" si="6"/>
        <v>0</v>
      </c>
    </row>
    <row r="510" ht="15.75" customHeight="1">
      <c r="A510" s="4">
        <f>IF(RETORNOS!A510="","",RETORNOS!A510)</f>
        <v>45152</v>
      </c>
      <c r="B510" s="7">
        <f>IF(RETORNOS!B510="","",OPTIMIZACION!$B$5*RETORNOS!B510+OPTIMIZACION!$B$6*RETORNOS!C510+OPTIMIZACION!$B$7*RETORNOS!D510+OPTIMIZACION!$B$8*RETORNOS!E510+OPTIMIZACION!$B$9*RETORNOS!F510+OPTIMIZACION!$B$10*RETORNOS!G510)</f>
        <v>-0.005208470932</v>
      </c>
      <c r="C510" s="7">
        <f>IF(RETORNOS!H510="","",RETORNOS!H510)</f>
        <v>-0.004225199</v>
      </c>
      <c r="D510" s="7">
        <f>IF(RETORNOS!I510="","",RETORNOS!I510)</f>
        <v>-0.007900722505</v>
      </c>
      <c r="E510" s="7">
        <f t="shared" si="2"/>
        <v>-0.006062960752</v>
      </c>
      <c r="F510" s="7">
        <f t="shared" si="3"/>
        <v>-0.0009832719326</v>
      </c>
      <c r="G510" s="7">
        <f t="shared" si="4"/>
        <v>0.0008544898198</v>
      </c>
      <c r="H510" s="5">
        <f t="shared" ref="H510:K510" si="510">IF(B510="","",H509*(1+B510))</f>
        <v>174.0156756</v>
      </c>
      <c r="I510" s="5">
        <f t="shared" si="510"/>
        <v>199.8671419</v>
      </c>
      <c r="J510" s="5">
        <f t="shared" si="510"/>
        <v>100.9090724</v>
      </c>
      <c r="K510" s="5">
        <f t="shared" si="510"/>
        <v>145.6067757</v>
      </c>
      <c r="L510" s="7">
        <f t="shared" si="6"/>
        <v>-0.005208470932</v>
      </c>
    </row>
    <row r="511" ht="15.75" customHeight="1">
      <c r="A511" s="4">
        <f>IF(RETORNOS!A511="","",RETORNOS!A511)</f>
        <v>45153</v>
      </c>
      <c r="B511" s="7">
        <f>IF(RETORNOS!B511="","",OPTIMIZACION!$B$5*RETORNOS!B511+OPTIMIZACION!$B$6*RETORNOS!C511+OPTIMIZACION!$B$7*RETORNOS!D511+OPTIMIZACION!$B$8*RETORNOS!E511+OPTIMIZACION!$B$9*RETORNOS!F511+OPTIMIZACION!$B$10*RETORNOS!G511)</f>
        <v>-0.01564456488</v>
      </c>
      <c r="C511" s="7">
        <f>IF(RETORNOS!H511="","",RETORNOS!H511)</f>
        <v>-0.02077409776</v>
      </c>
      <c r="D511" s="7">
        <f>IF(RETORNOS!I511="","",RETORNOS!I511)</f>
        <v>-0.01623409463</v>
      </c>
      <c r="E511" s="7">
        <f t="shared" si="2"/>
        <v>-0.0185040962</v>
      </c>
      <c r="F511" s="7">
        <f t="shared" si="3"/>
        <v>0.005129532875</v>
      </c>
      <c r="G511" s="7">
        <f t="shared" si="4"/>
        <v>0.002859531312</v>
      </c>
      <c r="H511" s="5">
        <f t="shared" ref="H511:K511" si="511">IF(B511="","",H510*(1+B511))</f>
        <v>171.2932761</v>
      </c>
      <c r="I511" s="5">
        <f t="shared" si="511"/>
        <v>195.7150823</v>
      </c>
      <c r="J511" s="5">
        <f t="shared" si="511"/>
        <v>99.27090492</v>
      </c>
      <c r="K511" s="5">
        <f t="shared" si="511"/>
        <v>142.9124539</v>
      </c>
      <c r="L511" s="7">
        <f t="shared" si="6"/>
        <v>-0.02077155156</v>
      </c>
    </row>
    <row r="512" ht="15.75" customHeight="1">
      <c r="A512" s="4">
        <f>IF(RETORNOS!A512="","",RETORNOS!A512)</f>
        <v>45154</v>
      </c>
      <c r="B512" s="7">
        <f>IF(RETORNOS!B512="","",OPTIMIZACION!$B$5*RETORNOS!B512+OPTIMIZACION!$B$6*RETORNOS!C512+OPTIMIZACION!$B$7*RETORNOS!D512+OPTIMIZACION!$B$8*RETORNOS!E512+OPTIMIZACION!$B$9*RETORNOS!F512+OPTIMIZACION!$B$10*RETORNOS!G512)</f>
        <v>-0.002089069435</v>
      </c>
      <c r="C512" s="7">
        <f>IF(RETORNOS!H512="","",RETORNOS!H512)</f>
        <v>-0.008671243432</v>
      </c>
      <c r="D512" s="7">
        <f>IF(RETORNOS!I512="","",RETORNOS!I512)</f>
        <v>0.004445084189</v>
      </c>
      <c r="E512" s="7">
        <f t="shared" si="2"/>
        <v>-0.002113079621</v>
      </c>
      <c r="F512" s="7">
        <f t="shared" si="3"/>
        <v>0.006582173996</v>
      </c>
      <c r="G512" s="7">
        <f t="shared" si="4"/>
        <v>0.00002401018596</v>
      </c>
      <c r="H512" s="5">
        <f t="shared" ref="H512:K512" si="512">IF(B512="","",H511*(1+B512))</f>
        <v>170.9354326</v>
      </c>
      <c r="I512" s="5">
        <f t="shared" si="512"/>
        <v>194.0179892</v>
      </c>
      <c r="J512" s="5">
        <f t="shared" si="512"/>
        <v>99.71217245</v>
      </c>
      <c r="K512" s="5">
        <f t="shared" si="512"/>
        <v>142.6104685</v>
      </c>
      <c r="L512" s="7">
        <f t="shared" si="6"/>
        <v>-0.02281722778</v>
      </c>
    </row>
    <row r="513" ht="15.75" customHeight="1">
      <c r="A513" s="4">
        <f>IF(RETORNOS!A513="","",RETORNOS!A513)</f>
        <v>45155</v>
      </c>
      <c r="B513" s="7">
        <f>IF(RETORNOS!B513="","",OPTIMIZACION!$B$5*RETORNOS!B513+OPTIMIZACION!$B$6*RETORNOS!C513+OPTIMIZACION!$B$7*RETORNOS!D513+OPTIMIZACION!$B$8*RETORNOS!E513+OPTIMIZACION!$B$9*RETORNOS!F513+OPTIMIZACION!$B$10*RETORNOS!G513)</f>
        <v>0.004932467958</v>
      </c>
      <c r="C513" s="7">
        <f>IF(RETORNOS!H513="","",RETORNOS!H513)</f>
        <v>0.01196852047</v>
      </c>
      <c r="D513" s="7">
        <f>IF(RETORNOS!I513="","",RETORNOS!I513)</f>
        <v>-0.002211000409</v>
      </c>
      <c r="E513" s="7">
        <f t="shared" si="2"/>
        <v>0.004878760029</v>
      </c>
      <c r="F513" s="7">
        <f t="shared" si="3"/>
        <v>-0.007036052509</v>
      </c>
      <c r="G513" s="7">
        <f t="shared" si="4"/>
        <v>0.00005370792968</v>
      </c>
      <c r="H513" s="5">
        <f t="shared" ref="H513:K513" si="513">IF(B513="","",H512*(1+B513))</f>
        <v>171.7785661</v>
      </c>
      <c r="I513" s="5">
        <f t="shared" si="513"/>
        <v>196.3400975</v>
      </c>
      <c r="J513" s="5">
        <f t="shared" si="513"/>
        <v>99.4917088</v>
      </c>
      <c r="K513" s="5">
        <f t="shared" si="513"/>
        <v>143.3062307</v>
      </c>
      <c r="L513" s="7">
        <f t="shared" si="6"/>
        <v>-0.01799730506</v>
      </c>
    </row>
    <row r="514" ht="15.75" customHeight="1">
      <c r="A514" s="4">
        <f>IF(RETORNOS!A514="","",RETORNOS!A514)</f>
        <v>45156</v>
      </c>
      <c r="B514" s="7">
        <f>IF(RETORNOS!B514="","",OPTIMIZACION!$B$5*RETORNOS!B514+OPTIMIZACION!$B$6*RETORNOS!C514+OPTIMIZACION!$B$7*RETORNOS!D514+OPTIMIZACION!$B$8*RETORNOS!E514+OPTIMIZACION!$B$9*RETORNOS!F514+OPTIMIZACION!$B$10*RETORNOS!G514)</f>
        <v>0.002708340499</v>
      </c>
      <c r="C514" s="7">
        <f>IF(RETORNOS!H514="","",RETORNOS!H514)</f>
        <v>0.009890793783</v>
      </c>
      <c r="D514" s="7">
        <f>IF(RETORNOS!I514="","",RETORNOS!I514)</f>
        <v>0.00522172676</v>
      </c>
      <c r="E514" s="7">
        <f t="shared" si="2"/>
        <v>0.007556260271</v>
      </c>
      <c r="F514" s="7">
        <f t="shared" si="3"/>
        <v>-0.007182453283</v>
      </c>
      <c r="G514" s="7">
        <f t="shared" si="4"/>
        <v>-0.004847919772</v>
      </c>
      <c r="H514" s="5">
        <f t="shared" ref="H514:K514" si="514">IF(B514="","",H513*(1+B514))</f>
        <v>172.2438009</v>
      </c>
      <c r="I514" s="5">
        <f t="shared" si="514"/>
        <v>198.2820569</v>
      </c>
      <c r="J514" s="5">
        <f t="shared" si="514"/>
        <v>100.0112273</v>
      </c>
      <c r="K514" s="5">
        <f t="shared" si="514"/>
        <v>144.3890899</v>
      </c>
      <c r="L514" s="7">
        <f t="shared" si="6"/>
        <v>-0.01533770739</v>
      </c>
    </row>
    <row r="515" ht="15.75" customHeight="1">
      <c r="A515" s="4">
        <f>IF(RETORNOS!A515="","",RETORNOS!A515)</f>
        <v>45159</v>
      </c>
      <c r="B515" s="7">
        <f>IF(RETORNOS!B515="","",OPTIMIZACION!$B$5*RETORNOS!B515+OPTIMIZACION!$B$6*RETORNOS!C515+OPTIMIZACION!$B$7*RETORNOS!D515+OPTIMIZACION!$B$8*RETORNOS!E515+OPTIMIZACION!$B$9*RETORNOS!F515+OPTIMIZACION!$B$10*RETORNOS!G515)</f>
        <v>-0.003739461531</v>
      </c>
      <c r="C515" s="7">
        <f>IF(RETORNOS!H515="","",RETORNOS!H515)</f>
        <v>-0.006304303702</v>
      </c>
      <c r="D515" s="7">
        <f>IF(RETORNOS!I515="","",RETORNOS!I515)</f>
        <v>-0.006296796492</v>
      </c>
      <c r="E515" s="7">
        <f t="shared" si="2"/>
        <v>-0.006300550097</v>
      </c>
      <c r="F515" s="7">
        <f t="shared" si="3"/>
        <v>0.002564842172</v>
      </c>
      <c r="G515" s="7">
        <f t="shared" si="4"/>
        <v>0.002561088566</v>
      </c>
      <c r="H515" s="5">
        <f t="shared" ref="H515:K515" si="515">IF(B515="","",H514*(1+B515))</f>
        <v>171.5997019</v>
      </c>
      <c r="I515" s="5">
        <f t="shared" si="515"/>
        <v>197.0320266</v>
      </c>
      <c r="J515" s="5">
        <f t="shared" si="515"/>
        <v>99.38147697</v>
      </c>
      <c r="K515" s="5">
        <f t="shared" si="515"/>
        <v>143.4793592</v>
      </c>
      <c r="L515" s="7">
        <f t="shared" si="6"/>
        <v>-0.01901981416</v>
      </c>
    </row>
    <row r="516" ht="15.75" customHeight="1">
      <c r="A516" s="4">
        <f>IF(RETORNOS!A516="","",RETORNOS!A516)</f>
        <v>45160</v>
      </c>
      <c r="B516" s="7">
        <f>IF(RETORNOS!B516="","",OPTIMIZACION!$B$5*RETORNOS!B516+OPTIMIZACION!$B$6*RETORNOS!C516+OPTIMIZACION!$B$7*RETORNOS!D516+OPTIMIZACION!$B$8*RETORNOS!E516+OPTIMIZACION!$B$9*RETORNOS!F516+OPTIMIZACION!$B$10*RETORNOS!G516)</f>
        <v>-0.0009946268955</v>
      </c>
      <c r="C516" s="7">
        <f>IF(RETORNOS!H516="","",RETORNOS!H516)</f>
        <v>-0.007702738287</v>
      </c>
      <c r="D516" s="7">
        <f>IF(RETORNOS!I516="","",RETORNOS!I516)</f>
        <v>0.002855108385</v>
      </c>
      <c r="E516" s="7">
        <f t="shared" si="2"/>
        <v>-0.002423814951</v>
      </c>
      <c r="F516" s="7">
        <f t="shared" si="3"/>
        <v>0.006708111391</v>
      </c>
      <c r="G516" s="7">
        <f t="shared" si="4"/>
        <v>0.001429188055</v>
      </c>
      <c r="H516" s="5">
        <f t="shared" ref="H516:K516" si="516">IF(B516="","",H515*(1+B516))</f>
        <v>171.4290242</v>
      </c>
      <c r="I516" s="5">
        <f t="shared" si="516"/>
        <v>195.5143404</v>
      </c>
      <c r="J516" s="5">
        <f t="shared" si="516"/>
        <v>99.66522186</v>
      </c>
      <c r="K516" s="5">
        <f t="shared" si="516"/>
        <v>143.1315918</v>
      </c>
      <c r="L516" s="7">
        <f t="shared" si="6"/>
        <v>-0.01999552344</v>
      </c>
    </row>
    <row r="517" ht="15.75" customHeight="1">
      <c r="A517" s="4">
        <f>IF(RETORNOS!A517="","",RETORNOS!A517)</f>
        <v>45161</v>
      </c>
      <c r="B517" s="7">
        <f>IF(RETORNOS!B517="","",OPTIMIZACION!$B$5*RETORNOS!B517+OPTIMIZACION!$B$6*RETORNOS!C517+OPTIMIZACION!$B$7*RETORNOS!D517+OPTIMIZACION!$B$8*RETORNOS!E517+OPTIMIZACION!$B$9*RETORNOS!F517+OPTIMIZACION!$B$10*RETORNOS!G517)</f>
        <v>0.004451603339</v>
      </c>
      <c r="C517" s="7">
        <f>IF(RETORNOS!H517="","",RETORNOS!H517)</f>
        <v>-0.002514762449</v>
      </c>
      <c r="D517" s="7">
        <f>IF(RETORNOS!I517="","",RETORNOS!I517)</f>
        <v>0.00394958729</v>
      </c>
      <c r="E517" s="7">
        <f t="shared" si="2"/>
        <v>0.0007174124206</v>
      </c>
      <c r="F517" s="7">
        <f t="shared" si="3"/>
        <v>0.006966365788</v>
      </c>
      <c r="G517" s="7">
        <f t="shared" si="4"/>
        <v>0.003734190918</v>
      </c>
      <c r="H517" s="5">
        <f t="shared" ref="H517:K517" si="517">IF(B517="","",H516*(1+B517))</f>
        <v>172.1921582</v>
      </c>
      <c r="I517" s="5">
        <f t="shared" si="517"/>
        <v>195.0226683</v>
      </c>
      <c r="J517" s="5">
        <f t="shared" si="517"/>
        <v>100.0588584</v>
      </c>
      <c r="K517" s="5">
        <f t="shared" si="517"/>
        <v>143.2342762</v>
      </c>
      <c r="L517" s="7">
        <f t="shared" si="6"/>
        <v>-0.01563293224</v>
      </c>
    </row>
    <row r="518" ht="15.75" customHeight="1">
      <c r="A518" s="4">
        <f>IF(RETORNOS!A518="","",RETORNOS!A518)</f>
        <v>45162</v>
      </c>
      <c r="B518" s="7">
        <f>IF(RETORNOS!B518="","",OPTIMIZACION!$B$5*RETORNOS!B518+OPTIMIZACION!$B$6*RETORNOS!C518+OPTIMIZACION!$B$7*RETORNOS!D518+OPTIMIZACION!$B$8*RETORNOS!E518+OPTIMIZACION!$B$9*RETORNOS!F518+OPTIMIZACION!$B$10*RETORNOS!G518)</f>
        <v>-0.006841556415</v>
      </c>
      <c r="C518" s="7">
        <f>IF(RETORNOS!H518="","",RETORNOS!H518)</f>
        <v>-0.006867144864</v>
      </c>
      <c r="D518" s="7">
        <f>IF(RETORNOS!I518="","",RETORNOS!I518)</f>
        <v>-0.005827969493</v>
      </c>
      <c r="E518" s="7">
        <f t="shared" si="2"/>
        <v>-0.006347557179</v>
      </c>
      <c r="F518" s="7">
        <f t="shared" si="3"/>
        <v>0.00002558844869</v>
      </c>
      <c r="G518" s="7">
        <f t="shared" si="4"/>
        <v>-0.0004939992366</v>
      </c>
      <c r="H518" s="5">
        <f t="shared" ref="H518:K518" si="518">IF(B518="","",H517*(1+B518))</f>
        <v>171.0140959</v>
      </c>
      <c r="I518" s="5">
        <f t="shared" si="518"/>
        <v>193.6834194</v>
      </c>
      <c r="J518" s="5">
        <f t="shared" si="518"/>
        <v>99.47571838</v>
      </c>
      <c r="K518" s="5">
        <f t="shared" si="518"/>
        <v>142.3250884</v>
      </c>
      <c r="L518" s="7">
        <f t="shared" si="6"/>
        <v>-0.02236753506</v>
      </c>
    </row>
    <row r="519" ht="15.75" customHeight="1">
      <c r="A519" s="4">
        <f>IF(RETORNOS!A519="","",RETORNOS!A519)</f>
        <v>45163</v>
      </c>
      <c r="B519" s="7">
        <f>IF(RETORNOS!B519="","",OPTIMIZACION!$B$5*RETORNOS!B519+OPTIMIZACION!$B$6*RETORNOS!C519+OPTIMIZACION!$B$7*RETORNOS!D519+OPTIMIZACION!$B$8*RETORNOS!E519+OPTIMIZACION!$B$9*RETORNOS!F519+OPTIMIZACION!$B$10*RETORNOS!G519)</f>
        <v>0.01006934158</v>
      </c>
      <c r="C519" s="7">
        <f>IF(RETORNOS!H519="","",RETORNOS!H519)</f>
        <v>0.009683484252</v>
      </c>
      <c r="D519" s="7">
        <f>IF(RETORNOS!I519="","",RETORNOS!I519)</f>
        <v>0.007599569061</v>
      </c>
      <c r="E519" s="7">
        <f t="shared" si="2"/>
        <v>0.008641526657</v>
      </c>
      <c r="F519" s="7">
        <f t="shared" si="3"/>
        <v>0.0003858573326</v>
      </c>
      <c r="G519" s="7">
        <f t="shared" si="4"/>
        <v>0.001427814928</v>
      </c>
      <c r="H519" s="5">
        <f t="shared" ref="H519:K519" si="519">IF(B519="","",H518*(1+B519))</f>
        <v>172.7360952</v>
      </c>
      <c r="I519" s="5">
        <f t="shared" si="519"/>
        <v>195.5589497</v>
      </c>
      <c r="J519" s="5">
        <f t="shared" si="519"/>
        <v>100.231691</v>
      </c>
      <c r="K519" s="5">
        <f t="shared" si="519"/>
        <v>143.5549945</v>
      </c>
      <c r="L519" s="7">
        <f t="shared" si="6"/>
        <v>-0.01252341983</v>
      </c>
    </row>
    <row r="520" ht="15.75" customHeight="1">
      <c r="A520" s="4">
        <f>IF(RETORNOS!A520="","",RETORNOS!A520)</f>
        <v>45166</v>
      </c>
      <c r="B520" s="7">
        <f>IF(RETORNOS!B520="","",OPTIMIZACION!$B$5*RETORNOS!B520+OPTIMIZACION!$B$6*RETORNOS!C520+OPTIMIZACION!$B$7*RETORNOS!D520+OPTIMIZACION!$B$8*RETORNOS!E520+OPTIMIZACION!$B$9*RETORNOS!F520+OPTIMIZACION!$B$10*RETORNOS!G520)</f>
        <v>0.004808559927</v>
      </c>
      <c r="C520" s="7">
        <f>IF(RETORNOS!H520="","",RETORNOS!H520)</f>
        <v>0.006734257186</v>
      </c>
      <c r="D520" s="7">
        <f>IF(RETORNOS!I520="","",RETORNOS!I520)</f>
        <v>-0.0001527458614</v>
      </c>
      <c r="E520" s="7">
        <f t="shared" si="2"/>
        <v>0.003290755662</v>
      </c>
      <c r="F520" s="7">
        <f t="shared" si="3"/>
        <v>-0.001925697259</v>
      </c>
      <c r="G520" s="7">
        <f t="shared" si="4"/>
        <v>0.001517804265</v>
      </c>
      <c r="H520" s="5">
        <f t="shared" ref="H520:K520" si="520">IF(B520="","",H519*(1+B520))</f>
        <v>173.5667071</v>
      </c>
      <c r="I520" s="5">
        <f t="shared" si="520"/>
        <v>196.875894</v>
      </c>
      <c r="J520" s="5">
        <f t="shared" si="520"/>
        <v>100.216381</v>
      </c>
      <c r="K520" s="5">
        <f t="shared" si="520"/>
        <v>144.0273989</v>
      </c>
      <c r="L520" s="7">
        <f t="shared" si="6"/>
        <v>-0.007775079517</v>
      </c>
    </row>
    <row r="521" ht="15.75" customHeight="1">
      <c r="A521" s="4">
        <f>IF(RETORNOS!A521="","",RETORNOS!A521)</f>
        <v>45167</v>
      </c>
      <c r="B521" s="7">
        <f>IF(RETORNOS!B521="","",OPTIMIZACION!$B$5*RETORNOS!B521+OPTIMIZACION!$B$6*RETORNOS!C521+OPTIMIZACION!$B$7*RETORNOS!D521+OPTIMIZACION!$B$8*RETORNOS!E521+OPTIMIZACION!$B$9*RETORNOS!F521+OPTIMIZACION!$B$10*RETORNOS!G521)</f>
        <v>0.005072669373</v>
      </c>
      <c r="C521" s="7">
        <f>IF(RETORNOS!H521="","",RETORNOS!H521)</f>
        <v>0.002721493891</v>
      </c>
      <c r="D521" s="7">
        <f>IF(RETORNOS!I521="","",RETORNOS!I521)</f>
        <v>0.003768306842</v>
      </c>
      <c r="E521" s="7">
        <f t="shared" si="2"/>
        <v>0.003244900366</v>
      </c>
      <c r="F521" s="7">
        <f t="shared" si="3"/>
        <v>0.002351175482</v>
      </c>
      <c r="G521" s="7">
        <f t="shared" si="4"/>
        <v>0.001827769007</v>
      </c>
      <c r="H521" s="5">
        <f t="shared" ref="H521:K521" si="521">IF(B521="","",H520*(1+B521))</f>
        <v>174.4471536</v>
      </c>
      <c r="I521" s="5">
        <f t="shared" si="521"/>
        <v>197.4116905</v>
      </c>
      <c r="J521" s="5">
        <f t="shared" si="521"/>
        <v>100.5940271</v>
      </c>
      <c r="K521" s="5">
        <f t="shared" si="521"/>
        <v>144.4947534</v>
      </c>
      <c r="L521" s="7">
        <f t="shared" si="6"/>
        <v>-0.002741850552</v>
      </c>
    </row>
    <row r="522" ht="15.75" customHeight="1">
      <c r="A522" s="4">
        <f>IF(RETORNOS!A522="","",RETORNOS!A522)</f>
        <v>45168</v>
      </c>
      <c r="B522" s="7">
        <f>IF(RETORNOS!B522="","",OPTIMIZACION!$B$5*RETORNOS!B522+OPTIMIZACION!$B$6*RETORNOS!C522+OPTIMIZACION!$B$7*RETORNOS!D522+OPTIMIZACION!$B$8*RETORNOS!E522+OPTIMIZACION!$B$9*RETORNOS!F522+OPTIMIZACION!$B$10*RETORNOS!G522)</f>
        <v>0.005624867788</v>
      </c>
      <c r="C522" s="7">
        <f>IF(RETORNOS!H522="","",RETORNOS!H522)</f>
        <v>0.004978729257</v>
      </c>
      <c r="D522" s="7">
        <f>IF(RETORNOS!I522="","",RETORNOS!I522)</f>
        <v>-0.004542195406</v>
      </c>
      <c r="E522" s="7">
        <f t="shared" si="2"/>
        <v>0.0002182669258</v>
      </c>
      <c r="F522" s="7">
        <f t="shared" si="3"/>
        <v>0.0006461385302</v>
      </c>
      <c r="G522" s="7">
        <f t="shared" si="4"/>
        <v>0.005406600862</v>
      </c>
      <c r="H522" s="5">
        <f t="shared" ref="H522:K522" si="522">IF(B522="","",H521*(1+B522))</f>
        <v>175.4283958</v>
      </c>
      <c r="I522" s="5">
        <f t="shared" si="522"/>
        <v>198.3945499</v>
      </c>
      <c r="J522" s="5">
        <f t="shared" si="522"/>
        <v>100.1371093</v>
      </c>
      <c r="K522" s="5">
        <f t="shared" si="522"/>
        <v>144.5262919</v>
      </c>
      <c r="L522" s="7">
        <f t="shared" si="6"/>
        <v>0</v>
      </c>
    </row>
    <row r="523" ht="15.75" customHeight="1">
      <c r="A523" s="4">
        <f>IF(RETORNOS!A523="","",RETORNOS!A523)</f>
        <v>45169</v>
      </c>
      <c r="B523" s="7">
        <f>IF(RETORNOS!B523="","",OPTIMIZACION!$B$5*RETORNOS!B523+OPTIMIZACION!$B$6*RETORNOS!C523+OPTIMIZACION!$B$7*RETORNOS!D523+OPTIMIZACION!$B$8*RETORNOS!E523+OPTIMIZACION!$B$9*RETORNOS!F523+OPTIMIZACION!$B$10*RETORNOS!G523)</f>
        <v>-0.005979534228</v>
      </c>
      <c r="C523" s="7">
        <f>IF(RETORNOS!H523="","",RETORNOS!H523)</f>
        <v>0.0006721103532</v>
      </c>
      <c r="D523" s="7">
        <f>IF(RETORNOS!I523="","",RETORNOS!I523)</f>
        <v>-0.009594705245</v>
      </c>
      <c r="E523" s="7">
        <f t="shared" si="2"/>
        <v>-0.004461297446</v>
      </c>
      <c r="F523" s="7">
        <f t="shared" si="3"/>
        <v>-0.006651644581</v>
      </c>
      <c r="G523" s="7">
        <f t="shared" si="4"/>
        <v>-0.001518236782</v>
      </c>
      <c r="H523" s="5">
        <f t="shared" ref="H523:K523" si="523">IF(B523="","",H522*(1+B523))</f>
        <v>174.3794157</v>
      </c>
      <c r="I523" s="5">
        <f t="shared" si="523"/>
        <v>198.5278929</v>
      </c>
      <c r="J523" s="5">
        <f t="shared" si="523"/>
        <v>99.17632329</v>
      </c>
      <c r="K523" s="5">
        <f t="shared" si="523"/>
        <v>143.8815171</v>
      </c>
      <c r="L523" s="7">
        <f t="shared" si="6"/>
        <v>-0.005979534228</v>
      </c>
    </row>
    <row r="524" ht="15.75" customHeight="1">
      <c r="A524" s="4">
        <f>IF(RETORNOS!A524="","",RETORNOS!A524)</f>
        <v>45170</v>
      </c>
      <c r="B524" s="7">
        <f>IF(RETORNOS!B524="","",OPTIMIZACION!$B$5*RETORNOS!B524+OPTIMIZACION!$B$6*RETORNOS!C524+OPTIMIZACION!$B$7*RETORNOS!D524+OPTIMIZACION!$B$8*RETORNOS!E524+OPTIMIZACION!$B$9*RETORNOS!F524+OPTIMIZACION!$B$10*RETORNOS!G524)</f>
        <v>0.005300310607</v>
      </c>
      <c r="C524" s="7">
        <f>IF(RETORNOS!H524="","",RETORNOS!H524)</f>
        <v>0.02046727922</v>
      </c>
      <c r="D524" s="7">
        <f>IF(RETORNOS!I524="","",RETORNOS!I524)</f>
        <v>-0.005080530351</v>
      </c>
      <c r="E524" s="7">
        <f t="shared" si="2"/>
        <v>0.007693374434</v>
      </c>
      <c r="F524" s="7">
        <f t="shared" si="3"/>
        <v>-0.01516696861</v>
      </c>
      <c r="G524" s="7">
        <f t="shared" si="4"/>
        <v>-0.002393063828</v>
      </c>
      <c r="H524" s="5">
        <f t="shared" ref="H524:K524" si="524">IF(B524="","",H523*(1+B524))</f>
        <v>175.3036807</v>
      </c>
      <c r="I524" s="5">
        <f t="shared" si="524"/>
        <v>202.5912188</v>
      </c>
      <c r="J524" s="5">
        <f t="shared" si="524"/>
        <v>98.67245497</v>
      </c>
      <c r="K524" s="5">
        <f t="shared" si="524"/>
        <v>144.9884515</v>
      </c>
      <c r="L524" s="7">
        <f t="shared" si="6"/>
        <v>-0.0007109170098</v>
      </c>
    </row>
    <row r="525" ht="15.75" customHeight="1">
      <c r="A525" s="4">
        <f>IF(RETORNOS!A525="","",RETORNOS!A525)</f>
        <v>45174</v>
      </c>
      <c r="B525" s="7">
        <f>IF(RETORNOS!B525="","",OPTIMIZACION!$B$5*RETORNOS!B525+OPTIMIZACION!$B$6*RETORNOS!C525+OPTIMIZACION!$B$7*RETORNOS!D525+OPTIMIZACION!$B$8*RETORNOS!E525+OPTIMIZACION!$B$9*RETORNOS!F525+OPTIMIZACION!$B$10*RETORNOS!G525)</f>
        <v>-0.008303006896</v>
      </c>
      <c r="C525" s="7">
        <f>IF(RETORNOS!H525="","",RETORNOS!H525)</f>
        <v>0.005291828421</v>
      </c>
      <c r="D525" s="7">
        <f>IF(RETORNOS!I525="","",RETORNOS!I525)</f>
        <v>-0.01532631782</v>
      </c>
      <c r="E525" s="7">
        <f t="shared" si="2"/>
        <v>-0.0050172447</v>
      </c>
      <c r="F525" s="7">
        <f t="shared" si="3"/>
        <v>-0.01359483532</v>
      </c>
      <c r="G525" s="7">
        <f t="shared" si="4"/>
        <v>-0.003285762196</v>
      </c>
      <c r="H525" s="5">
        <f t="shared" ref="H525:K525" si="525">IF(B525="","",H524*(1+B525))</f>
        <v>173.8481331</v>
      </c>
      <c r="I525" s="5">
        <f t="shared" si="525"/>
        <v>203.6632967</v>
      </c>
      <c r="J525" s="5">
        <f t="shared" si="525"/>
        <v>97.16016957</v>
      </c>
      <c r="K525" s="5">
        <f t="shared" si="525"/>
        <v>144.2610089</v>
      </c>
      <c r="L525" s="7">
        <f t="shared" si="6"/>
        <v>-0.009008021157</v>
      </c>
    </row>
    <row r="526" ht="15.75" customHeight="1">
      <c r="A526" s="4">
        <f>IF(RETORNOS!A526="","",RETORNOS!A526)</f>
        <v>45175</v>
      </c>
      <c r="B526" s="7">
        <f>IF(RETORNOS!B526="","",OPTIMIZACION!$B$5*RETORNOS!B526+OPTIMIZACION!$B$6*RETORNOS!C526+OPTIMIZACION!$B$7*RETORNOS!D526+OPTIMIZACION!$B$8*RETORNOS!E526+OPTIMIZACION!$B$9*RETORNOS!F526+OPTIMIZACION!$B$10*RETORNOS!G526)</f>
        <v>-0.0009910549182</v>
      </c>
      <c r="C526" s="7">
        <f>IF(RETORNOS!H526="","",RETORNOS!H526)</f>
        <v>0.0004404499732</v>
      </c>
      <c r="D526" s="7">
        <f>IF(RETORNOS!I526="","",RETORNOS!I526)</f>
        <v>0.002269074407</v>
      </c>
      <c r="E526" s="7">
        <f t="shared" si="2"/>
        <v>0.00135476219</v>
      </c>
      <c r="F526" s="7">
        <f t="shared" si="3"/>
        <v>-0.001431504891</v>
      </c>
      <c r="G526" s="7">
        <f t="shared" si="4"/>
        <v>-0.002345817108</v>
      </c>
      <c r="H526" s="5">
        <f t="shared" ref="H526:K526" si="526">IF(B526="","",H525*(1+B526))</f>
        <v>173.67584</v>
      </c>
      <c r="I526" s="5">
        <f t="shared" si="526"/>
        <v>203.7530002</v>
      </c>
      <c r="J526" s="5">
        <f t="shared" si="526"/>
        <v>97.38063322</v>
      </c>
      <c r="K526" s="5">
        <f t="shared" si="526"/>
        <v>144.4564483</v>
      </c>
      <c r="L526" s="7">
        <f t="shared" si="6"/>
        <v>-0.009990148631</v>
      </c>
    </row>
    <row r="527" ht="15.75" customHeight="1">
      <c r="A527" s="4">
        <f>IF(RETORNOS!A527="","",RETORNOS!A527)</f>
        <v>45176</v>
      </c>
      <c r="B527" s="7">
        <f>IF(RETORNOS!B527="","",OPTIMIZACION!$B$5*RETORNOS!B527+OPTIMIZACION!$B$6*RETORNOS!C527+OPTIMIZACION!$B$7*RETORNOS!D527+OPTIMIZACION!$B$8*RETORNOS!E527+OPTIMIZACION!$B$9*RETORNOS!F527+OPTIMIZACION!$B$10*RETORNOS!G527)</f>
        <v>0.004358586028</v>
      </c>
      <c r="C527" s="7">
        <f>IF(RETORNOS!H527="","",RETORNOS!H527)</f>
        <v>-0.0009923609624</v>
      </c>
      <c r="D527" s="7">
        <f>IF(RETORNOS!I527="","",RETORNOS!I527)</f>
        <v>0.01310498311</v>
      </c>
      <c r="E527" s="7">
        <f t="shared" si="2"/>
        <v>0.006056311073</v>
      </c>
      <c r="F527" s="7">
        <f t="shared" si="3"/>
        <v>0.00535094699</v>
      </c>
      <c r="G527" s="7">
        <f t="shared" si="4"/>
        <v>-0.001697725045</v>
      </c>
      <c r="H527" s="5">
        <f t="shared" ref="H527:K527" si="527">IF(B527="","",H526*(1+B527))</f>
        <v>174.4328211</v>
      </c>
      <c r="I527" s="5">
        <f t="shared" si="527"/>
        <v>203.5508037</v>
      </c>
      <c r="J527" s="5">
        <f t="shared" si="527"/>
        <v>98.65680477</v>
      </c>
      <c r="K527" s="5">
        <f t="shared" si="527"/>
        <v>145.3313215</v>
      </c>
      <c r="L527" s="7">
        <f t="shared" si="6"/>
        <v>-0.005675105526</v>
      </c>
    </row>
    <row r="528" ht="15.75" customHeight="1">
      <c r="A528" s="4">
        <f>IF(RETORNOS!A528="","",RETORNOS!A528)</f>
        <v>45177</v>
      </c>
      <c r="B528" s="7">
        <f>IF(RETORNOS!B528="","",OPTIMIZACION!$B$5*RETORNOS!B528+OPTIMIZACION!$B$6*RETORNOS!C528+OPTIMIZACION!$B$7*RETORNOS!D528+OPTIMIZACION!$B$8*RETORNOS!E528+OPTIMIZACION!$B$9*RETORNOS!F528+OPTIMIZACION!$B$10*RETORNOS!G528)</f>
        <v>0.003877190806</v>
      </c>
      <c r="C528" s="7">
        <f>IF(RETORNOS!H528="","",RETORNOS!H528)</f>
        <v>0.009654758417</v>
      </c>
      <c r="D528" s="7">
        <f>IF(RETORNOS!I528="","",RETORNOS!I528)</f>
        <v>0.008783424949</v>
      </c>
      <c r="E528" s="7">
        <f t="shared" si="2"/>
        <v>0.009219091683</v>
      </c>
      <c r="F528" s="7">
        <f t="shared" si="3"/>
        <v>-0.005777567611</v>
      </c>
      <c r="G528" s="7">
        <f t="shared" si="4"/>
        <v>-0.005341900877</v>
      </c>
      <c r="H528" s="5">
        <f t="shared" ref="H528:K528" si="528">IF(B528="","",H527*(1+B528))</f>
        <v>175.1091304</v>
      </c>
      <c r="I528" s="5">
        <f t="shared" si="528"/>
        <v>205.5160375</v>
      </c>
      <c r="J528" s="5">
        <f t="shared" si="528"/>
        <v>99.52334941</v>
      </c>
      <c r="K528" s="5">
        <f t="shared" si="528"/>
        <v>146.6711443</v>
      </c>
      <c r="L528" s="7">
        <f t="shared" si="6"/>
        <v>-0.001819918187</v>
      </c>
    </row>
    <row r="529" ht="15.75" customHeight="1">
      <c r="A529" s="4">
        <f>IF(RETORNOS!A529="","",RETORNOS!A529)</f>
        <v>45180</v>
      </c>
      <c r="B529" s="7">
        <f>IF(RETORNOS!B529="","",OPTIMIZACION!$B$5*RETORNOS!B529+OPTIMIZACION!$B$6*RETORNOS!C529+OPTIMIZACION!$B$7*RETORNOS!D529+OPTIMIZACION!$B$8*RETORNOS!E529+OPTIMIZACION!$B$9*RETORNOS!F529+OPTIMIZACION!$B$10*RETORNOS!G529)</f>
        <v>-0.008106055309</v>
      </c>
      <c r="C529" s="7">
        <f>IF(RETORNOS!H529="","",RETORNOS!H529)</f>
        <v>-0.01314156557</v>
      </c>
      <c r="D529" s="7">
        <f>IF(RETORNOS!I529="","",RETORNOS!I529)</f>
        <v>0.00411246902</v>
      </c>
      <c r="E529" s="7">
        <f t="shared" si="2"/>
        <v>-0.004514548274</v>
      </c>
      <c r="F529" s="7">
        <f t="shared" si="3"/>
        <v>0.005035510259</v>
      </c>
      <c r="G529" s="7">
        <f t="shared" si="4"/>
        <v>-0.003591507035</v>
      </c>
      <c r="H529" s="5">
        <f t="shared" ref="H529:K529" si="529">IF(B529="","",H528*(1+B529))</f>
        <v>173.6896861</v>
      </c>
      <c r="I529" s="5">
        <f t="shared" si="529"/>
        <v>202.815235</v>
      </c>
      <c r="J529" s="5">
        <f t="shared" si="529"/>
        <v>99.93263611</v>
      </c>
      <c r="K529" s="5">
        <f t="shared" si="529"/>
        <v>146.0089903</v>
      </c>
      <c r="L529" s="7">
        <f t="shared" si="6"/>
        <v>-0.009911221139</v>
      </c>
    </row>
    <row r="530" ht="15.75" customHeight="1">
      <c r="A530" s="4">
        <f>IF(RETORNOS!A530="","",RETORNOS!A530)</f>
        <v>45181</v>
      </c>
      <c r="B530" s="7">
        <f>IF(RETORNOS!B530="","",OPTIMIZACION!$B$5*RETORNOS!B530+OPTIMIZACION!$B$6*RETORNOS!C530+OPTIMIZACION!$B$7*RETORNOS!D530+OPTIMIZACION!$B$8*RETORNOS!E530+OPTIMIZACION!$B$9*RETORNOS!F530+OPTIMIZACION!$B$10*RETORNOS!G530)</f>
        <v>0.01072538184</v>
      </c>
      <c r="C530" s="7">
        <f>IF(RETORNOS!H530="","",RETORNOS!H530)</f>
        <v>0.0235538257</v>
      </c>
      <c r="D530" s="7">
        <f>IF(RETORNOS!I530="","",RETORNOS!I530)</f>
        <v>0.00126307332</v>
      </c>
      <c r="E530" s="7">
        <f t="shared" si="2"/>
        <v>0.01240844951</v>
      </c>
      <c r="F530" s="7">
        <f t="shared" si="3"/>
        <v>-0.01282844386</v>
      </c>
      <c r="G530" s="7">
        <f t="shared" si="4"/>
        <v>-0.001683067667</v>
      </c>
      <c r="H530" s="5">
        <f t="shared" ref="H530:K530" si="530">IF(B530="","",H529*(1+B530))</f>
        <v>175.5525743</v>
      </c>
      <c r="I530" s="5">
        <f t="shared" si="530"/>
        <v>207.5923097</v>
      </c>
      <c r="J530" s="5">
        <f t="shared" si="530"/>
        <v>100.0588584</v>
      </c>
      <c r="K530" s="5">
        <f t="shared" si="530"/>
        <v>147.8207355</v>
      </c>
      <c r="L530" s="7">
        <f t="shared" si="6"/>
        <v>0</v>
      </c>
    </row>
    <row r="531" ht="15.75" customHeight="1">
      <c r="A531" s="4">
        <f>IF(RETORNOS!A531="","",RETORNOS!A531)</f>
        <v>45182</v>
      </c>
      <c r="B531" s="7">
        <f>IF(RETORNOS!B531="","",OPTIMIZACION!$B$5*RETORNOS!B531+OPTIMIZACION!$B$6*RETORNOS!C531+OPTIMIZACION!$B$7*RETORNOS!D531+OPTIMIZACION!$B$8*RETORNOS!E531+OPTIMIZACION!$B$9*RETORNOS!F531+OPTIMIZACION!$B$10*RETORNOS!G531)</f>
        <v>0.0003728939523</v>
      </c>
      <c r="C531" s="7">
        <f>IF(RETORNOS!H531="","",RETORNOS!H531)</f>
        <v>-0.007525786681</v>
      </c>
      <c r="D531" s="7">
        <f>IF(RETORNOS!I531="","",RETORNOS!I531)</f>
        <v>0.01196195839</v>
      </c>
      <c r="E531" s="7">
        <f t="shared" si="2"/>
        <v>0.002218085854</v>
      </c>
      <c r="F531" s="7">
        <f t="shared" si="3"/>
        <v>0.007898680633</v>
      </c>
      <c r="G531" s="7">
        <f t="shared" si="4"/>
        <v>-0.001845191902</v>
      </c>
      <c r="H531" s="5">
        <f t="shared" ref="H531:K531" si="531">IF(B531="","",H530*(1+B531))</f>
        <v>175.6180368</v>
      </c>
      <c r="I531" s="5">
        <f t="shared" si="531"/>
        <v>206.0300143</v>
      </c>
      <c r="J531" s="5">
        <f t="shared" si="531"/>
        <v>101.2557583</v>
      </c>
      <c r="K531" s="5">
        <f t="shared" si="531"/>
        <v>148.1486146</v>
      </c>
      <c r="L531" s="7">
        <f t="shared" si="6"/>
        <v>0</v>
      </c>
    </row>
    <row r="532" ht="15.75" customHeight="1">
      <c r="A532" s="4">
        <f>IF(RETORNOS!A532="","",RETORNOS!A532)</f>
        <v>45183</v>
      </c>
      <c r="B532" s="7">
        <f>IF(RETORNOS!B532="","",OPTIMIZACION!$B$5*RETORNOS!B532+OPTIMIZACION!$B$6*RETORNOS!C532+OPTIMIZACION!$B$7*RETORNOS!D532+OPTIMIZACION!$B$8*RETORNOS!E532+OPTIMIZACION!$B$9*RETORNOS!F532+OPTIMIZACION!$B$10*RETORNOS!G532)</f>
        <v>0.0128003531</v>
      </c>
      <c r="C532" s="7">
        <f>IF(RETORNOS!H532="","",RETORNOS!H532)</f>
        <v>0.01170141161</v>
      </c>
      <c r="D532" s="7">
        <f>IF(RETORNOS!I532="","",RETORNOS!I532)</f>
        <v>0.01462618063</v>
      </c>
      <c r="E532" s="7">
        <f t="shared" si="2"/>
        <v>0.01316379612</v>
      </c>
      <c r="F532" s="7">
        <f t="shared" si="3"/>
        <v>0.001098941498</v>
      </c>
      <c r="G532" s="7">
        <f t="shared" si="4"/>
        <v>-0.0003634430132</v>
      </c>
      <c r="H532" s="5">
        <f t="shared" ref="H532:K532" si="532">IF(B532="","",H531*(1+B532))</f>
        <v>177.8660097</v>
      </c>
      <c r="I532" s="5">
        <f t="shared" si="532"/>
        <v>208.4408563</v>
      </c>
      <c r="J532" s="5">
        <f t="shared" si="532"/>
        <v>102.7367433</v>
      </c>
      <c r="K532" s="5">
        <f t="shared" si="532"/>
        <v>150.0988127</v>
      </c>
      <c r="L532" s="7">
        <f t="shared" si="6"/>
        <v>0</v>
      </c>
    </row>
    <row r="533" ht="15.75" customHeight="1">
      <c r="A533" s="4">
        <f>IF(RETORNOS!A533="","",RETORNOS!A533)</f>
        <v>45184</v>
      </c>
      <c r="B533" s="7">
        <f>IF(RETORNOS!B533="","",OPTIMIZACION!$B$5*RETORNOS!B533+OPTIMIZACION!$B$6*RETORNOS!C533+OPTIMIZACION!$B$7*RETORNOS!D533+OPTIMIZACION!$B$8*RETORNOS!E533+OPTIMIZACION!$B$9*RETORNOS!F533+OPTIMIZACION!$B$10*RETORNOS!G533)</f>
        <v>-0.00948308864</v>
      </c>
      <c r="C533" s="7">
        <f>IF(RETORNOS!H533="","",RETORNOS!H533)</f>
        <v>-0.01445991653</v>
      </c>
      <c r="D533" s="7">
        <f>IF(RETORNOS!I533="","",RETORNOS!I533)</f>
        <v>-0.004295128655</v>
      </c>
      <c r="E533" s="7">
        <f t="shared" si="2"/>
        <v>-0.009377522595</v>
      </c>
      <c r="F533" s="7">
        <f t="shared" si="3"/>
        <v>0.004976827894</v>
      </c>
      <c r="G533" s="7">
        <f t="shared" si="4"/>
        <v>-0.0001055660453</v>
      </c>
      <c r="H533" s="5">
        <f t="shared" ref="H533:K533" si="533">IF(B533="","",H532*(1+B533))</f>
        <v>176.1792906</v>
      </c>
      <c r="I533" s="5">
        <f t="shared" si="533"/>
        <v>205.4268189</v>
      </c>
      <c r="J533" s="5">
        <f t="shared" si="533"/>
        <v>102.2954757</v>
      </c>
      <c r="K533" s="5">
        <f t="shared" si="533"/>
        <v>148.6912577</v>
      </c>
      <c r="L533" s="7">
        <f t="shared" si="6"/>
        <v>-0.00948308864</v>
      </c>
    </row>
    <row r="534" ht="15.75" customHeight="1">
      <c r="A534" s="4">
        <f>IF(RETORNOS!A534="","",RETORNOS!A534)</f>
        <v>45187</v>
      </c>
      <c r="B534" s="7">
        <f>IF(RETORNOS!B534="","",OPTIMIZACION!$B$5*RETORNOS!B534+OPTIMIZACION!$B$6*RETORNOS!C534+OPTIMIZACION!$B$7*RETORNOS!D534+OPTIMIZACION!$B$8*RETORNOS!E534+OPTIMIZACION!$B$9*RETORNOS!F534+OPTIMIZACION!$B$10*RETORNOS!G534)</f>
        <v>0.007412828938</v>
      </c>
      <c r="C534" s="7">
        <f>IF(RETORNOS!H534="","",RETORNOS!H534)</f>
        <v>0.008469015394</v>
      </c>
      <c r="D534" s="7">
        <f>IF(RETORNOS!I534="","",RETORNOS!I534)</f>
        <v>-0.000748321266</v>
      </c>
      <c r="E534" s="7">
        <f t="shared" si="2"/>
        <v>0.003860347064</v>
      </c>
      <c r="F534" s="7">
        <f t="shared" si="3"/>
        <v>-0.001056186456</v>
      </c>
      <c r="G534" s="7">
        <f t="shared" si="4"/>
        <v>0.003552481874</v>
      </c>
      <c r="H534" s="5">
        <f t="shared" ref="H534:K534" si="534">IF(B534="","",H533*(1+B534))</f>
        <v>177.4852775</v>
      </c>
      <c r="I534" s="5">
        <f t="shared" si="534"/>
        <v>207.1665818</v>
      </c>
      <c r="J534" s="5">
        <f t="shared" si="534"/>
        <v>102.2189259</v>
      </c>
      <c r="K534" s="5">
        <f t="shared" si="534"/>
        <v>149.2652576</v>
      </c>
      <c r="L534" s="7">
        <f t="shared" si="6"/>
        <v>-0.002140556216</v>
      </c>
    </row>
    <row r="535" ht="15.75" customHeight="1">
      <c r="A535" s="4">
        <f>IF(RETORNOS!A535="","",RETORNOS!A535)</f>
        <v>45188</v>
      </c>
      <c r="B535" s="7">
        <f>IF(RETORNOS!B535="","",OPTIMIZACION!$B$5*RETORNOS!B535+OPTIMIZACION!$B$6*RETORNOS!C535+OPTIMIZACION!$B$7*RETORNOS!D535+OPTIMIZACION!$B$8*RETORNOS!E535+OPTIMIZACION!$B$9*RETORNOS!F535+OPTIMIZACION!$B$10*RETORNOS!G535)</f>
        <v>-0.005062905245</v>
      </c>
      <c r="C535" s="7">
        <f>IF(RETORNOS!H535="","",RETORNOS!H535)</f>
        <v>-0.009334113517</v>
      </c>
      <c r="D535" s="7">
        <f>IF(RETORNOS!I535="","",RETORNOS!I535)</f>
        <v>-0.005441873469</v>
      </c>
      <c r="E535" s="7">
        <f t="shared" si="2"/>
        <v>-0.007387993493</v>
      </c>
      <c r="F535" s="7">
        <f t="shared" si="3"/>
        <v>0.004271208272</v>
      </c>
      <c r="G535" s="7">
        <f t="shared" si="4"/>
        <v>0.002325088248</v>
      </c>
      <c r="H535" s="5">
        <f t="shared" ref="H535:K535" si="535">IF(B535="","",H534*(1+B535))</f>
        <v>176.5866864</v>
      </c>
      <c r="I535" s="5">
        <f t="shared" si="535"/>
        <v>205.2328654</v>
      </c>
      <c r="J535" s="5">
        <f t="shared" si="535"/>
        <v>101.6626634</v>
      </c>
      <c r="K535" s="5">
        <f t="shared" si="535"/>
        <v>148.1624868</v>
      </c>
      <c r="L535" s="7">
        <f t="shared" si="6"/>
        <v>-0.007192624027</v>
      </c>
    </row>
    <row r="536" ht="15.75" customHeight="1">
      <c r="A536" s="4">
        <f>IF(RETORNOS!A536="","",RETORNOS!A536)</f>
        <v>45189</v>
      </c>
      <c r="B536" s="7">
        <f>IF(RETORNOS!B536="","",OPTIMIZACION!$B$5*RETORNOS!B536+OPTIMIZACION!$B$6*RETORNOS!C536+OPTIMIZACION!$B$7*RETORNOS!D536+OPTIMIZACION!$B$8*RETORNOS!E536+OPTIMIZACION!$B$9*RETORNOS!F536+OPTIMIZACION!$B$10*RETORNOS!G536)</f>
        <v>-0.005260359426</v>
      </c>
      <c r="C536" s="7">
        <f>IF(RETORNOS!H536="","",RETORNOS!H536)</f>
        <v>-0.009315742968</v>
      </c>
      <c r="D536" s="7">
        <f>IF(RETORNOS!I536="","",RETORNOS!I536)</f>
        <v>0.0009403874664</v>
      </c>
      <c r="E536" s="7">
        <f t="shared" si="2"/>
        <v>-0.004187677751</v>
      </c>
      <c r="F536" s="7">
        <f t="shared" si="3"/>
        <v>0.004055383542</v>
      </c>
      <c r="G536" s="7">
        <f t="shared" si="4"/>
        <v>-0.001072681675</v>
      </c>
      <c r="H536" s="5">
        <f t="shared" ref="H536:K536" si="536">IF(B536="","",H535*(1+B536))</f>
        <v>175.6577769</v>
      </c>
      <c r="I536" s="5">
        <f t="shared" si="536"/>
        <v>203.3209688</v>
      </c>
      <c r="J536" s="5">
        <f t="shared" si="536"/>
        <v>101.7582657</v>
      </c>
      <c r="K536" s="5">
        <f t="shared" si="536"/>
        <v>147.5420301</v>
      </c>
      <c r="L536" s="7">
        <f t="shared" si="6"/>
        <v>-0.01241514767</v>
      </c>
    </row>
    <row r="537" ht="15.75" customHeight="1">
      <c r="A537" s="4">
        <f>IF(RETORNOS!A537="","",RETORNOS!A537)</f>
        <v>45190</v>
      </c>
      <c r="B537" s="7">
        <f>IF(RETORNOS!B537="","",OPTIMIZACION!$B$5*RETORNOS!B537+OPTIMIZACION!$B$6*RETORNOS!C537+OPTIMIZACION!$B$7*RETORNOS!D537+OPTIMIZACION!$B$8*RETORNOS!E537+OPTIMIZACION!$B$9*RETORNOS!F537+OPTIMIZACION!$B$10*RETORNOS!G537)</f>
        <v>-0.008837407068</v>
      </c>
      <c r="C537" s="7">
        <f>IF(RETORNOS!H537="","",RETORNOS!H537)</f>
        <v>-0.01371748001</v>
      </c>
      <c r="D537" s="7">
        <f>IF(RETORNOS!I537="","",RETORNOS!I537)</f>
        <v>-0.01045825058</v>
      </c>
      <c r="E537" s="7">
        <f t="shared" si="2"/>
        <v>-0.0120878653</v>
      </c>
      <c r="F537" s="7">
        <f t="shared" si="3"/>
        <v>0.004880072941</v>
      </c>
      <c r="G537" s="7">
        <f t="shared" si="4"/>
        <v>0.003250458228</v>
      </c>
      <c r="H537" s="5">
        <f t="shared" ref="H537:K537" si="537">IF(B537="","",H536*(1+B537))</f>
        <v>174.1054177</v>
      </c>
      <c r="I537" s="5">
        <f t="shared" si="537"/>
        <v>200.5319175</v>
      </c>
      <c r="J537" s="5">
        <f t="shared" si="537"/>
        <v>100.6940522</v>
      </c>
      <c r="K537" s="5">
        <f t="shared" si="537"/>
        <v>145.7585619</v>
      </c>
      <c r="L537" s="7">
        <f t="shared" si="6"/>
        <v>-0.02114283702</v>
      </c>
    </row>
    <row r="538" ht="15.75" customHeight="1">
      <c r="A538" s="4">
        <f>IF(RETORNOS!A538="","",RETORNOS!A538)</f>
        <v>45191</v>
      </c>
      <c r="B538" s="7">
        <f>IF(RETORNOS!B538="","",OPTIMIZACION!$B$5*RETORNOS!B538+OPTIMIZACION!$B$6*RETORNOS!C538+OPTIMIZACION!$B$7*RETORNOS!D538+OPTIMIZACION!$B$8*RETORNOS!E538+OPTIMIZACION!$B$9*RETORNOS!F538+OPTIMIZACION!$B$10*RETORNOS!G538)</f>
        <v>-0.002125891765</v>
      </c>
      <c r="C538" s="7">
        <f>IF(RETORNOS!H538="","",RETORNOS!H538)</f>
        <v>0.001680501587</v>
      </c>
      <c r="D538" s="7">
        <f>IF(RETORNOS!I538="","",RETORNOS!I538)</f>
        <v>-0.001895487995</v>
      </c>
      <c r="E538" s="7">
        <f t="shared" si="2"/>
        <v>-0.0001074932039</v>
      </c>
      <c r="F538" s="7">
        <f t="shared" si="3"/>
        <v>-0.003806393352</v>
      </c>
      <c r="G538" s="7">
        <f t="shared" si="4"/>
        <v>-0.002018398561</v>
      </c>
      <c r="H538" s="5">
        <f t="shared" ref="H538:K538" si="538">IF(B538="","",H537*(1+B538))</f>
        <v>173.7352884</v>
      </c>
      <c r="I538" s="5">
        <f t="shared" si="538"/>
        <v>200.8689117</v>
      </c>
      <c r="J538" s="5">
        <f t="shared" si="538"/>
        <v>100.5031879</v>
      </c>
      <c r="K538" s="5">
        <f t="shared" si="538"/>
        <v>145.7428938</v>
      </c>
      <c r="L538" s="7">
        <f t="shared" si="6"/>
        <v>-0.0232237814</v>
      </c>
    </row>
    <row r="539" ht="15.75" customHeight="1">
      <c r="A539" s="4">
        <f>IF(RETORNOS!A539="","",RETORNOS!A539)</f>
        <v>45194</v>
      </c>
      <c r="B539" s="7">
        <f>IF(RETORNOS!B539="","",OPTIMIZACION!$B$5*RETORNOS!B539+OPTIMIZACION!$B$6*RETORNOS!C539+OPTIMIZACION!$B$7*RETORNOS!D539+OPTIMIZACION!$B$8*RETORNOS!E539+OPTIMIZACION!$B$9*RETORNOS!F539+OPTIMIZACION!$B$10*RETORNOS!G539)</f>
        <v>0.005134868043</v>
      </c>
      <c r="C539" s="7">
        <f>IF(RETORNOS!H539="","",RETORNOS!H539)</f>
        <v>0.01254278693</v>
      </c>
      <c r="D539" s="7">
        <f>IF(RETORNOS!I539="","",RETORNOS!I539)</f>
        <v>-0.001415006516</v>
      </c>
      <c r="E539" s="7">
        <f t="shared" si="2"/>
        <v>0.005563890208</v>
      </c>
      <c r="F539" s="7">
        <f t="shared" si="3"/>
        <v>-0.007407918889</v>
      </c>
      <c r="G539" s="7">
        <f t="shared" si="4"/>
        <v>-0.0004290221651</v>
      </c>
      <c r="H539" s="5">
        <f t="shared" ref="H539:K539" si="539">IF(B539="","",H538*(1+B539))</f>
        <v>174.6273962</v>
      </c>
      <c r="I539" s="5">
        <f t="shared" si="539"/>
        <v>203.3883676</v>
      </c>
      <c r="J539" s="5">
        <f t="shared" si="539"/>
        <v>100.3609752</v>
      </c>
      <c r="K539" s="5">
        <f t="shared" si="539"/>
        <v>146.5537913</v>
      </c>
      <c r="L539" s="7">
        <f t="shared" si="6"/>
        <v>-0.01820816441</v>
      </c>
    </row>
    <row r="540" ht="15.75" customHeight="1">
      <c r="A540" s="4">
        <f>IF(RETORNOS!A540="","",RETORNOS!A540)</f>
        <v>45195</v>
      </c>
      <c r="B540" s="7">
        <f>IF(RETORNOS!B540="","",OPTIMIZACION!$B$5*RETORNOS!B540+OPTIMIZACION!$B$6*RETORNOS!C540+OPTIMIZACION!$B$7*RETORNOS!D540+OPTIMIZACION!$B$8*RETORNOS!E540+OPTIMIZACION!$B$9*RETORNOS!F540+OPTIMIZACION!$B$10*RETORNOS!G540)</f>
        <v>-0.01688507291</v>
      </c>
      <c r="C540" s="7">
        <f>IF(RETORNOS!H540="","",RETORNOS!H540)</f>
        <v>-0.005750277739</v>
      </c>
      <c r="D540" s="7">
        <f>IF(RETORNOS!I540="","",RETORNOS!I540)</f>
        <v>-0.02990640266</v>
      </c>
      <c r="E540" s="7">
        <f t="shared" si="2"/>
        <v>-0.0178283402</v>
      </c>
      <c r="F540" s="7">
        <f t="shared" si="3"/>
        <v>-0.01113479517</v>
      </c>
      <c r="G540" s="7">
        <f t="shared" si="4"/>
        <v>0.0009432672863</v>
      </c>
      <c r="H540" s="5">
        <f t="shared" ref="H540:K540" si="540">IF(B540="","",H539*(1+B540))</f>
        <v>171.6787999</v>
      </c>
      <c r="I540" s="5">
        <f t="shared" si="540"/>
        <v>202.218828</v>
      </c>
      <c r="J540" s="5">
        <f t="shared" si="540"/>
        <v>97.35953948</v>
      </c>
      <c r="K540" s="5">
        <f t="shared" si="540"/>
        <v>143.9409804</v>
      </c>
      <c r="L540" s="7">
        <f t="shared" si="6"/>
        <v>-0.03478579114</v>
      </c>
    </row>
    <row r="541" ht="15.75" customHeight="1">
      <c r="A541" s="4">
        <f>IF(RETORNOS!A541="","",RETORNOS!A541)</f>
        <v>45196</v>
      </c>
      <c r="B541" s="7">
        <f>IF(RETORNOS!B541="","",OPTIMIZACION!$B$5*RETORNOS!B541+OPTIMIZACION!$B$6*RETORNOS!C541+OPTIMIZACION!$B$7*RETORNOS!D541+OPTIMIZACION!$B$8*RETORNOS!E541+OPTIMIZACION!$B$9*RETORNOS!F541+OPTIMIZACION!$B$10*RETORNOS!G541)</f>
        <v>0.01411317793</v>
      </c>
      <c r="C541" s="7">
        <f>IF(RETORNOS!H541="","",RETORNOS!H541)</f>
        <v>0.02491331891</v>
      </c>
      <c r="D541" s="7">
        <f>IF(RETORNOS!I541="","",RETORNOS!I541)</f>
        <v>-0.01924414237</v>
      </c>
      <c r="E541" s="7">
        <f t="shared" si="2"/>
        <v>0.002834588275</v>
      </c>
      <c r="F541" s="7">
        <f t="shared" si="3"/>
        <v>-0.01080014098</v>
      </c>
      <c r="G541" s="7">
        <f t="shared" si="4"/>
        <v>0.01127858966</v>
      </c>
      <c r="H541" s="5">
        <f t="shared" ref="H541:K541" si="541">IF(B541="","",H540*(1+B541))</f>
        <v>174.1017333</v>
      </c>
      <c r="I541" s="5">
        <f t="shared" si="541"/>
        <v>207.2567702</v>
      </c>
      <c r="J541" s="5">
        <f t="shared" si="541"/>
        <v>95.48593864</v>
      </c>
      <c r="K541" s="5">
        <f t="shared" si="541"/>
        <v>144.3489939</v>
      </c>
      <c r="L541" s="7">
        <f t="shared" si="6"/>
        <v>-0.02116355127</v>
      </c>
    </row>
    <row r="542" ht="15.75" customHeight="1">
      <c r="A542" s="4">
        <f>IF(RETORNOS!A542="","",RETORNOS!A542)</f>
        <v>45197</v>
      </c>
      <c r="B542" s="7">
        <f>IF(RETORNOS!B542="","",OPTIMIZACION!$B$5*RETORNOS!B542+OPTIMIZACION!$B$6*RETORNOS!C542+OPTIMIZACION!$B$7*RETORNOS!D542+OPTIMIZACION!$B$8*RETORNOS!E542+OPTIMIZACION!$B$9*RETORNOS!F542+OPTIMIZACION!$B$10*RETORNOS!G542)</f>
        <v>-0.003420244781</v>
      </c>
      <c r="C542" s="7">
        <f>IF(RETORNOS!H542="","",RETORNOS!H542)</f>
        <v>0.001085542631</v>
      </c>
      <c r="D542" s="7">
        <f>IF(RETORNOS!I542="","",RETORNOS!I542)</f>
        <v>-0.02162418317</v>
      </c>
      <c r="E542" s="7">
        <f t="shared" si="2"/>
        <v>-0.01026932027</v>
      </c>
      <c r="F542" s="7">
        <f t="shared" si="3"/>
        <v>-0.004505787412</v>
      </c>
      <c r="G542" s="7">
        <f t="shared" si="4"/>
        <v>0.006849075488</v>
      </c>
      <c r="H542" s="5">
        <f t="shared" ref="H542:K542" si="542">IF(B542="","",H541*(1+B542))</f>
        <v>173.5062628</v>
      </c>
      <c r="I542" s="5">
        <f t="shared" si="542"/>
        <v>207.4817562</v>
      </c>
      <c r="J542" s="5">
        <f t="shared" si="542"/>
        <v>93.42113321</v>
      </c>
      <c r="K542" s="5">
        <f t="shared" si="542"/>
        <v>142.8666278</v>
      </c>
      <c r="L542" s="7">
        <f t="shared" si="6"/>
        <v>-0.02451141152</v>
      </c>
    </row>
    <row r="543" ht="15.75" customHeight="1">
      <c r="A543" s="4">
        <f>IF(RETORNOS!A543="","",RETORNOS!A543)</f>
        <v>45198</v>
      </c>
      <c r="B543" s="7">
        <f>IF(RETORNOS!B543="","",OPTIMIZACION!$B$5*RETORNOS!B543+OPTIMIZACION!$B$6*RETORNOS!C543+OPTIMIZACION!$B$7*RETORNOS!D543+OPTIMIZACION!$B$8*RETORNOS!E543+OPTIMIZACION!$B$9*RETORNOS!F543+OPTIMIZACION!$B$10*RETORNOS!G543)</f>
        <v>-0.01420812715</v>
      </c>
      <c r="C543" s="7">
        <f>IF(RETORNOS!H543="","",RETORNOS!H543)</f>
        <v>-0.02016358962</v>
      </c>
      <c r="D543" s="7">
        <f>IF(RETORNOS!I543="","",RETORNOS!I543)</f>
        <v>0.00169708182</v>
      </c>
      <c r="E543" s="7">
        <f t="shared" si="2"/>
        <v>-0.009233253902</v>
      </c>
      <c r="F543" s="7">
        <f t="shared" si="3"/>
        <v>0.005955462469</v>
      </c>
      <c r="G543" s="7">
        <f t="shared" si="4"/>
        <v>-0.004974873253</v>
      </c>
      <c r="H543" s="5">
        <f t="shared" ref="H543:K543" si="543">IF(B543="","",H542*(1+B543))</f>
        <v>171.0410637</v>
      </c>
      <c r="I543" s="5">
        <f t="shared" si="543"/>
        <v>203.2981793</v>
      </c>
      <c r="J543" s="5">
        <f t="shared" si="543"/>
        <v>93.57967652</v>
      </c>
      <c r="K543" s="5">
        <f t="shared" si="543"/>
        <v>141.547504</v>
      </c>
      <c r="L543" s="7">
        <f t="shared" si="6"/>
        <v>-0.03837127743</v>
      </c>
    </row>
    <row r="544" ht="15.75" customHeight="1">
      <c r="A544" s="4">
        <f>IF(RETORNOS!A544="","",RETORNOS!A544)</f>
        <v>45201</v>
      </c>
      <c r="B544" s="7">
        <f>IF(RETORNOS!B544="","",OPTIMIZACION!$B$5*RETORNOS!B544+OPTIMIZACION!$B$6*RETORNOS!C544+OPTIMIZACION!$B$7*RETORNOS!D544+OPTIMIZACION!$B$8*RETORNOS!E544+OPTIMIZACION!$B$9*RETORNOS!F544+OPTIMIZACION!$B$10*RETORNOS!G544)</f>
        <v>-0.02086764519</v>
      </c>
      <c r="C544" s="7">
        <f>IF(RETORNOS!H544="","",RETORNOS!H544)</f>
        <v>-0.01991308745</v>
      </c>
      <c r="D544" s="7">
        <f>IF(RETORNOS!I544="","",RETORNOS!I544)</f>
        <v>-0.04649251968</v>
      </c>
      <c r="E544" s="7">
        <f t="shared" si="2"/>
        <v>-0.03320280356</v>
      </c>
      <c r="F544" s="7">
        <f t="shared" si="3"/>
        <v>-0.000954557747</v>
      </c>
      <c r="G544" s="7">
        <f t="shared" si="4"/>
        <v>0.01233515837</v>
      </c>
      <c r="H544" s="5">
        <f t="shared" ref="H544:K544" si="544">IF(B544="","",H543*(1+B544))</f>
        <v>167.4718395</v>
      </c>
      <c r="I544" s="5">
        <f t="shared" si="544"/>
        <v>199.2498848</v>
      </c>
      <c r="J544" s="5">
        <f t="shared" si="544"/>
        <v>89.22892157</v>
      </c>
      <c r="K544" s="5">
        <f t="shared" si="544"/>
        <v>136.84773</v>
      </c>
      <c r="L544" s="7">
        <f t="shared" si="6"/>
        <v>-0.05843820442</v>
      </c>
    </row>
    <row r="545" ht="15.75" customHeight="1">
      <c r="A545" s="4">
        <f>IF(RETORNOS!A545="","",RETORNOS!A545)</f>
        <v>45202</v>
      </c>
      <c r="B545" s="7">
        <f>IF(RETORNOS!B545="","",OPTIMIZACION!$B$5*RETORNOS!B545+OPTIMIZACION!$B$6*RETORNOS!C545+OPTIMIZACION!$B$7*RETORNOS!D545+OPTIMIZACION!$B$8*RETORNOS!E545+OPTIMIZACION!$B$9*RETORNOS!F545+OPTIMIZACION!$B$10*RETORNOS!G545)</f>
        <v>-0.0002180092084</v>
      </c>
      <c r="C545" s="7">
        <f>IF(RETORNOS!H545="","",RETORNOS!H545)</f>
        <v>-0.0006765257725</v>
      </c>
      <c r="D545" s="7">
        <f>IF(RETORNOS!I545="","",RETORNOS!I545)</f>
        <v>0.01156836354</v>
      </c>
      <c r="E545" s="7">
        <f t="shared" si="2"/>
        <v>0.005445918883</v>
      </c>
      <c r="F545" s="7">
        <f t="shared" si="3"/>
        <v>0.0004585165641</v>
      </c>
      <c r="G545" s="7">
        <f t="shared" si="4"/>
        <v>-0.005663928091</v>
      </c>
      <c r="H545" s="5">
        <f t="shared" ref="H545:K545" si="545">IF(B545="","",H544*(1+B545))</f>
        <v>167.4353291</v>
      </c>
      <c r="I545" s="5">
        <f t="shared" si="545"/>
        <v>199.1150872</v>
      </c>
      <c r="J545" s="5">
        <f t="shared" si="545"/>
        <v>90.26115417</v>
      </c>
      <c r="K545" s="5">
        <f t="shared" si="545"/>
        <v>137.5929916</v>
      </c>
      <c r="L545" s="7">
        <f t="shared" si="6"/>
        <v>-0.05864347356</v>
      </c>
    </row>
    <row r="546" ht="15.75" customHeight="1">
      <c r="A546" s="4">
        <f>IF(RETORNOS!A546="","",RETORNOS!A546)</f>
        <v>45203</v>
      </c>
      <c r="B546" s="7">
        <f>IF(RETORNOS!B546="","",OPTIMIZACION!$B$5*RETORNOS!B546+OPTIMIZACION!$B$6*RETORNOS!C546+OPTIMIZACION!$B$7*RETORNOS!D546+OPTIMIZACION!$B$8*RETORNOS!E546+OPTIMIZACION!$B$9*RETORNOS!F546+OPTIMIZACION!$B$10*RETORNOS!G546)</f>
        <v>-0.01059854878</v>
      </c>
      <c r="C546" s="7">
        <f>IF(RETORNOS!H546="","",RETORNOS!H546)</f>
        <v>-0.03140425428</v>
      </c>
      <c r="D546" s="7">
        <f>IF(RETORNOS!I546="","",RETORNOS!I546)</f>
        <v>-0.001055404993</v>
      </c>
      <c r="E546" s="7">
        <f t="shared" si="2"/>
        <v>-0.01622982964</v>
      </c>
      <c r="F546" s="7">
        <f t="shared" si="3"/>
        <v>0.0208057055</v>
      </c>
      <c r="G546" s="7">
        <f t="shared" si="4"/>
        <v>0.005631280855</v>
      </c>
      <c r="H546" s="5">
        <f t="shared" ref="H546:K546" si="546">IF(B546="","",H545*(1+B546))</f>
        <v>165.6607576</v>
      </c>
      <c r="I546" s="5">
        <f t="shared" si="546"/>
        <v>192.8620263</v>
      </c>
      <c r="J546" s="5">
        <f t="shared" si="546"/>
        <v>90.1658921</v>
      </c>
      <c r="K546" s="5">
        <f t="shared" si="546"/>
        <v>135.3598808</v>
      </c>
      <c r="L546" s="7">
        <f t="shared" si="6"/>
        <v>-0.06862048663</v>
      </c>
    </row>
    <row r="547" ht="15.75" customHeight="1">
      <c r="A547" s="4">
        <f>IF(RETORNOS!A547="","",RETORNOS!A547)</f>
        <v>45204</v>
      </c>
      <c r="B547" s="7">
        <f>IF(RETORNOS!B547="","",OPTIMIZACION!$B$5*RETORNOS!B547+OPTIMIZACION!$B$6*RETORNOS!C547+OPTIMIZACION!$B$7*RETORNOS!D547+OPTIMIZACION!$B$8*RETORNOS!E547+OPTIMIZACION!$B$9*RETORNOS!F547+OPTIMIZACION!$B$10*RETORNOS!G547)</f>
        <v>-0.004411346513</v>
      </c>
      <c r="C547" s="7">
        <f>IF(RETORNOS!H547="","",RETORNOS!H547)</f>
        <v>-0.006179776693</v>
      </c>
      <c r="D547" s="7">
        <f>IF(RETORNOS!I547="","",RETORNOS!I547)</f>
        <v>-0.005814633557</v>
      </c>
      <c r="E547" s="7">
        <f t="shared" si="2"/>
        <v>-0.005997205125</v>
      </c>
      <c r="F547" s="7">
        <f t="shared" si="3"/>
        <v>0.00176843018</v>
      </c>
      <c r="G547" s="7">
        <f t="shared" si="4"/>
        <v>0.001585858612</v>
      </c>
      <c r="H547" s="5">
        <f t="shared" ref="H547:K547" si="547">IF(B547="","",H546*(1+B547))</f>
        <v>164.9299706</v>
      </c>
      <c r="I547" s="5">
        <f t="shared" si="547"/>
        <v>191.6701821</v>
      </c>
      <c r="J547" s="5">
        <f t="shared" si="547"/>
        <v>89.64161047</v>
      </c>
      <c r="K547" s="5">
        <f t="shared" si="547"/>
        <v>134.5480998</v>
      </c>
      <c r="L547" s="7">
        <f t="shared" si="6"/>
        <v>-0.0727291244</v>
      </c>
    </row>
    <row r="548" ht="15.75" customHeight="1">
      <c r="A548" s="4">
        <f>IF(RETORNOS!A548="","",RETORNOS!A548)</f>
        <v>45205</v>
      </c>
      <c r="B548" s="7">
        <f>IF(RETORNOS!B548="","",OPTIMIZACION!$B$5*RETORNOS!B548+OPTIMIZACION!$B$6*RETORNOS!C548+OPTIMIZACION!$B$7*RETORNOS!D548+OPTIMIZACION!$B$8*RETORNOS!E548+OPTIMIZACION!$B$9*RETORNOS!F548+OPTIMIZACION!$B$10*RETORNOS!G548)</f>
        <v>0.0009703489643</v>
      </c>
      <c r="C548" s="7">
        <f>IF(RETORNOS!H548="","",RETORNOS!H548)</f>
        <v>0.005987993655</v>
      </c>
      <c r="D548" s="7">
        <f>IF(RETORNOS!I548="","",RETORNOS!I548)</f>
        <v>0.01417564901</v>
      </c>
      <c r="E548" s="7">
        <f t="shared" si="2"/>
        <v>0.01008182133</v>
      </c>
      <c r="F548" s="7">
        <f t="shared" si="3"/>
        <v>-0.005017644691</v>
      </c>
      <c r="G548" s="7">
        <f t="shared" si="4"/>
        <v>-0.009111472366</v>
      </c>
      <c r="H548" s="5">
        <f t="shared" ref="H548:K548" si="548">IF(B548="","",H547*(1+B548))</f>
        <v>165.0900102</v>
      </c>
      <c r="I548" s="5">
        <f t="shared" si="548"/>
        <v>192.8179019</v>
      </c>
      <c r="J548" s="5">
        <f t="shared" si="548"/>
        <v>90.91233848</v>
      </c>
      <c r="K548" s="5">
        <f t="shared" si="548"/>
        <v>135.9045897</v>
      </c>
      <c r="L548" s="7">
        <f t="shared" si="6"/>
        <v>-0.07182934806</v>
      </c>
    </row>
    <row r="549" ht="15.75" customHeight="1">
      <c r="A549" s="4">
        <f>IF(RETORNOS!A549="","",RETORNOS!A549)</f>
        <v>45208</v>
      </c>
      <c r="B549" s="7">
        <f>IF(RETORNOS!B549="","",OPTIMIZACION!$B$5*RETORNOS!B549+OPTIMIZACION!$B$6*RETORNOS!C549+OPTIMIZACION!$B$7*RETORNOS!D549+OPTIMIZACION!$B$8*RETORNOS!E549+OPTIMIZACION!$B$9*RETORNOS!F549+OPTIMIZACION!$B$10*RETORNOS!G549)</f>
        <v>0.02385582004</v>
      </c>
      <c r="C549" s="7">
        <f>IF(RETORNOS!H549="","",RETORNOS!H549)</f>
        <v>0.03335780998</v>
      </c>
      <c r="D549" s="7">
        <f>IF(RETORNOS!I549="","",RETORNOS!I549)</f>
        <v>0.009954530996</v>
      </c>
      <c r="E549" s="7">
        <f t="shared" si="2"/>
        <v>0.02165617049</v>
      </c>
      <c r="F549" s="7">
        <f t="shared" si="3"/>
        <v>-0.009501989941</v>
      </c>
      <c r="G549" s="7">
        <f t="shared" si="4"/>
        <v>0.00219964955</v>
      </c>
      <c r="H549" s="5">
        <f t="shared" ref="H549:K549" si="549">IF(B549="","",H548*(1+B549))</f>
        <v>169.0283678</v>
      </c>
      <c r="I549" s="5">
        <f t="shared" si="549"/>
        <v>199.2498848</v>
      </c>
      <c r="J549" s="5">
        <f t="shared" si="549"/>
        <v>91.81732817</v>
      </c>
      <c r="K549" s="5">
        <f t="shared" si="549"/>
        <v>138.8477627</v>
      </c>
      <c r="L549" s="7">
        <f t="shared" si="6"/>
        <v>-0.04968707603</v>
      </c>
    </row>
    <row r="550" ht="15.75" customHeight="1">
      <c r="A550" s="4">
        <f>IF(RETORNOS!A550="","",RETORNOS!A550)</f>
        <v>45209</v>
      </c>
      <c r="B550" s="7">
        <f>IF(RETORNOS!B550="","",OPTIMIZACION!$B$5*RETORNOS!B550+OPTIMIZACION!$B$6*RETORNOS!C550+OPTIMIZACION!$B$7*RETORNOS!D550+OPTIMIZACION!$B$8*RETORNOS!E550+OPTIMIZACION!$B$9*RETORNOS!F550+OPTIMIZACION!$B$10*RETORNOS!G550)</f>
        <v>0.002985377116</v>
      </c>
      <c r="C550" s="7">
        <f>IF(RETORNOS!H550="","",RETORNOS!H550)</f>
        <v>0.001245975523</v>
      </c>
      <c r="D550" s="7">
        <f>IF(RETORNOS!I550="","",RETORNOS!I550)</f>
        <v>0.0136618805</v>
      </c>
      <c r="E550" s="7">
        <f t="shared" si="2"/>
        <v>0.007453928012</v>
      </c>
      <c r="F550" s="7">
        <f t="shared" si="3"/>
        <v>0.001739401592</v>
      </c>
      <c r="G550" s="7">
        <f t="shared" si="4"/>
        <v>-0.004468550896</v>
      </c>
      <c r="H550" s="5">
        <f t="shared" ref="H550:K550" si="550">IF(B550="","",H549*(1+B550))</f>
        <v>169.5329812</v>
      </c>
      <c r="I550" s="5">
        <f t="shared" si="550"/>
        <v>199.4981453</v>
      </c>
      <c r="J550" s="5">
        <f t="shared" si="550"/>
        <v>93.07172554</v>
      </c>
      <c r="K550" s="5">
        <f t="shared" si="550"/>
        <v>139.8827239</v>
      </c>
      <c r="L550" s="7">
        <f t="shared" si="6"/>
        <v>-0.04685003357</v>
      </c>
    </row>
    <row r="551" ht="15.75" customHeight="1">
      <c r="A551" s="4">
        <f>IF(RETORNOS!A551="","",RETORNOS!A551)</f>
        <v>45210</v>
      </c>
      <c r="B551" s="7">
        <f>IF(RETORNOS!B551="","",OPTIMIZACION!$B$5*RETORNOS!B551+OPTIMIZACION!$B$6*RETORNOS!C551+OPTIMIZACION!$B$7*RETORNOS!D551+OPTIMIZACION!$B$8*RETORNOS!E551+OPTIMIZACION!$B$9*RETORNOS!F551+OPTIMIZACION!$B$10*RETORNOS!G551)</f>
        <v>0.001886367899</v>
      </c>
      <c r="C551" s="7">
        <f>IF(RETORNOS!H551="","",RETORNOS!H551)</f>
        <v>-0.01285500747</v>
      </c>
      <c r="D551" s="7">
        <f>IF(RETORNOS!I551="","",RETORNOS!I551)</f>
        <v>0.01620839152</v>
      </c>
      <c r="E551" s="7">
        <f t="shared" si="2"/>
        <v>0.001676692021</v>
      </c>
      <c r="F551" s="7">
        <f t="shared" si="3"/>
        <v>0.01474137537</v>
      </c>
      <c r="G551" s="7">
        <f t="shared" si="4"/>
        <v>0.0002096758776</v>
      </c>
      <c r="H551" s="5">
        <f t="shared" ref="H551:K551" si="551">IF(B551="","",H550*(1+B551))</f>
        <v>169.8527828</v>
      </c>
      <c r="I551" s="5">
        <f t="shared" si="551"/>
        <v>196.9335952</v>
      </c>
      <c r="J551" s="5">
        <f t="shared" si="551"/>
        <v>94.5802685</v>
      </c>
      <c r="K551" s="5">
        <f t="shared" si="551"/>
        <v>140.1172642</v>
      </c>
      <c r="L551" s="7">
        <f t="shared" si="6"/>
        <v>-0.04505204207</v>
      </c>
    </row>
    <row r="552" ht="15.75" customHeight="1">
      <c r="A552" s="4">
        <f>IF(RETORNOS!A552="","",RETORNOS!A552)</f>
        <v>45211</v>
      </c>
      <c r="B552" s="7">
        <f>IF(RETORNOS!B552="","",OPTIMIZACION!$B$5*RETORNOS!B552+OPTIMIZACION!$B$6*RETORNOS!C552+OPTIMIZACION!$B$7*RETORNOS!D552+OPTIMIZACION!$B$8*RETORNOS!E552+OPTIMIZACION!$B$9*RETORNOS!F552+OPTIMIZACION!$B$10*RETORNOS!G552)</f>
        <v>-0.003976962041</v>
      </c>
      <c r="C552" s="7">
        <f>IF(RETORNOS!H552="","",RETORNOS!H552)</f>
        <v>0.001142446312</v>
      </c>
      <c r="D552" s="7">
        <f>IF(RETORNOS!I552="","",RETORNOS!I552)</f>
        <v>-0.01544626541</v>
      </c>
      <c r="E552" s="7">
        <f t="shared" si="2"/>
        <v>-0.007151909551</v>
      </c>
      <c r="F552" s="7">
        <f t="shared" si="3"/>
        <v>-0.005119408353</v>
      </c>
      <c r="G552" s="7">
        <f t="shared" si="4"/>
        <v>0.00317494751</v>
      </c>
      <c r="H552" s="5">
        <f t="shared" ref="H552:K552" si="552">IF(B552="","",H551*(1+B552))</f>
        <v>169.1772847</v>
      </c>
      <c r="I552" s="5">
        <f t="shared" si="552"/>
        <v>197.1585812</v>
      </c>
      <c r="J552" s="5">
        <f t="shared" si="552"/>
        <v>93.11935657</v>
      </c>
      <c r="K552" s="5">
        <f t="shared" si="552"/>
        <v>139.1151582</v>
      </c>
      <c r="L552" s="7">
        <f t="shared" si="6"/>
        <v>-0.04884983385</v>
      </c>
    </row>
    <row r="553" ht="15.75" customHeight="1">
      <c r="A553" s="4">
        <f>IF(RETORNOS!A553="","",RETORNOS!A553)</f>
        <v>45212</v>
      </c>
      <c r="B553" s="7">
        <f>IF(RETORNOS!B553="","",OPTIMIZACION!$B$5*RETORNOS!B553+OPTIMIZACION!$B$6*RETORNOS!C553+OPTIMIZACION!$B$7*RETORNOS!D553+OPTIMIZACION!$B$8*RETORNOS!E553+OPTIMIZACION!$B$9*RETORNOS!F553+OPTIMIZACION!$B$10*RETORNOS!G553)</f>
        <v>0.007953075862</v>
      </c>
      <c r="C553" s="7">
        <f>IF(RETORNOS!H553="","",RETORNOS!H553)</f>
        <v>0.02201618258</v>
      </c>
      <c r="D553" s="7">
        <f>IF(RETORNOS!I553="","",RETORNOS!I553)</f>
        <v>0.01125676831</v>
      </c>
      <c r="E553" s="7">
        <f t="shared" si="2"/>
        <v>0.01663647545</v>
      </c>
      <c r="F553" s="7">
        <f t="shared" si="3"/>
        <v>-0.01406310672</v>
      </c>
      <c r="G553" s="7">
        <f t="shared" si="4"/>
        <v>-0.008683399585</v>
      </c>
      <c r="H553" s="5">
        <f t="shared" ref="H553:K553" si="553">IF(B553="","",H552*(1+B553))</f>
        <v>170.5227645</v>
      </c>
      <c r="I553" s="5">
        <f t="shared" si="553"/>
        <v>201.4992606</v>
      </c>
      <c r="J553" s="5">
        <f t="shared" si="553"/>
        <v>94.16757959</v>
      </c>
      <c r="K553" s="5">
        <f t="shared" si="553"/>
        <v>141.4295441</v>
      </c>
      <c r="L553" s="7">
        <f t="shared" si="6"/>
        <v>-0.04128526442</v>
      </c>
    </row>
    <row r="554" ht="15.75" customHeight="1">
      <c r="A554" s="4">
        <f>IF(RETORNOS!A554="","",RETORNOS!A554)</f>
        <v>45215</v>
      </c>
      <c r="B554" s="7">
        <f>IF(RETORNOS!B554="","",OPTIMIZACION!$B$5*RETORNOS!B554+OPTIMIZACION!$B$6*RETORNOS!C554+OPTIMIZACION!$B$7*RETORNOS!D554+OPTIMIZACION!$B$8*RETORNOS!E554+OPTIMIZACION!$B$9*RETORNOS!F554+OPTIMIZACION!$B$10*RETORNOS!G554)</f>
        <v>0.0122105651</v>
      </c>
      <c r="C554" s="7">
        <f>IF(RETORNOS!H554="","",RETORNOS!H554)</f>
        <v>0.006699361347</v>
      </c>
      <c r="D554" s="7">
        <f>IF(RETORNOS!I554="","",RETORNOS!I554)</f>
        <v>0.01028603635</v>
      </c>
      <c r="E554" s="7">
        <f t="shared" si="2"/>
        <v>0.00849269885</v>
      </c>
      <c r="F554" s="7">
        <f t="shared" si="3"/>
        <v>0.005511203749</v>
      </c>
      <c r="G554" s="7">
        <f t="shared" si="4"/>
        <v>0.003717866245</v>
      </c>
      <c r="H554" s="5">
        <f t="shared" ref="H554:K554" si="554">IF(B554="","",H553*(1+B554))</f>
        <v>172.6049438</v>
      </c>
      <c r="I554" s="5">
        <f t="shared" si="554"/>
        <v>202.8491769</v>
      </c>
      <c r="J554" s="5">
        <f t="shared" si="554"/>
        <v>95.13619074</v>
      </c>
      <c r="K554" s="5">
        <f t="shared" si="554"/>
        <v>142.6306626</v>
      </c>
      <c r="L554" s="7">
        <f t="shared" si="6"/>
        <v>-0.02957881574</v>
      </c>
    </row>
    <row r="555" ht="15.75" customHeight="1">
      <c r="A555" s="4">
        <f>IF(RETORNOS!A555="","",RETORNOS!A555)</f>
        <v>45216</v>
      </c>
      <c r="B555" s="7">
        <f>IF(RETORNOS!B555="","",OPTIMIZACION!$B$5*RETORNOS!B555+OPTIMIZACION!$B$6*RETORNOS!C555+OPTIMIZACION!$B$7*RETORNOS!D555+OPTIMIZACION!$B$8*RETORNOS!E555+OPTIMIZACION!$B$9*RETORNOS!F555+OPTIMIZACION!$B$10*RETORNOS!G555)</f>
        <v>0.009415725717</v>
      </c>
      <c r="C555" s="7">
        <f>IF(RETORNOS!H555="","",RETORNOS!H555)</f>
        <v>0.01042199519</v>
      </c>
      <c r="D555" s="7">
        <f>IF(RETORNOS!I555="","",RETORNOS!I555)</f>
        <v>-0.00267138719</v>
      </c>
      <c r="E555" s="7">
        <f t="shared" si="2"/>
        <v>0.003875304</v>
      </c>
      <c r="F555" s="7">
        <f t="shared" si="3"/>
        <v>-0.001006269474</v>
      </c>
      <c r="G555" s="7">
        <f t="shared" si="4"/>
        <v>0.005540421716</v>
      </c>
      <c r="H555" s="5">
        <f t="shared" ref="H555:K555" si="555">IF(B555="","",H554*(1+B555))</f>
        <v>174.2301446</v>
      </c>
      <c r="I555" s="5">
        <f t="shared" si="555"/>
        <v>204.9632701</v>
      </c>
      <c r="J555" s="5">
        <f t="shared" si="555"/>
        <v>94.88204514</v>
      </c>
      <c r="K555" s="5">
        <f t="shared" si="555"/>
        <v>143.1833998</v>
      </c>
      <c r="L555" s="7">
        <f t="shared" si="6"/>
        <v>-0.02044159604</v>
      </c>
    </row>
    <row r="556" ht="15.75" customHeight="1">
      <c r="A556" s="4">
        <f>IF(RETORNOS!A556="","",RETORNOS!A556)</f>
        <v>45217</v>
      </c>
      <c r="B556" s="7">
        <f>IF(RETORNOS!B556="","",OPTIMIZACION!$B$5*RETORNOS!B556+OPTIMIZACION!$B$6*RETORNOS!C556+OPTIMIZACION!$B$7*RETORNOS!D556+OPTIMIZACION!$B$8*RETORNOS!E556+OPTIMIZACION!$B$9*RETORNOS!F556+OPTIMIZACION!$B$10*RETORNOS!G556)</f>
        <v>-0.006275346154</v>
      </c>
      <c r="C556" s="7">
        <f>IF(RETORNOS!H556="","",RETORNOS!H556)</f>
        <v>0.009105619509</v>
      </c>
      <c r="D556" s="7">
        <f>IF(RETORNOS!I556="","",RETORNOS!I556)</f>
        <v>-0.008706159931</v>
      </c>
      <c r="E556" s="7">
        <f t="shared" si="2"/>
        <v>0.0001997297889</v>
      </c>
      <c r="F556" s="7">
        <f t="shared" si="3"/>
        <v>-0.01538096566</v>
      </c>
      <c r="G556" s="7">
        <f t="shared" si="4"/>
        <v>-0.006475075943</v>
      </c>
      <c r="H556" s="5">
        <f t="shared" ref="H556:K556" si="556">IF(B556="","",H555*(1+B556))</f>
        <v>173.1367901</v>
      </c>
      <c r="I556" s="5">
        <f t="shared" si="556"/>
        <v>206.8295876</v>
      </c>
      <c r="J556" s="5">
        <f t="shared" si="556"/>
        <v>94.05598688</v>
      </c>
      <c r="K556" s="5">
        <f t="shared" si="556"/>
        <v>143.2119978</v>
      </c>
      <c r="L556" s="7">
        <f t="shared" si="6"/>
        <v>-0.0265886641</v>
      </c>
    </row>
    <row r="557" ht="15.75" customHeight="1">
      <c r="A557" s="4">
        <f>IF(RETORNOS!A557="","",RETORNOS!A557)</f>
        <v>45218</v>
      </c>
      <c r="B557" s="7">
        <f>IF(RETORNOS!B557="","",OPTIMIZACION!$B$5*RETORNOS!B557+OPTIMIZACION!$B$6*RETORNOS!C557+OPTIMIZACION!$B$7*RETORNOS!D557+OPTIMIZACION!$B$8*RETORNOS!E557+OPTIMIZACION!$B$9*RETORNOS!F557+OPTIMIZACION!$B$10*RETORNOS!G557)</f>
        <v>-0.009678381954</v>
      </c>
      <c r="C557" s="7">
        <f>IF(RETORNOS!H557="","",RETORNOS!H557)</f>
        <v>-0.001741862128</v>
      </c>
      <c r="D557" s="7">
        <f>IF(RETORNOS!I557="","",RETORNOS!I557)</f>
        <v>-0.009958221049</v>
      </c>
      <c r="E557" s="7">
        <f t="shared" si="2"/>
        <v>-0.005850041588</v>
      </c>
      <c r="F557" s="7">
        <f t="shared" si="3"/>
        <v>-0.007936519826</v>
      </c>
      <c r="G557" s="7">
        <f t="shared" si="4"/>
        <v>-0.003828340365</v>
      </c>
      <c r="H557" s="5">
        <f t="shared" ref="H557:K557" si="557">IF(B557="","",H556*(1+B557))</f>
        <v>171.4611061</v>
      </c>
      <c r="I557" s="5">
        <f t="shared" si="557"/>
        <v>206.469319</v>
      </c>
      <c r="J557" s="5">
        <f t="shared" si="557"/>
        <v>93.11935657</v>
      </c>
      <c r="K557" s="5">
        <f t="shared" si="557"/>
        <v>142.3742017</v>
      </c>
      <c r="L557" s="7">
        <f t="shared" si="6"/>
        <v>-0.03600971081</v>
      </c>
    </row>
    <row r="558" ht="15.75" customHeight="1">
      <c r="A558" s="4">
        <f>IF(RETORNOS!A558="","",RETORNOS!A558)</f>
        <v>45219</v>
      </c>
      <c r="B558" s="7">
        <f>IF(RETORNOS!B558="","",OPTIMIZACION!$B$5*RETORNOS!B558+OPTIMIZACION!$B$6*RETORNOS!C558+OPTIMIZACION!$B$7*RETORNOS!D558+OPTIMIZACION!$B$8*RETORNOS!E558+OPTIMIZACION!$B$9*RETORNOS!F558+OPTIMIZACION!$B$10*RETORNOS!G558)</f>
        <v>-0.01667719866</v>
      </c>
      <c r="C558" s="7">
        <f>IF(RETORNOS!H558="","",RETORNOS!H558)</f>
        <v>-0.01677500869</v>
      </c>
      <c r="D558" s="7">
        <f>IF(RETORNOS!I558="","",RETORNOS!I558)</f>
        <v>-0.01040182388</v>
      </c>
      <c r="E558" s="7">
        <f t="shared" si="2"/>
        <v>-0.01358841629</v>
      </c>
      <c r="F558" s="7">
        <f t="shared" si="3"/>
        <v>0.00009781002686</v>
      </c>
      <c r="G558" s="7">
        <f t="shared" si="4"/>
        <v>-0.003088782377</v>
      </c>
      <c r="H558" s="5">
        <f t="shared" ref="H558:K558" si="558">IF(B558="","",H557*(1+B558))</f>
        <v>168.6016152</v>
      </c>
      <c r="I558" s="5">
        <f t="shared" si="558"/>
        <v>203.0057944</v>
      </c>
      <c r="J558" s="5">
        <f t="shared" si="558"/>
        <v>92.15074543</v>
      </c>
      <c r="K558" s="5">
        <f t="shared" si="558"/>
        <v>140.4395617</v>
      </c>
      <c r="L558" s="7">
        <f t="shared" si="6"/>
        <v>-0.05208636837</v>
      </c>
    </row>
    <row r="559" ht="15.75" customHeight="1">
      <c r="A559" s="4">
        <f>IF(RETORNOS!A559="","",RETORNOS!A559)</f>
        <v>45222</v>
      </c>
      <c r="B559" s="7">
        <f>IF(RETORNOS!B559="","",OPTIMIZACION!$B$5*RETORNOS!B559+OPTIMIZACION!$B$6*RETORNOS!C559+OPTIMIZACION!$B$7*RETORNOS!D559+OPTIMIZACION!$B$8*RETORNOS!E559+OPTIMIZACION!$B$9*RETORNOS!F559+OPTIMIZACION!$B$10*RETORNOS!G559)</f>
        <v>-0.01113945414</v>
      </c>
      <c r="C559" s="7">
        <f>IF(RETORNOS!H559="","",RETORNOS!H559)</f>
        <v>-0.01617268057</v>
      </c>
      <c r="D559" s="7">
        <f>IF(RETORNOS!I559="","",RETORNOS!I559)</f>
        <v>-0.008439940189</v>
      </c>
      <c r="E559" s="7">
        <f t="shared" si="2"/>
        <v>-0.01230631038</v>
      </c>
      <c r="F559" s="7">
        <f t="shared" si="3"/>
        <v>0.005033226423</v>
      </c>
      <c r="G559" s="7">
        <f t="shared" si="4"/>
        <v>0.001166856235</v>
      </c>
      <c r="H559" s="5">
        <f t="shared" ref="H559:K559" si="559">IF(B559="","",H558*(1+B559))</f>
        <v>166.7234853</v>
      </c>
      <c r="I559" s="5">
        <f t="shared" si="559"/>
        <v>199.7226465</v>
      </c>
      <c r="J559" s="5">
        <f t="shared" si="559"/>
        <v>91.37299865</v>
      </c>
      <c r="K559" s="5">
        <f t="shared" si="559"/>
        <v>138.7112689</v>
      </c>
      <c r="L559" s="7">
        <f t="shared" si="6"/>
        <v>-0.0626456088</v>
      </c>
    </row>
    <row r="560" ht="15.75" customHeight="1">
      <c r="A560" s="4">
        <f>IF(RETORNOS!A560="","",RETORNOS!A560)</f>
        <v>45223</v>
      </c>
      <c r="B560" s="7">
        <f>IF(RETORNOS!B560="","",OPTIMIZACION!$B$5*RETORNOS!B560+OPTIMIZACION!$B$6*RETORNOS!C560+OPTIMIZACION!$B$7*RETORNOS!D560+OPTIMIZACION!$B$8*RETORNOS!E560+OPTIMIZACION!$B$9*RETORNOS!F560+OPTIMIZACION!$B$10*RETORNOS!G560)</f>
        <v>0.001792193065</v>
      </c>
      <c r="C560" s="7">
        <f>IF(RETORNOS!H560="","",RETORNOS!H560)</f>
        <v>-0.01407872823</v>
      </c>
      <c r="D560" s="7">
        <f>IF(RETORNOS!I560="","",RETORNOS!I560)</f>
        <v>0.02571778575</v>
      </c>
      <c r="E560" s="7">
        <f t="shared" si="2"/>
        <v>0.005819528759</v>
      </c>
      <c r="F560" s="7">
        <f t="shared" si="3"/>
        <v>0.01587092129</v>
      </c>
      <c r="G560" s="7">
        <f t="shared" si="4"/>
        <v>-0.004027335694</v>
      </c>
      <c r="H560" s="5">
        <f t="shared" ref="H560:K560" si="560">IF(B560="","",H559*(1+B560))</f>
        <v>167.0222859</v>
      </c>
      <c r="I560" s="5">
        <f t="shared" si="560"/>
        <v>196.9108056</v>
      </c>
      <c r="J560" s="5">
        <f t="shared" si="560"/>
        <v>93.72290985</v>
      </c>
      <c r="K560" s="5">
        <f t="shared" si="560"/>
        <v>139.5185031</v>
      </c>
      <c r="L560" s="7">
        <f t="shared" si="6"/>
        <v>-0.06096568876</v>
      </c>
    </row>
    <row r="561" ht="15.75" customHeight="1">
      <c r="A561" s="4">
        <f>IF(RETORNOS!A561="","",RETORNOS!A561)</f>
        <v>45224</v>
      </c>
      <c r="B561" s="7">
        <f>IF(RETORNOS!B561="","",OPTIMIZACION!$B$5*RETORNOS!B561+OPTIMIZACION!$B$6*RETORNOS!C561+OPTIMIZACION!$B$7*RETORNOS!D561+OPTIMIZACION!$B$8*RETORNOS!E561+OPTIMIZACION!$B$9*RETORNOS!F561+OPTIMIZACION!$B$10*RETORNOS!G561)</f>
        <v>-0.0006341703986</v>
      </c>
      <c r="C561" s="7">
        <f>IF(RETORNOS!H561="","",RETORNOS!H561)</f>
        <v>-0.001827140673</v>
      </c>
      <c r="D561" s="7">
        <f>IF(RETORNOS!I561="","",RETORNOS!I561)</f>
        <v>0.005593953738</v>
      </c>
      <c r="E561" s="7">
        <f t="shared" si="2"/>
        <v>0.001883406533</v>
      </c>
      <c r="F561" s="7">
        <f t="shared" si="3"/>
        <v>0.001192970274</v>
      </c>
      <c r="G561" s="7">
        <f t="shared" si="4"/>
        <v>-0.002517576931</v>
      </c>
      <c r="H561" s="5">
        <f t="shared" ref="H561:K561" si="561">IF(B561="","",H560*(1+B561))</f>
        <v>166.9163653</v>
      </c>
      <c r="I561" s="5">
        <f t="shared" si="561"/>
        <v>196.5510219</v>
      </c>
      <c r="J561" s="5">
        <f t="shared" si="561"/>
        <v>94.24719147</v>
      </c>
      <c r="K561" s="5">
        <f t="shared" si="561"/>
        <v>139.7812732</v>
      </c>
      <c r="L561" s="7">
        <f t="shared" si="6"/>
        <v>-0.06156119652</v>
      </c>
    </row>
    <row r="562" ht="15.75" customHeight="1">
      <c r="A562" s="4">
        <f>IF(RETORNOS!A562="","",RETORNOS!A562)</f>
        <v>45225</v>
      </c>
      <c r="B562" s="7">
        <f>IF(RETORNOS!B562="","",OPTIMIZACION!$B$5*RETORNOS!B562+OPTIMIZACION!$B$6*RETORNOS!C562+OPTIMIZACION!$B$7*RETORNOS!D562+OPTIMIZACION!$B$8*RETORNOS!E562+OPTIMIZACION!$B$9*RETORNOS!F562+OPTIMIZACION!$B$10*RETORNOS!G562)</f>
        <v>0.001789894788</v>
      </c>
      <c r="C562" s="7">
        <f>IF(RETORNOS!H562="","",RETORNOS!H562)</f>
        <v>-0.007780795694</v>
      </c>
      <c r="D562" s="7">
        <f>IF(RETORNOS!I562="","",RETORNOS!I562)</f>
        <v>0.008587920597</v>
      </c>
      <c r="E562" s="7">
        <f t="shared" si="2"/>
        <v>0.0004035624516</v>
      </c>
      <c r="F562" s="7">
        <f t="shared" si="3"/>
        <v>0.009570690482</v>
      </c>
      <c r="G562" s="7">
        <f t="shared" si="4"/>
        <v>0.001386332336</v>
      </c>
      <c r="H562" s="5">
        <f t="shared" ref="H562:K562" si="562">IF(B562="","",H561*(1+B562))</f>
        <v>167.2151281</v>
      </c>
      <c r="I562" s="5">
        <f t="shared" si="562"/>
        <v>195.0216985</v>
      </c>
      <c r="J562" s="5">
        <f t="shared" si="562"/>
        <v>95.05657887</v>
      </c>
      <c r="K562" s="5">
        <f t="shared" si="562"/>
        <v>139.8376836</v>
      </c>
      <c r="L562" s="7">
        <f t="shared" si="6"/>
        <v>-0.0598814898</v>
      </c>
    </row>
    <row r="563" ht="15.75" customHeight="1">
      <c r="A563" s="4">
        <f>IF(RETORNOS!A563="","",RETORNOS!A563)</f>
        <v>45226</v>
      </c>
      <c r="B563" s="7">
        <f>IF(RETORNOS!B563="","",OPTIMIZACION!$B$5*RETORNOS!B563+OPTIMIZACION!$B$6*RETORNOS!C563+OPTIMIZACION!$B$7*RETORNOS!D563+OPTIMIZACION!$B$8*RETORNOS!E563+OPTIMIZACION!$B$9*RETORNOS!F563+OPTIMIZACION!$B$10*RETORNOS!G563)</f>
        <v>-0.01578005249</v>
      </c>
      <c r="C563" s="7">
        <f>IF(RETORNOS!H563="","",RETORNOS!H563)</f>
        <v>-0.02398788671</v>
      </c>
      <c r="D563" s="7">
        <f>IF(RETORNOS!I563="","",RETORNOS!I563)</f>
        <v>-0.0188728543</v>
      </c>
      <c r="E563" s="7">
        <f t="shared" si="2"/>
        <v>-0.02143037051</v>
      </c>
      <c r="F563" s="7">
        <f t="shared" si="3"/>
        <v>0.008207834225</v>
      </c>
      <c r="G563" s="7">
        <f t="shared" si="4"/>
        <v>0.005650318018</v>
      </c>
      <c r="H563" s="5">
        <f t="shared" ref="H563:K563" si="563">IF(B563="","",H562*(1+B563))</f>
        <v>164.5764646</v>
      </c>
      <c r="I563" s="5">
        <f t="shared" si="563"/>
        <v>190.3435401</v>
      </c>
      <c r="J563" s="5">
        <f t="shared" si="563"/>
        <v>93.2625899</v>
      </c>
      <c r="K563" s="5">
        <f t="shared" si="563"/>
        <v>136.8409103</v>
      </c>
      <c r="L563" s="7">
        <f t="shared" si="6"/>
        <v>-0.07471660924</v>
      </c>
    </row>
    <row r="564" ht="15.75" customHeight="1">
      <c r="A564" s="4">
        <f>IF(RETORNOS!A564="","",RETORNOS!A564)</f>
        <v>45229</v>
      </c>
      <c r="B564" s="7">
        <f>IF(RETORNOS!B564="","",OPTIMIZACION!$B$5*RETORNOS!B564+OPTIMIZACION!$B$6*RETORNOS!C564+OPTIMIZACION!$B$7*RETORNOS!D564+OPTIMIZACION!$B$8*RETORNOS!E564+OPTIMIZACION!$B$9*RETORNOS!F564+OPTIMIZACION!$B$10*RETORNOS!G564)</f>
        <v>0.0004852518858</v>
      </c>
      <c r="C564" s="7">
        <f>IF(RETORNOS!H564="","",RETORNOS!H564)</f>
        <v>0.003303995618</v>
      </c>
      <c r="D564" s="7">
        <f>IF(RETORNOS!I564="","",RETORNOS!I564)</f>
        <v>0.007660794607</v>
      </c>
      <c r="E564" s="7">
        <f t="shared" si="2"/>
        <v>0.005482395113</v>
      </c>
      <c r="F564" s="7">
        <f t="shared" si="3"/>
        <v>-0.002818743733</v>
      </c>
      <c r="G564" s="7">
        <f t="shared" si="4"/>
        <v>-0.004997143227</v>
      </c>
      <c r="H564" s="5">
        <f t="shared" ref="H564:K564" si="564">IF(B564="","",H563*(1+B564))</f>
        <v>164.6563256</v>
      </c>
      <c r="I564" s="5">
        <f t="shared" si="564"/>
        <v>190.9724344</v>
      </c>
      <c r="J564" s="5">
        <f t="shared" si="564"/>
        <v>93.97705545</v>
      </c>
      <c r="K564" s="5">
        <f t="shared" si="564"/>
        <v>137.5911262</v>
      </c>
      <c r="L564" s="7">
        <f t="shared" si="6"/>
        <v>-0.07426761373</v>
      </c>
    </row>
    <row r="565" ht="15.75" customHeight="1">
      <c r="A565" s="4">
        <f>IF(RETORNOS!A565="","",RETORNOS!A565)</f>
        <v>45230</v>
      </c>
      <c r="B565" s="7">
        <f>IF(RETORNOS!B565="","",OPTIMIZACION!$B$5*RETORNOS!B565+OPTIMIZACION!$B$6*RETORNOS!C565+OPTIMIZACION!$B$7*RETORNOS!D565+OPTIMIZACION!$B$8*RETORNOS!E565+OPTIMIZACION!$B$9*RETORNOS!F565+OPTIMIZACION!$B$10*RETORNOS!G565)</f>
        <v>0.003406901737</v>
      </c>
      <c r="C565" s="7">
        <f>IF(RETORNOS!H565="","",RETORNOS!H565)</f>
        <v>0.003300732255</v>
      </c>
      <c r="D565" s="7">
        <f>IF(RETORNOS!I565="","",RETORNOS!I565)</f>
        <v>0.008616226744</v>
      </c>
      <c r="E565" s="7">
        <f t="shared" si="2"/>
        <v>0.0059584795</v>
      </c>
      <c r="F565" s="7">
        <f t="shared" si="3"/>
        <v>0.000106169482</v>
      </c>
      <c r="G565" s="7">
        <f t="shared" si="4"/>
        <v>-0.002551577763</v>
      </c>
      <c r="H565" s="5">
        <f t="shared" ref="H565:K565" si="565">IF(B565="","",H564*(1+B565))</f>
        <v>165.2172935</v>
      </c>
      <c r="I565" s="5">
        <f t="shared" si="565"/>
        <v>191.6027832</v>
      </c>
      <c r="J565" s="5">
        <f t="shared" si="565"/>
        <v>94.78678307</v>
      </c>
      <c r="K565" s="5">
        <f t="shared" si="565"/>
        <v>138.4109601</v>
      </c>
      <c r="L565" s="7">
        <f t="shared" si="6"/>
        <v>-0.07111373445</v>
      </c>
    </row>
    <row r="566" ht="15.75" customHeight="1">
      <c r="A566" s="4">
        <f>IF(RETORNOS!A566="","",RETORNOS!A566)</f>
        <v>45231</v>
      </c>
      <c r="B566" s="7">
        <f>IF(RETORNOS!B566="","",OPTIMIZACION!$B$5*RETORNOS!B566+OPTIMIZACION!$B$6*RETORNOS!C566+OPTIMIZACION!$B$7*RETORNOS!D566+OPTIMIZACION!$B$8*RETORNOS!E566+OPTIMIZACION!$B$9*RETORNOS!F566+OPTIMIZACION!$B$10*RETORNOS!G566)</f>
        <v>0.01681811731</v>
      </c>
      <c r="C566" s="7">
        <f>IF(RETORNOS!H566="","",RETORNOS!H566)</f>
        <v>-0.002345932704</v>
      </c>
      <c r="D566" s="7">
        <f>IF(RETORNOS!I566="","",RETORNOS!I566)</f>
        <v>0.01139614433</v>
      </c>
      <c r="E566" s="7">
        <f t="shared" si="2"/>
        <v>0.004525105815</v>
      </c>
      <c r="F566" s="7">
        <f t="shared" si="3"/>
        <v>0.01916405002</v>
      </c>
      <c r="G566" s="7">
        <f t="shared" si="4"/>
        <v>0.0122930115</v>
      </c>
      <c r="H566" s="5">
        <f t="shared" ref="H566:K566" si="566">IF(B566="","",H565*(1+B566))</f>
        <v>167.9959374</v>
      </c>
      <c r="I566" s="5">
        <f t="shared" si="566"/>
        <v>191.153296</v>
      </c>
      <c r="J566" s="5">
        <f t="shared" si="566"/>
        <v>95.86698693</v>
      </c>
      <c r="K566" s="5">
        <f t="shared" si="566"/>
        <v>139.0372844</v>
      </c>
      <c r="L566" s="7">
        <f t="shared" si="6"/>
        <v>-0.05549161627</v>
      </c>
    </row>
    <row r="567" ht="15.75" customHeight="1">
      <c r="A567" s="4">
        <f>IF(RETORNOS!A567="","",RETORNOS!A567)</f>
        <v>45232</v>
      </c>
      <c r="B567" s="7">
        <f>IF(RETORNOS!B567="","",OPTIMIZACION!$B$5*RETORNOS!B567+OPTIMIZACION!$B$6*RETORNOS!C567+OPTIMIZACION!$B$7*RETORNOS!D567+OPTIMIZACION!$B$8*RETORNOS!E567+OPTIMIZACION!$B$9*RETORNOS!F567+OPTIMIZACION!$B$10*RETORNOS!G567)</f>
        <v>0.02670186368</v>
      </c>
      <c r="C567" s="7">
        <f>IF(RETORNOS!H567="","",RETORNOS!H567)</f>
        <v>0.03023907667</v>
      </c>
      <c r="D567" s="7">
        <f>IF(RETORNOS!I567="","",RETORNOS!I567)</f>
        <v>0.01871686221</v>
      </c>
      <c r="E567" s="7">
        <f t="shared" si="2"/>
        <v>0.02447796944</v>
      </c>
      <c r="F567" s="7">
        <f t="shared" si="3"/>
        <v>-0.003537212984</v>
      </c>
      <c r="G567" s="7">
        <f t="shared" si="4"/>
        <v>0.002223894245</v>
      </c>
      <c r="H567" s="5">
        <f t="shared" ref="H567:K567" si="567">IF(B567="","",H566*(1+B567))</f>
        <v>172.481742</v>
      </c>
      <c r="I567" s="5">
        <f t="shared" si="567"/>
        <v>196.9335952</v>
      </c>
      <c r="J567" s="5">
        <f t="shared" si="567"/>
        <v>97.66131611</v>
      </c>
      <c r="K567" s="5">
        <f t="shared" si="567"/>
        <v>142.4406348</v>
      </c>
      <c r="L567" s="7">
        <f t="shared" si="6"/>
        <v>-0.03027148216</v>
      </c>
    </row>
    <row r="568" ht="15.75" customHeight="1">
      <c r="A568" s="4">
        <f>IF(RETORNOS!A568="","",RETORNOS!A568)</f>
        <v>45233</v>
      </c>
      <c r="B568" s="7">
        <f>IF(RETORNOS!B568="","",OPTIMIZACION!$B$5*RETORNOS!B568+OPTIMIZACION!$B$6*RETORNOS!C568+OPTIMIZACION!$B$7*RETORNOS!D568+OPTIMIZACION!$B$8*RETORNOS!E568+OPTIMIZACION!$B$9*RETORNOS!F568+OPTIMIZACION!$B$10*RETORNOS!G568)</f>
        <v>0.00004104878769</v>
      </c>
      <c r="C568" s="7">
        <f>IF(RETORNOS!H568="","",RETORNOS!H568)</f>
        <v>-0.01005057295</v>
      </c>
      <c r="D568" s="7">
        <f>IF(RETORNOS!I568="","",RETORNOS!I568)</f>
        <v>0.005849114446</v>
      </c>
      <c r="E568" s="7">
        <f t="shared" si="2"/>
        <v>-0.00210072925</v>
      </c>
      <c r="F568" s="7">
        <f t="shared" si="3"/>
        <v>0.01009162173</v>
      </c>
      <c r="G568" s="7">
        <f t="shared" si="4"/>
        <v>0.002141778038</v>
      </c>
      <c r="H568" s="5">
        <f t="shared" ref="H568:K568" si="568">IF(B568="","",H567*(1+B568))</f>
        <v>172.4888221</v>
      </c>
      <c r="I568" s="5">
        <f t="shared" si="568"/>
        <v>194.9542997</v>
      </c>
      <c r="J568" s="5">
        <f t="shared" si="568"/>
        <v>98.23254833</v>
      </c>
      <c r="K568" s="5">
        <f t="shared" si="568"/>
        <v>142.1414055</v>
      </c>
      <c r="L568" s="7">
        <f t="shared" si="6"/>
        <v>-0.03023167598</v>
      </c>
    </row>
    <row r="569" ht="15.75" customHeight="1">
      <c r="A569" s="4">
        <f>IF(RETORNOS!A569="","",RETORNOS!A569)</f>
        <v>45236</v>
      </c>
      <c r="B569" s="7">
        <f>IF(RETORNOS!B569="","",OPTIMIZACION!$B$5*RETORNOS!B569+OPTIMIZACION!$B$6*RETORNOS!C569+OPTIMIZACION!$B$7*RETORNOS!D569+OPTIMIZACION!$B$8*RETORNOS!E569+OPTIMIZACION!$B$9*RETORNOS!F569+OPTIMIZACION!$B$10*RETORNOS!G569)</f>
        <v>-0.01312186197</v>
      </c>
      <c r="C569" s="7">
        <f>IF(RETORNOS!H569="","",RETORNOS!H569)</f>
        <v>-0.01130914481</v>
      </c>
      <c r="D569" s="7">
        <f>IF(RETORNOS!I569="","",RETORNOS!I569)</f>
        <v>-0.002583719795</v>
      </c>
      <c r="E569" s="7">
        <f t="shared" si="2"/>
        <v>-0.006946432304</v>
      </c>
      <c r="F569" s="7">
        <f t="shared" si="3"/>
        <v>-0.001812717161</v>
      </c>
      <c r="G569" s="7">
        <f t="shared" si="4"/>
        <v>-0.00617542967</v>
      </c>
      <c r="H569" s="5">
        <f t="shared" ref="H569:K569" si="569">IF(B569="","",H568*(1+B569))</f>
        <v>170.2254476</v>
      </c>
      <c r="I569" s="5">
        <f t="shared" si="569"/>
        <v>192.7495333</v>
      </c>
      <c r="J569" s="5">
        <f t="shared" si="569"/>
        <v>97.97874295</v>
      </c>
      <c r="K569" s="5">
        <f t="shared" si="569"/>
        <v>141.1540299</v>
      </c>
      <c r="L569" s="7">
        <f t="shared" si="6"/>
        <v>-0.04295684207</v>
      </c>
    </row>
    <row r="570" ht="15.75" customHeight="1">
      <c r="A570" s="4">
        <f>IF(RETORNOS!A570="","",RETORNOS!A570)</f>
        <v>45237</v>
      </c>
      <c r="B570" s="7">
        <f>IF(RETORNOS!B570="","",OPTIMIZACION!$B$5*RETORNOS!B570+OPTIMIZACION!$B$6*RETORNOS!C570+OPTIMIZACION!$B$7*RETORNOS!D570+OPTIMIZACION!$B$8*RETORNOS!E570+OPTIMIZACION!$B$9*RETORNOS!F570+OPTIMIZACION!$B$10*RETORNOS!G570)</f>
        <v>-0.01116990368</v>
      </c>
      <c r="C570" s="7">
        <f>IF(RETORNOS!H570="","",RETORNOS!H570)</f>
        <v>-0.02217012103</v>
      </c>
      <c r="D570" s="7">
        <f>IF(RETORNOS!I570="","",RETORNOS!I570)</f>
        <v>-0.007292046461</v>
      </c>
      <c r="E570" s="7">
        <f t="shared" si="2"/>
        <v>-0.01473108374</v>
      </c>
      <c r="F570" s="7">
        <f t="shared" si="3"/>
        <v>0.01100021734</v>
      </c>
      <c r="G570" s="7">
        <f t="shared" si="4"/>
        <v>0.003561180061</v>
      </c>
      <c r="H570" s="5">
        <f t="shared" ref="H570:K570" si="570">IF(B570="","",H569*(1+B570))</f>
        <v>168.3240458</v>
      </c>
      <c r="I570" s="5">
        <f t="shared" si="570"/>
        <v>188.4762528</v>
      </c>
      <c r="J570" s="5">
        <f t="shared" si="570"/>
        <v>97.2642774</v>
      </c>
      <c r="K570" s="5">
        <f t="shared" si="570"/>
        <v>139.0746781</v>
      </c>
      <c r="L570" s="7">
        <f t="shared" si="6"/>
        <v>-0.05364692197</v>
      </c>
    </row>
    <row r="571" ht="15.75" customHeight="1">
      <c r="A571" s="4">
        <f>IF(RETORNOS!A571="","",RETORNOS!A571)</f>
        <v>45238</v>
      </c>
      <c r="B571" s="7">
        <f>IF(RETORNOS!B571="","",OPTIMIZACION!$B$5*RETORNOS!B571+OPTIMIZACION!$B$6*RETORNOS!C571+OPTIMIZACION!$B$7*RETORNOS!D571+OPTIMIZACION!$B$8*RETORNOS!E571+OPTIMIZACION!$B$9*RETORNOS!F571+OPTIMIZACION!$B$10*RETORNOS!G571)</f>
        <v>-0.005026716362</v>
      </c>
      <c r="C571" s="7">
        <f>IF(RETORNOS!H571="","",RETORNOS!H571)</f>
        <v>-0.01252624105</v>
      </c>
      <c r="D571" s="7">
        <f>IF(RETORNOS!I571="","",RETORNOS!I571)</f>
        <v>-0.007345610997</v>
      </c>
      <c r="E571" s="7">
        <f t="shared" si="2"/>
        <v>-0.009935926022</v>
      </c>
      <c r="F571" s="7">
        <f t="shared" si="3"/>
        <v>0.007499524685</v>
      </c>
      <c r="G571" s="7">
        <f t="shared" si="4"/>
        <v>0.00490920966</v>
      </c>
      <c r="H571" s="5">
        <f t="shared" ref="H571:K571" si="571">IF(B571="","",H570*(1+B571))</f>
        <v>167.4779285</v>
      </c>
      <c r="I571" s="5">
        <f t="shared" si="571"/>
        <v>186.1153538</v>
      </c>
      <c r="J571" s="5">
        <f t="shared" si="571"/>
        <v>96.54981186</v>
      </c>
      <c r="K571" s="5">
        <f t="shared" si="571"/>
        <v>137.6928423</v>
      </c>
      <c r="L571" s="7">
        <f t="shared" si="6"/>
        <v>-0.05840397047</v>
      </c>
    </row>
    <row r="572" ht="15.75" customHeight="1">
      <c r="A572" s="4">
        <f>IF(RETORNOS!A572="","",RETORNOS!A572)</f>
        <v>45239</v>
      </c>
      <c r="B572" s="7">
        <f>IF(RETORNOS!B572="","",OPTIMIZACION!$B$5*RETORNOS!B572+OPTIMIZACION!$B$6*RETORNOS!C572+OPTIMIZACION!$B$7*RETORNOS!D572+OPTIMIZACION!$B$8*RETORNOS!E572+OPTIMIZACION!$B$9*RETORNOS!F572+OPTIMIZACION!$B$10*RETORNOS!G572)</f>
        <v>-0.004219211886</v>
      </c>
      <c r="C572" s="7">
        <f>IF(RETORNOS!H572="","",RETORNOS!H572)</f>
        <v>-0.003022131906</v>
      </c>
      <c r="D572" s="7">
        <f>IF(RETORNOS!I572="","",RETORNOS!I572)</f>
        <v>-0.01315784837</v>
      </c>
      <c r="E572" s="7">
        <f t="shared" si="2"/>
        <v>-0.008089990138</v>
      </c>
      <c r="F572" s="7">
        <f t="shared" si="3"/>
        <v>-0.00119707998</v>
      </c>
      <c r="G572" s="7">
        <f t="shared" si="4"/>
        <v>0.003870778252</v>
      </c>
      <c r="H572" s="5">
        <f t="shared" ref="H572:K572" si="572">IF(B572="","",H571*(1+B572))</f>
        <v>166.7713037</v>
      </c>
      <c r="I572" s="5">
        <f t="shared" si="572"/>
        <v>185.5528887</v>
      </c>
      <c r="J572" s="5">
        <f t="shared" si="572"/>
        <v>95.27942407</v>
      </c>
      <c r="K572" s="5">
        <f t="shared" si="572"/>
        <v>136.5789086</v>
      </c>
      <c r="L572" s="7">
        <f t="shared" si="6"/>
        <v>-0.06237676363</v>
      </c>
    </row>
    <row r="573" ht="15.75" customHeight="1">
      <c r="A573" s="4">
        <f>IF(RETORNOS!A573="","",RETORNOS!A573)</f>
        <v>45240</v>
      </c>
      <c r="B573" s="7">
        <f>IF(RETORNOS!B573="","",OPTIMIZACION!$B$5*RETORNOS!B573+OPTIMIZACION!$B$6*RETORNOS!C573+OPTIMIZACION!$B$7*RETORNOS!D573+OPTIMIZACION!$B$8*RETORNOS!E573+OPTIMIZACION!$B$9*RETORNOS!F573+OPTIMIZACION!$B$10*RETORNOS!G573)</f>
        <v>0.007326512524</v>
      </c>
      <c r="C573" s="7">
        <f>IF(RETORNOS!H573="","",RETORNOS!H573)</f>
        <v>0.0110302476</v>
      </c>
      <c r="D573" s="7">
        <f>IF(RETORNOS!I573="","",RETORNOS!I573)</f>
        <v>0.005327601044</v>
      </c>
      <c r="E573" s="7">
        <f t="shared" si="2"/>
        <v>0.008178924322</v>
      </c>
      <c r="F573" s="7">
        <f t="shared" si="3"/>
        <v>-0.003703735075</v>
      </c>
      <c r="G573" s="7">
        <f t="shared" si="4"/>
        <v>-0.0008524117972</v>
      </c>
      <c r="H573" s="5">
        <f t="shared" ref="H573:K573" si="573">IF(B573="","",H572*(1+B573))</f>
        <v>167.9931557</v>
      </c>
      <c r="I573" s="5">
        <f t="shared" si="573"/>
        <v>187.599583</v>
      </c>
      <c r="J573" s="5">
        <f t="shared" si="573"/>
        <v>95.78703483</v>
      </c>
      <c r="K573" s="5">
        <f t="shared" si="573"/>
        <v>137.6959772</v>
      </c>
      <c r="L573" s="7">
        <f t="shared" si="6"/>
        <v>-0.05550725524</v>
      </c>
    </row>
    <row r="574" ht="15.75" customHeight="1">
      <c r="A574" s="4">
        <f>IF(RETORNOS!A574="","",RETORNOS!A574)</f>
        <v>45243</v>
      </c>
      <c r="B574" s="7">
        <f>IF(RETORNOS!B574="","",OPTIMIZACION!$B$5*RETORNOS!B574+OPTIMIZACION!$B$6*RETORNOS!C574+OPTIMIZACION!$B$7*RETORNOS!D574+OPTIMIZACION!$B$8*RETORNOS!E574+OPTIMIZACION!$B$9*RETORNOS!F574+OPTIMIZACION!$B$10*RETORNOS!G574)</f>
        <v>-0.001321105588</v>
      </c>
      <c r="C574" s="7">
        <f>IF(RETORNOS!H574="","",RETORNOS!H574)</f>
        <v>0.007193147513</v>
      </c>
      <c r="D574" s="7">
        <f>IF(RETORNOS!I574="","",RETORNOS!I574)</f>
        <v>-0.01193423385</v>
      </c>
      <c r="E574" s="7">
        <f t="shared" si="2"/>
        <v>-0.002370543167</v>
      </c>
      <c r="F574" s="7">
        <f t="shared" si="3"/>
        <v>-0.008514253101</v>
      </c>
      <c r="G574" s="7">
        <f t="shared" si="4"/>
        <v>0.001049437579</v>
      </c>
      <c r="H574" s="5">
        <f t="shared" ref="H574:K574" si="574">IF(B574="","",H573*(1+B574))</f>
        <v>167.771219</v>
      </c>
      <c r="I574" s="5">
        <f t="shared" si="574"/>
        <v>188.9490145</v>
      </c>
      <c r="J574" s="5">
        <f t="shared" si="574"/>
        <v>94.64388996</v>
      </c>
      <c r="K574" s="5">
        <f t="shared" si="574"/>
        <v>137.3695629</v>
      </c>
      <c r="L574" s="7">
        <f t="shared" si="6"/>
        <v>-0.05675502989</v>
      </c>
    </row>
    <row r="575" ht="15.75" customHeight="1">
      <c r="A575" s="4">
        <f>IF(RETORNOS!A575="","",RETORNOS!A575)</f>
        <v>45244</v>
      </c>
      <c r="B575" s="7">
        <f>IF(RETORNOS!B575="","",OPTIMIZACION!$B$5*RETORNOS!B575+OPTIMIZACION!$B$6*RETORNOS!C575+OPTIMIZACION!$B$7*RETORNOS!D575+OPTIMIZACION!$B$8*RETORNOS!E575+OPTIMIZACION!$B$9*RETORNOS!F575+OPTIMIZACION!$B$10*RETORNOS!G575)</f>
        <v>0.01561163863</v>
      </c>
      <c r="C575" s="7">
        <f>IF(RETORNOS!H575="","",RETORNOS!H575)</f>
        <v>0.008925294922</v>
      </c>
      <c r="D575" s="7">
        <f>IF(RETORNOS!I575="","",RETORNOS!I575)</f>
        <v>0.03993054931</v>
      </c>
      <c r="E575" s="7">
        <f t="shared" si="2"/>
        <v>0.02442792212</v>
      </c>
      <c r="F575" s="7">
        <f t="shared" si="3"/>
        <v>0.006686343704</v>
      </c>
      <c r="G575" s="7">
        <f t="shared" si="4"/>
        <v>-0.008816283492</v>
      </c>
      <c r="H575" s="5">
        <f t="shared" ref="H575:K575" si="575">IF(B575="","",H574*(1+B575))</f>
        <v>170.3904027</v>
      </c>
      <c r="I575" s="5">
        <f t="shared" si="575"/>
        <v>190.6354402</v>
      </c>
      <c r="J575" s="5">
        <f t="shared" si="575"/>
        <v>98.42307247</v>
      </c>
      <c r="K575" s="5">
        <f t="shared" si="575"/>
        <v>140.7252159</v>
      </c>
      <c r="L575" s="7">
        <f t="shared" si="6"/>
        <v>-0.04202943028</v>
      </c>
    </row>
    <row r="576" ht="15.75" customHeight="1">
      <c r="A576" s="4">
        <f>IF(RETORNOS!A576="","",RETORNOS!A576)</f>
        <v>45245</v>
      </c>
      <c r="B576" s="7">
        <f>IF(RETORNOS!B576="","",OPTIMIZACION!$B$5*RETORNOS!B576+OPTIMIZACION!$B$6*RETORNOS!C576+OPTIMIZACION!$B$7*RETORNOS!D576+OPTIMIZACION!$B$8*RETORNOS!E576+OPTIMIZACION!$B$9*RETORNOS!F576+OPTIMIZACION!$B$10*RETORNOS!G576)</f>
        <v>-0.007241283899</v>
      </c>
      <c r="C576" s="7">
        <f>IF(RETORNOS!H576="","",RETORNOS!H576)</f>
        <v>-0.001887286758</v>
      </c>
      <c r="D576" s="7">
        <f>IF(RETORNOS!I576="","",RETORNOS!I576)</f>
        <v>-0.003066116817</v>
      </c>
      <c r="E576" s="7">
        <f t="shared" si="2"/>
        <v>-0.002476701787</v>
      </c>
      <c r="F576" s="7">
        <f t="shared" si="3"/>
        <v>-0.005353997141</v>
      </c>
      <c r="G576" s="7">
        <f t="shared" si="4"/>
        <v>-0.004764582112</v>
      </c>
      <c r="H576" s="5">
        <f t="shared" ref="H576:K576" si="576">IF(B576="","",H575*(1+B576))</f>
        <v>169.1565574</v>
      </c>
      <c r="I576" s="5">
        <f t="shared" si="576"/>
        <v>190.2756564</v>
      </c>
      <c r="J576" s="5">
        <f t="shared" si="576"/>
        <v>98.12129584</v>
      </c>
      <c r="K576" s="5">
        <f t="shared" si="576"/>
        <v>140.3766815</v>
      </c>
      <c r="L576" s="7">
        <f t="shared" si="6"/>
        <v>-0.04896636714</v>
      </c>
    </row>
    <row r="577" ht="15.75" customHeight="1">
      <c r="A577" s="4">
        <f>IF(RETORNOS!A577="","",RETORNOS!A577)</f>
        <v>45246</v>
      </c>
      <c r="B577" s="7">
        <f>IF(RETORNOS!B577="","",OPTIMIZACION!$B$5*RETORNOS!B577+OPTIMIZACION!$B$6*RETORNOS!C577+OPTIMIZACION!$B$7*RETORNOS!D577+OPTIMIZACION!$B$8*RETORNOS!E577+OPTIMIZACION!$B$9*RETORNOS!F577+OPTIMIZACION!$B$10*RETORNOS!G577)</f>
        <v>-0.0007677830434</v>
      </c>
      <c r="C577" s="7">
        <f>IF(RETORNOS!H577="","",RETORNOS!H577)</f>
        <v>-0.01949976428</v>
      </c>
      <c r="D577" s="7">
        <f>IF(RETORNOS!I577="","",RETORNOS!I577)</f>
        <v>0.005343199123</v>
      </c>
      <c r="E577" s="7">
        <f t="shared" si="2"/>
        <v>-0.007078282578</v>
      </c>
      <c r="F577" s="7">
        <f t="shared" si="3"/>
        <v>0.01873198124</v>
      </c>
      <c r="G577" s="7">
        <f t="shared" si="4"/>
        <v>0.006310499535</v>
      </c>
      <c r="H577" s="5">
        <f t="shared" ref="H577:K577" si="577">IF(B577="","",H576*(1+B577))</f>
        <v>169.0266818</v>
      </c>
      <c r="I577" s="5">
        <f t="shared" si="577"/>
        <v>186.565326</v>
      </c>
      <c r="J577" s="5">
        <f t="shared" si="577"/>
        <v>98.64557746</v>
      </c>
      <c r="K577" s="5">
        <f t="shared" si="577"/>
        <v>139.3830557</v>
      </c>
      <c r="L577" s="7">
        <f t="shared" si="6"/>
        <v>-0.04969655464</v>
      </c>
    </row>
    <row r="578" ht="15.75" customHeight="1">
      <c r="A578" s="4">
        <f>IF(RETORNOS!A578="","",RETORNOS!A578)</f>
        <v>45247</v>
      </c>
      <c r="B578" s="7">
        <f>IF(RETORNOS!B578="","",OPTIMIZACION!$B$5*RETORNOS!B578+OPTIMIZACION!$B$6*RETORNOS!C578+OPTIMIZACION!$B$7*RETORNOS!D578+OPTIMIZACION!$B$8*RETORNOS!E578+OPTIMIZACION!$B$9*RETORNOS!F578+OPTIMIZACION!$B$10*RETORNOS!G578)</f>
        <v>0.01411414379</v>
      </c>
      <c r="C578" s="7">
        <f>IF(RETORNOS!H578="","",RETORNOS!H578)</f>
        <v>0.0209739502</v>
      </c>
      <c r="D578" s="7">
        <f>IF(RETORNOS!I578="","",RETORNOS!I578)</f>
        <v>0.002735001466</v>
      </c>
      <c r="E578" s="7">
        <f t="shared" si="2"/>
        <v>0.01185447583</v>
      </c>
      <c r="F578" s="7">
        <f t="shared" si="3"/>
        <v>-0.006859806404</v>
      </c>
      <c r="G578" s="7">
        <f t="shared" si="4"/>
        <v>0.002259667962</v>
      </c>
      <c r="H578" s="5">
        <f t="shared" ref="H578:K578" si="578">IF(B578="","",H577*(1+B578))</f>
        <v>171.4123487</v>
      </c>
      <c r="I578" s="5">
        <f t="shared" si="578"/>
        <v>190.4783378</v>
      </c>
      <c r="J578" s="5">
        <f t="shared" si="578"/>
        <v>98.91537326</v>
      </c>
      <c r="K578" s="5">
        <f t="shared" si="578"/>
        <v>141.0353687</v>
      </c>
      <c r="L578" s="7">
        <f t="shared" si="6"/>
        <v>-0.03628383516</v>
      </c>
    </row>
    <row r="579" ht="15.75" customHeight="1">
      <c r="A579" s="4">
        <f>IF(RETORNOS!A579="","",RETORNOS!A579)</f>
        <v>45250</v>
      </c>
      <c r="B579" s="7">
        <f>IF(RETORNOS!B579="","",OPTIMIZACION!$B$5*RETORNOS!B579+OPTIMIZACION!$B$6*RETORNOS!C579+OPTIMIZACION!$B$7*RETORNOS!D579+OPTIMIZACION!$B$8*RETORNOS!E579+OPTIMIZACION!$B$9*RETORNOS!F579+OPTIMIZACION!$B$10*RETORNOS!G579)</f>
        <v>0.03775217124</v>
      </c>
      <c r="C579" s="7">
        <f>IF(RETORNOS!H579="","",RETORNOS!H579)</f>
        <v>0.001415359708</v>
      </c>
      <c r="D579" s="7">
        <f>IF(RETORNOS!I579="","",RETORNOS!I579)</f>
        <v>-0.003047417262</v>
      </c>
      <c r="E579" s="7">
        <f t="shared" si="2"/>
        <v>-0.0008160287774</v>
      </c>
      <c r="F579" s="7">
        <f t="shared" si="3"/>
        <v>0.03633681153</v>
      </c>
      <c r="G579" s="7">
        <f t="shared" si="4"/>
        <v>0.03856820001</v>
      </c>
      <c r="H579" s="5">
        <f t="shared" ref="H579:K579" si="579">IF(B579="","",H578*(1+B579))</f>
        <v>177.8835371</v>
      </c>
      <c r="I579" s="5">
        <f t="shared" si="579"/>
        <v>190.7479332</v>
      </c>
      <c r="J579" s="5">
        <f t="shared" si="579"/>
        <v>98.61393684</v>
      </c>
      <c r="K579" s="5">
        <f t="shared" si="579"/>
        <v>140.9202798</v>
      </c>
      <c r="L579" s="7">
        <f t="shared" si="6"/>
        <v>0</v>
      </c>
    </row>
    <row r="580" ht="15.75" customHeight="1">
      <c r="A580" s="4">
        <f>IF(RETORNOS!A580="","",RETORNOS!A580)</f>
        <v>45251</v>
      </c>
      <c r="B580" s="7">
        <f>IF(RETORNOS!B580="","",OPTIMIZACION!$B$5*RETORNOS!B580+OPTIMIZACION!$B$6*RETORNOS!C580+OPTIMIZACION!$B$7*RETORNOS!D580+OPTIMIZACION!$B$8*RETORNOS!E580+OPTIMIZACION!$B$9*RETORNOS!F580+OPTIMIZACION!$B$10*RETORNOS!G580)</f>
        <v>0.0008338565663</v>
      </c>
      <c r="C580" s="7">
        <f>IF(RETORNOS!H580="","",RETORNOS!H580)</f>
        <v>-0.00223951356</v>
      </c>
      <c r="D580" s="7">
        <f>IF(RETORNOS!I580="","",RETORNOS!I580)</f>
        <v>0.002094172198</v>
      </c>
      <c r="E580" s="7">
        <f t="shared" si="2"/>
        <v>-0.00007267068107</v>
      </c>
      <c r="F580" s="7">
        <f t="shared" si="3"/>
        <v>0.003073370127</v>
      </c>
      <c r="G580" s="7">
        <f t="shared" si="4"/>
        <v>0.0009065272473</v>
      </c>
      <c r="H580" s="5">
        <f t="shared" ref="H580:K580" si="580">IF(B580="","",H579*(1+B580))</f>
        <v>178.0318664</v>
      </c>
      <c r="I580" s="5">
        <f t="shared" si="580"/>
        <v>190.3207506</v>
      </c>
      <c r="J580" s="5">
        <f t="shared" si="580"/>
        <v>98.82045141</v>
      </c>
      <c r="K580" s="5">
        <f t="shared" si="580"/>
        <v>140.9100391</v>
      </c>
      <c r="L580" s="7">
        <f t="shared" si="6"/>
        <v>0</v>
      </c>
    </row>
    <row r="581" ht="15.75" customHeight="1">
      <c r="A581" s="4">
        <f>IF(RETORNOS!A581="","",RETORNOS!A581)</f>
        <v>45252</v>
      </c>
      <c r="B581" s="7">
        <f>IF(RETORNOS!B581="","",OPTIMIZACION!$B$5*RETORNOS!B581+OPTIMIZACION!$B$6*RETORNOS!C581+OPTIMIZACION!$B$7*RETORNOS!D581+OPTIMIZACION!$B$8*RETORNOS!E581+OPTIMIZACION!$B$9*RETORNOS!F581+OPTIMIZACION!$B$10*RETORNOS!G581)</f>
        <v>0.003176486979</v>
      </c>
      <c r="C581" s="7">
        <f>IF(RETORNOS!H581="","",RETORNOS!H581)</f>
        <v>-0.0004687802542</v>
      </c>
      <c r="D581" s="7">
        <f>IF(RETORNOS!I581="","",RETORNOS!I581)</f>
        <v>0.004816514551</v>
      </c>
      <c r="E581" s="7">
        <f t="shared" si="2"/>
        <v>0.002173867148</v>
      </c>
      <c r="F581" s="7">
        <f t="shared" si="3"/>
        <v>0.003645267234</v>
      </c>
      <c r="G581" s="7">
        <f t="shared" si="4"/>
        <v>0.001002619831</v>
      </c>
      <c r="H581" s="5">
        <f t="shared" ref="H581:K581" si="581">IF(B581="","",H580*(1+B581))</f>
        <v>178.5973823</v>
      </c>
      <c r="I581" s="5">
        <f t="shared" si="581"/>
        <v>190.231532</v>
      </c>
      <c r="J581" s="5">
        <f t="shared" si="581"/>
        <v>99.29642155</v>
      </c>
      <c r="K581" s="5">
        <f t="shared" si="581"/>
        <v>141.2163588</v>
      </c>
      <c r="L581" s="7">
        <f t="shared" si="6"/>
        <v>0</v>
      </c>
    </row>
    <row r="582" ht="15.75" customHeight="1">
      <c r="A582" s="4">
        <f>IF(RETORNOS!A582="","",RETORNOS!A582)</f>
        <v>45254</v>
      </c>
      <c r="B582" s="7">
        <f>IF(RETORNOS!B582="","",OPTIMIZACION!$B$5*RETORNOS!B582+OPTIMIZACION!$B$6*RETORNOS!C582+OPTIMIZACION!$B$7*RETORNOS!D582+OPTIMIZACION!$B$8*RETORNOS!E582+OPTIMIZACION!$B$9*RETORNOS!F582+OPTIMIZACION!$B$10*RETORNOS!G582)</f>
        <v>0.01424200116</v>
      </c>
      <c r="C582" s="7">
        <f>IF(RETORNOS!H582="","",RETORNOS!H582)</f>
        <v>0.004139435772</v>
      </c>
      <c r="D582" s="7">
        <f>IF(RETORNOS!I582="","",RETORNOS!I582)</f>
        <v>0.002562890173</v>
      </c>
      <c r="E582" s="7">
        <f t="shared" si="2"/>
        <v>0.003351162973</v>
      </c>
      <c r="F582" s="7">
        <f t="shared" si="3"/>
        <v>0.01010256539</v>
      </c>
      <c r="G582" s="7">
        <f t="shared" si="4"/>
        <v>0.01089083819</v>
      </c>
      <c r="H582" s="5">
        <f t="shared" ref="H582:K582" si="582">IF(B582="","",H581*(1+B582))</f>
        <v>181.1409665</v>
      </c>
      <c r="I582" s="5">
        <f t="shared" si="582"/>
        <v>191.0189832</v>
      </c>
      <c r="J582" s="5">
        <f t="shared" si="582"/>
        <v>99.55090737</v>
      </c>
      <c r="K582" s="5">
        <f t="shared" si="582"/>
        <v>141.6895978</v>
      </c>
      <c r="L582" s="7">
        <f t="shared" si="6"/>
        <v>0</v>
      </c>
    </row>
    <row r="583" ht="15.75" customHeight="1">
      <c r="A583" s="4">
        <f>IF(RETORNOS!A583="","",RETORNOS!A583)</f>
        <v>45257</v>
      </c>
      <c r="B583" s="7">
        <f>IF(RETORNOS!B583="","",OPTIMIZACION!$B$5*RETORNOS!B583+OPTIMIZACION!$B$6*RETORNOS!C583+OPTIMIZACION!$B$7*RETORNOS!D583+OPTIMIZACION!$B$8*RETORNOS!E583+OPTIMIZACION!$B$9*RETORNOS!F583+OPTIMIZACION!$B$10*RETORNOS!G583)</f>
        <v>0.006019360227</v>
      </c>
      <c r="C583" s="7">
        <f>IF(RETORNOS!H583="","",RETORNOS!H583)</f>
        <v>-0.003535999675</v>
      </c>
      <c r="D583" s="7">
        <f>IF(RETORNOS!I583="","",RETORNOS!I583)</f>
        <v>0.001592585251</v>
      </c>
      <c r="E583" s="7">
        <f t="shared" si="2"/>
        <v>-0.000971707212</v>
      </c>
      <c r="F583" s="7">
        <f t="shared" si="3"/>
        <v>0.009555359903</v>
      </c>
      <c r="G583" s="7">
        <f t="shared" si="4"/>
        <v>0.006991067439</v>
      </c>
      <c r="H583" s="5">
        <f t="shared" ref="H583:K583" si="583">IF(B583="","",H582*(1+B583))</f>
        <v>182.2313192</v>
      </c>
      <c r="I583" s="5">
        <f t="shared" si="583"/>
        <v>190.3435401</v>
      </c>
      <c r="J583" s="5">
        <f t="shared" si="583"/>
        <v>99.70945068</v>
      </c>
      <c r="K583" s="5">
        <f t="shared" si="583"/>
        <v>141.551917</v>
      </c>
      <c r="L583" s="7">
        <f t="shared" si="6"/>
        <v>0</v>
      </c>
    </row>
    <row r="584" ht="15.75" customHeight="1">
      <c r="A584" s="4">
        <f>IF(RETORNOS!A584="","",RETORNOS!A584)</f>
        <v>45258</v>
      </c>
      <c r="B584" s="7">
        <f>IF(RETORNOS!B584="","",OPTIMIZACION!$B$5*RETORNOS!B584+OPTIMIZACION!$B$6*RETORNOS!C584+OPTIMIZACION!$B$7*RETORNOS!D584+OPTIMIZACION!$B$8*RETORNOS!E584+OPTIMIZACION!$B$9*RETORNOS!F584+OPTIMIZACION!$B$10*RETORNOS!G584)</f>
        <v>-0.005388622419</v>
      </c>
      <c r="C584" s="7">
        <f>IF(RETORNOS!H584="","",RETORNOS!H584)</f>
        <v>0.0002343620639</v>
      </c>
      <c r="D584" s="7">
        <f>IF(RETORNOS!I584="","",RETORNOS!I584)</f>
        <v>0.003186930174</v>
      </c>
      <c r="E584" s="7">
        <f t="shared" si="2"/>
        <v>0.001710646119</v>
      </c>
      <c r="F584" s="7">
        <f t="shared" si="3"/>
        <v>-0.005622984483</v>
      </c>
      <c r="G584" s="7">
        <f t="shared" si="4"/>
        <v>-0.007099268538</v>
      </c>
      <c r="H584" s="5">
        <f t="shared" ref="H584:K584" si="584">IF(B584="","",H583*(1+B584))</f>
        <v>181.2493434</v>
      </c>
      <c r="I584" s="5">
        <f t="shared" si="584"/>
        <v>190.3881494</v>
      </c>
      <c r="J584" s="5">
        <f t="shared" si="584"/>
        <v>100.0272177</v>
      </c>
      <c r="K584" s="5">
        <f t="shared" si="584"/>
        <v>141.7940622</v>
      </c>
      <c r="L584" s="7">
        <f t="shared" si="6"/>
        <v>-0.005388622419</v>
      </c>
    </row>
    <row r="585" ht="15.75" customHeight="1">
      <c r="A585" s="4">
        <f>IF(RETORNOS!A585="","",RETORNOS!A585)</f>
        <v>45259</v>
      </c>
      <c r="B585" s="7">
        <f>IF(RETORNOS!B585="","",OPTIMIZACION!$B$5*RETORNOS!B585+OPTIMIZACION!$B$6*RETORNOS!C585+OPTIMIZACION!$B$7*RETORNOS!D585+OPTIMIZACION!$B$8*RETORNOS!E585+OPTIMIZACION!$B$9*RETORNOS!F585+OPTIMIZACION!$B$10*RETORNOS!G585)</f>
        <v>-0.00325156898</v>
      </c>
      <c r="C585" s="7">
        <f>IF(RETORNOS!H585="","",RETORNOS!H585)</f>
        <v>-0.007439252051</v>
      </c>
      <c r="D585" s="7">
        <f>IF(RETORNOS!I585="","",RETORNOS!I585)</f>
        <v>-0.007942014789</v>
      </c>
      <c r="E585" s="7">
        <f t="shared" si="2"/>
        <v>-0.00769063342</v>
      </c>
      <c r="F585" s="7">
        <f t="shared" si="3"/>
        <v>0.004187683071</v>
      </c>
      <c r="G585" s="7">
        <f t="shared" si="4"/>
        <v>0.00443906444</v>
      </c>
      <c r="H585" s="5">
        <f t="shared" ref="H585:K585" si="585">IF(B585="","",H584*(1+B585))</f>
        <v>180.6599987</v>
      </c>
      <c r="I585" s="5">
        <f t="shared" si="585"/>
        <v>188.971804</v>
      </c>
      <c r="J585" s="5">
        <f t="shared" si="585"/>
        <v>99.23280009</v>
      </c>
      <c r="K585" s="5">
        <f t="shared" si="585"/>
        <v>140.7035761</v>
      </c>
      <c r="L585" s="7">
        <f t="shared" si="6"/>
        <v>-0.008622669921</v>
      </c>
    </row>
    <row r="586" ht="15.75" customHeight="1">
      <c r="A586" s="4">
        <f>IF(RETORNOS!A586="","",RETORNOS!A586)</f>
        <v>45260</v>
      </c>
      <c r="B586" s="7">
        <f>IF(RETORNOS!B586="","",OPTIMIZACION!$B$5*RETORNOS!B586+OPTIMIZACION!$B$6*RETORNOS!C586+OPTIMIZACION!$B$7*RETORNOS!D586+OPTIMIZACION!$B$8*RETORNOS!E586+OPTIMIZACION!$B$9*RETORNOS!F586+OPTIMIZACION!$B$10*RETORNOS!G586)</f>
        <v>0.005629097331</v>
      </c>
      <c r="C586" s="7">
        <f>IF(RETORNOS!H586="","",RETORNOS!H586)</f>
        <v>0.00666622191</v>
      </c>
      <c r="D586" s="7">
        <f>IF(RETORNOS!I586="","",RETORNOS!I586)</f>
        <v>0.004323364339</v>
      </c>
      <c r="E586" s="7">
        <f t="shared" si="2"/>
        <v>0.005494793124</v>
      </c>
      <c r="F586" s="7">
        <f t="shared" si="3"/>
        <v>-0.001037124579</v>
      </c>
      <c r="G586" s="7">
        <f t="shared" si="4"/>
        <v>0.0001343042066</v>
      </c>
      <c r="H586" s="5">
        <f t="shared" ref="H586:K586" si="586">IF(B586="","",H585*(1+B586))</f>
        <v>181.6769514</v>
      </c>
      <c r="I586" s="5">
        <f t="shared" si="586"/>
        <v>190.231532</v>
      </c>
      <c r="J586" s="5">
        <f t="shared" si="586"/>
        <v>99.66181964</v>
      </c>
      <c r="K586" s="5">
        <f t="shared" si="586"/>
        <v>141.4767131</v>
      </c>
      <c r="L586" s="7">
        <f t="shared" si="6"/>
        <v>-0.003042110439</v>
      </c>
    </row>
    <row r="587" ht="15.75" customHeight="1">
      <c r="A587" s="4">
        <f>IF(RETORNOS!A587="","",RETORNOS!A587)</f>
        <v>45261</v>
      </c>
      <c r="B587" s="7">
        <f>IF(RETORNOS!B587="","",OPTIMIZACION!$B$5*RETORNOS!B587+OPTIMIZACION!$B$6*RETORNOS!C587+OPTIMIZACION!$B$7*RETORNOS!D587+OPTIMIZACION!$B$8*RETORNOS!E587+OPTIMIZACION!$B$9*RETORNOS!F587+OPTIMIZACION!$B$10*RETORNOS!G587)</f>
        <v>0.006078126688</v>
      </c>
      <c r="C587" s="7">
        <f>IF(RETORNOS!H587="","",RETORNOS!H587)</f>
        <v>0.005199783852</v>
      </c>
      <c r="D587" s="7">
        <f>IF(RETORNOS!I587="","",RETORNOS!I587)</f>
        <v>0.01226905903</v>
      </c>
      <c r="E587" s="7">
        <f t="shared" si="2"/>
        <v>0.008734421441</v>
      </c>
      <c r="F587" s="7">
        <f t="shared" si="3"/>
        <v>0.0008783428361</v>
      </c>
      <c r="G587" s="7">
        <f t="shared" si="4"/>
        <v>-0.002656294753</v>
      </c>
      <c r="H587" s="5">
        <f t="shared" ref="H587:K587" si="587">IF(B587="","",H586*(1+B587))</f>
        <v>182.7812069</v>
      </c>
      <c r="I587" s="5">
        <f t="shared" si="587"/>
        <v>191.2206948</v>
      </c>
      <c r="J587" s="5">
        <f t="shared" si="587"/>
        <v>100.8845764</v>
      </c>
      <c r="K587" s="5">
        <f t="shared" si="587"/>
        <v>142.7124304</v>
      </c>
      <c r="L587" s="7">
        <f t="shared" si="6"/>
        <v>0</v>
      </c>
    </row>
    <row r="588" ht="15.75" customHeight="1">
      <c r="A588" s="4">
        <f>IF(RETORNOS!A588="","",RETORNOS!A588)</f>
        <v>45264</v>
      </c>
      <c r="B588" s="7">
        <f>IF(RETORNOS!B588="","",OPTIMIZACION!$B$5*RETORNOS!B588+OPTIMIZACION!$B$6*RETORNOS!C588+OPTIMIZACION!$B$7*RETORNOS!D588+OPTIMIZACION!$B$8*RETORNOS!E588+OPTIMIZACION!$B$9*RETORNOS!F588+OPTIMIZACION!$B$10*RETORNOS!G588)</f>
        <v>-0.003100512147</v>
      </c>
      <c r="C588" s="7">
        <f>IF(RETORNOS!H588="","",RETORNOS!H588)</f>
        <v>-0.0045871327</v>
      </c>
      <c r="D588" s="7">
        <f>IF(RETORNOS!I588="","",RETORNOS!I588)</f>
        <v>-0.003932201561</v>
      </c>
      <c r="E588" s="7">
        <f t="shared" si="2"/>
        <v>-0.00425966713</v>
      </c>
      <c r="F588" s="7">
        <f t="shared" si="3"/>
        <v>0.001486620553</v>
      </c>
      <c r="G588" s="7">
        <f t="shared" si="4"/>
        <v>0.001159154983</v>
      </c>
      <c r="H588" s="5">
        <f t="shared" ref="H588:K588" si="588">IF(B588="","",H587*(1+B588))</f>
        <v>182.2144916</v>
      </c>
      <c r="I588" s="5">
        <f t="shared" si="588"/>
        <v>190.3435401</v>
      </c>
      <c r="J588" s="5">
        <f t="shared" si="588"/>
        <v>100.4878779</v>
      </c>
      <c r="K588" s="5">
        <f t="shared" si="588"/>
        <v>142.1045229</v>
      </c>
      <c r="L588" s="7">
        <f t="shared" si="6"/>
        <v>-0.003100512147</v>
      </c>
    </row>
    <row r="589" ht="15.75" customHeight="1">
      <c r="A589" s="4">
        <f>IF(RETORNOS!A589="","",RETORNOS!A589)</f>
        <v>45265</v>
      </c>
      <c r="B589" s="7">
        <f>IF(RETORNOS!B589="","",OPTIMIZACION!$B$5*RETORNOS!B589+OPTIMIZACION!$B$6*RETORNOS!C589+OPTIMIZACION!$B$7*RETORNOS!D589+OPTIMIZACION!$B$8*RETORNOS!E589+OPTIMIZACION!$B$9*RETORNOS!F589+OPTIMIZACION!$B$10*RETORNOS!G589)</f>
        <v>-0.003951266916</v>
      </c>
      <c r="C589" s="7">
        <f>IF(RETORNOS!H589="","",RETORNOS!H589)</f>
        <v>-0.01748799531</v>
      </c>
      <c r="D589" s="7">
        <f>IF(RETORNOS!I589="","",RETORNOS!I589)</f>
        <v>-0.007113353196</v>
      </c>
      <c r="E589" s="7">
        <f t="shared" si="2"/>
        <v>-0.01230067425</v>
      </c>
      <c r="F589" s="7">
        <f t="shared" si="3"/>
        <v>0.0135367284</v>
      </c>
      <c r="G589" s="7">
        <f t="shared" si="4"/>
        <v>0.008349407338</v>
      </c>
      <c r="H589" s="5">
        <f t="shared" ref="H589:K589" si="589">IF(B589="","",H588*(1+B589))</f>
        <v>181.4945135</v>
      </c>
      <c r="I589" s="5">
        <f t="shared" si="589"/>
        <v>187.0148132</v>
      </c>
      <c r="J589" s="5">
        <f t="shared" si="589"/>
        <v>99.77307213</v>
      </c>
      <c r="K589" s="5">
        <f t="shared" si="589"/>
        <v>140.3565415</v>
      </c>
      <c r="L589" s="7">
        <f t="shared" si="6"/>
        <v>-0.007039528112</v>
      </c>
    </row>
    <row r="590" ht="15.75" customHeight="1">
      <c r="A590" s="4">
        <f>IF(RETORNOS!A590="","",RETORNOS!A590)</f>
        <v>45266</v>
      </c>
      <c r="B590" s="7">
        <f>IF(RETORNOS!B590="","",OPTIMIZACION!$B$5*RETORNOS!B590+OPTIMIZACION!$B$6*RETORNOS!C590+OPTIMIZACION!$B$7*RETORNOS!D590+OPTIMIZACION!$B$8*RETORNOS!E590+OPTIMIZACION!$B$9*RETORNOS!F590+OPTIMIZACION!$B$10*RETORNOS!G590)</f>
        <v>-0.00724992295</v>
      </c>
      <c r="C590" s="7">
        <f>IF(RETORNOS!H590="","",RETORNOS!H590)</f>
        <v>-0.01491353159</v>
      </c>
      <c r="D590" s="7">
        <f>IF(RETORNOS!I590="","",RETORNOS!I590)</f>
        <v>0.01336702369</v>
      </c>
      <c r="E590" s="7">
        <f t="shared" si="2"/>
        <v>-0.0007732539519</v>
      </c>
      <c r="F590" s="7">
        <f t="shared" si="3"/>
        <v>0.007663608643</v>
      </c>
      <c r="G590" s="7">
        <f t="shared" si="4"/>
        <v>-0.006476668998</v>
      </c>
      <c r="H590" s="5">
        <f t="shared" ref="H590:K590" si="590">IF(B590="","",H589*(1+B590))</f>
        <v>180.1786922</v>
      </c>
      <c r="I590" s="5">
        <f t="shared" si="590"/>
        <v>184.2257619</v>
      </c>
      <c r="J590" s="5">
        <f t="shared" si="590"/>
        <v>101.1067412</v>
      </c>
      <c r="K590" s="5">
        <f t="shared" si="590"/>
        <v>140.2480102</v>
      </c>
      <c r="L590" s="7">
        <f t="shared" si="6"/>
        <v>-0.01423841503</v>
      </c>
    </row>
    <row r="591" ht="15.75" customHeight="1">
      <c r="A591" s="4">
        <f>IF(RETORNOS!A591="","",RETORNOS!A591)</f>
        <v>45267</v>
      </c>
      <c r="B591" s="7">
        <f>IF(RETORNOS!B591="","",OPTIMIZACION!$B$5*RETORNOS!B591+OPTIMIZACION!$B$6*RETORNOS!C591+OPTIMIZACION!$B$7*RETORNOS!D591+OPTIMIZACION!$B$8*RETORNOS!E591+OPTIMIZACION!$B$9*RETORNOS!F591+OPTIMIZACION!$B$10*RETORNOS!G591)</f>
        <v>-0.005482370829</v>
      </c>
      <c r="C591" s="7">
        <f>IF(RETORNOS!H591="","",RETORNOS!H591)</f>
        <v>-0.006837957772</v>
      </c>
      <c r="D591" s="7">
        <f>IF(RETORNOS!I591="","",RETORNOS!I591)</f>
        <v>-0.002197328883</v>
      </c>
      <c r="E591" s="7">
        <f t="shared" si="2"/>
        <v>-0.004517643327</v>
      </c>
      <c r="F591" s="7">
        <f t="shared" si="3"/>
        <v>0.001355586943</v>
      </c>
      <c r="G591" s="7">
        <f t="shared" si="4"/>
        <v>-0.0009647275014</v>
      </c>
      <c r="H591" s="5">
        <f t="shared" ref="H591:K591" si="591">IF(B591="","",H590*(1+B591))</f>
        <v>179.1908858</v>
      </c>
      <c r="I591" s="5">
        <f t="shared" si="591"/>
        <v>182.9660339</v>
      </c>
      <c r="J591" s="5">
        <f t="shared" si="591"/>
        <v>100.8845764</v>
      </c>
      <c r="K591" s="5">
        <f t="shared" si="591"/>
        <v>139.6144197</v>
      </c>
      <c r="L591" s="7">
        <f t="shared" si="6"/>
        <v>-0.01964272558</v>
      </c>
    </row>
    <row r="592" ht="15.75" customHeight="1">
      <c r="A592" s="4">
        <f>IF(RETORNOS!A592="","",RETORNOS!A592)</f>
        <v>45268</v>
      </c>
      <c r="B592" s="7">
        <f>IF(RETORNOS!B592="","",OPTIMIZACION!$B$5*RETORNOS!B592+OPTIMIZACION!$B$6*RETORNOS!C592+OPTIMIZACION!$B$7*RETORNOS!D592+OPTIMIZACION!$B$8*RETORNOS!E592+OPTIMIZACION!$B$9*RETORNOS!F592+OPTIMIZACION!$B$10*RETORNOS!G592)</f>
        <v>0.0109606177</v>
      </c>
      <c r="C592" s="7">
        <f>IF(RETORNOS!H592="","",RETORNOS!H592)</f>
        <v>0.01081783007</v>
      </c>
      <c r="D592" s="7">
        <f>IF(RETORNOS!I592="","",RETORNOS!I592)</f>
        <v>-0.001888535913</v>
      </c>
      <c r="E592" s="7">
        <f t="shared" si="2"/>
        <v>0.004464647081</v>
      </c>
      <c r="F592" s="7">
        <f t="shared" si="3"/>
        <v>0.0001427876295</v>
      </c>
      <c r="G592" s="7">
        <f t="shared" si="4"/>
        <v>0.006495970623</v>
      </c>
      <c r="H592" s="5">
        <f t="shared" ref="H592:K592" si="592">IF(B592="","",H591*(1+B592))</f>
        <v>181.1549286</v>
      </c>
      <c r="I592" s="5">
        <f t="shared" si="592"/>
        <v>184.9453294</v>
      </c>
      <c r="J592" s="5">
        <f t="shared" si="592"/>
        <v>100.6940522</v>
      </c>
      <c r="K592" s="5">
        <f t="shared" si="592"/>
        <v>140.2377488</v>
      </c>
      <c r="L592" s="7">
        <f t="shared" si="6"/>
        <v>-0.008897404286</v>
      </c>
    </row>
    <row r="593" ht="15.75" customHeight="1">
      <c r="A593" s="4">
        <f>IF(RETORNOS!A593="","",RETORNOS!A593)</f>
        <v>45271</v>
      </c>
      <c r="B593" s="7">
        <f>IF(RETORNOS!B593="","",OPTIMIZACION!$B$5*RETORNOS!B593+OPTIMIZACION!$B$6*RETORNOS!C593+OPTIMIZACION!$B$7*RETORNOS!D593+OPTIMIZACION!$B$8*RETORNOS!E593+OPTIMIZACION!$B$9*RETORNOS!F593+OPTIMIZACION!$B$10*RETORNOS!G593)</f>
        <v>-0.003407336745</v>
      </c>
      <c r="C593" s="7">
        <f>IF(RETORNOS!H593="","",RETORNOS!H593)</f>
        <v>0.001216500359</v>
      </c>
      <c r="D593" s="7">
        <f>IF(RETORNOS!I593="","",RETORNOS!I593)</f>
        <v>0.006463580276</v>
      </c>
      <c r="E593" s="7">
        <f t="shared" si="2"/>
        <v>0.003840040318</v>
      </c>
      <c r="F593" s="7">
        <f t="shared" si="3"/>
        <v>-0.004623837105</v>
      </c>
      <c r="G593" s="7">
        <f t="shared" si="4"/>
        <v>-0.007247377063</v>
      </c>
      <c r="H593" s="5">
        <f t="shared" ref="H593:K593" si="593">IF(B593="","",H592*(1+B593))</f>
        <v>180.5376728</v>
      </c>
      <c r="I593" s="5">
        <f t="shared" si="593"/>
        <v>185.1703154</v>
      </c>
      <c r="J593" s="5">
        <f t="shared" si="593"/>
        <v>101.3448963</v>
      </c>
      <c r="K593" s="5">
        <f t="shared" si="593"/>
        <v>140.7762674</v>
      </c>
      <c r="L593" s="7">
        <f t="shared" si="6"/>
        <v>-0.01227442458</v>
      </c>
    </row>
    <row r="594" ht="15.75" customHeight="1">
      <c r="A594" s="4">
        <f>IF(RETORNOS!A594="","",RETORNOS!A594)</f>
        <v>45272</v>
      </c>
      <c r="B594" s="7">
        <f>IF(RETORNOS!B594="","",OPTIMIZACION!$B$5*RETORNOS!B594+OPTIMIZACION!$B$6*RETORNOS!C594+OPTIMIZACION!$B$7*RETORNOS!D594+OPTIMIZACION!$B$8*RETORNOS!E594+OPTIMIZACION!$B$9*RETORNOS!F594+OPTIMIZACION!$B$10*RETORNOS!G594)</f>
        <v>-0.00652554639</v>
      </c>
      <c r="C594" s="7">
        <f>IF(RETORNOS!H594="","",RETORNOS!H594)</f>
        <v>-0.01372399093</v>
      </c>
      <c r="D594" s="7">
        <f>IF(RETORNOS!I594="","",RETORNOS!I594)</f>
        <v>-0.004072123245</v>
      </c>
      <c r="E594" s="7">
        <f t="shared" si="2"/>
        <v>-0.008898057087</v>
      </c>
      <c r="F594" s="7">
        <f t="shared" si="3"/>
        <v>0.00719844454</v>
      </c>
      <c r="G594" s="7">
        <f t="shared" si="4"/>
        <v>0.002372510697</v>
      </c>
      <c r="H594" s="5">
        <f t="shared" ref="H594:K594" si="594">IF(B594="","",H593*(1+B594))</f>
        <v>179.3595658</v>
      </c>
      <c r="I594" s="5">
        <f t="shared" si="594"/>
        <v>182.6290397</v>
      </c>
      <c r="J594" s="5">
        <f t="shared" si="594"/>
        <v>100.9322074</v>
      </c>
      <c r="K594" s="5">
        <f t="shared" si="594"/>
        <v>139.5236322</v>
      </c>
      <c r="L594" s="7">
        <f t="shared" si="6"/>
        <v>-0.01871987364</v>
      </c>
    </row>
    <row r="595" ht="15.75" customHeight="1">
      <c r="A595" s="4">
        <f>IF(RETORNOS!A595="","",RETORNOS!A595)</f>
        <v>45273</v>
      </c>
      <c r="B595" s="7">
        <f>IF(RETORNOS!B595="","",OPTIMIZACION!$B$5*RETORNOS!B595+OPTIMIZACION!$B$6*RETORNOS!C595+OPTIMIZACION!$B$7*RETORNOS!D595+OPTIMIZACION!$B$8*RETORNOS!E595+OPTIMIZACION!$B$9*RETORNOS!F595+OPTIMIZACION!$B$10*RETORNOS!G595)</f>
        <v>0.01690703264</v>
      </c>
      <c r="C595" s="7">
        <f>IF(RETORNOS!H595="","",RETORNOS!H595)</f>
        <v>0.01391495971</v>
      </c>
      <c r="D595" s="7">
        <f>IF(RETORNOS!I595="","",RETORNOS!I595)</f>
        <v>0.03776300621</v>
      </c>
      <c r="E595" s="7">
        <f t="shared" si="2"/>
        <v>0.02583898296</v>
      </c>
      <c r="F595" s="7">
        <f t="shared" si="3"/>
        <v>0.002992072926</v>
      </c>
      <c r="G595" s="7">
        <f t="shared" si="4"/>
        <v>-0.008931950323</v>
      </c>
      <c r="H595" s="5">
        <f t="shared" ref="H595:K595" si="595">IF(B595="","",H594*(1+B595))</f>
        <v>182.3920039</v>
      </c>
      <c r="I595" s="5">
        <f t="shared" si="595"/>
        <v>185.1703154</v>
      </c>
      <c r="J595" s="5">
        <f t="shared" si="595"/>
        <v>104.743711</v>
      </c>
      <c r="K595" s="5">
        <f t="shared" si="595"/>
        <v>143.1287809</v>
      </c>
      <c r="L595" s="7">
        <f t="shared" si="6"/>
        <v>-0.002129338519</v>
      </c>
    </row>
    <row r="596" ht="15.75" customHeight="1">
      <c r="A596" s="4">
        <f>IF(RETORNOS!A596="","",RETORNOS!A596)</f>
        <v>45274</v>
      </c>
      <c r="B596" s="7">
        <f>IF(RETORNOS!B596="","",OPTIMIZACION!$B$5*RETORNOS!B596+OPTIMIZACION!$B$6*RETORNOS!C596+OPTIMIZACION!$B$7*RETORNOS!D596+OPTIMIZACION!$B$8*RETORNOS!E596+OPTIMIZACION!$B$9*RETORNOS!F596+OPTIMIZACION!$B$10*RETORNOS!G596)</f>
        <v>-0.0009167095349</v>
      </c>
      <c r="C596" s="7">
        <f>IF(RETORNOS!H596="","",RETORNOS!H596)</f>
        <v>0.02939358866</v>
      </c>
      <c r="D596" s="7">
        <f>IF(RETORNOS!I596="","",RETORNOS!I596)</f>
        <v>-0.01304126106</v>
      </c>
      <c r="E596" s="7">
        <f t="shared" si="2"/>
        <v>0.008176163803</v>
      </c>
      <c r="F596" s="7">
        <f t="shared" si="3"/>
        <v>-0.0303102982</v>
      </c>
      <c r="G596" s="7">
        <f t="shared" si="4"/>
        <v>-0.009092873338</v>
      </c>
      <c r="H596" s="5">
        <f t="shared" ref="H596:K596" si="596">IF(B596="","",H595*(1+B596))</f>
        <v>182.2248034</v>
      </c>
      <c r="I596" s="5">
        <f t="shared" si="596"/>
        <v>190.6131355</v>
      </c>
      <c r="J596" s="5">
        <f t="shared" si="596"/>
        <v>103.3777209</v>
      </c>
      <c r="K596" s="5">
        <f t="shared" si="596"/>
        <v>144.2990253</v>
      </c>
      <c r="L596" s="7">
        <f t="shared" si="6"/>
        <v>-0.003044096069</v>
      </c>
    </row>
    <row r="597" ht="15.75" customHeight="1">
      <c r="A597" s="4">
        <f>IF(RETORNOS!A597="","",RETORNOS!A597)</f>
        <v>45275</v>
      </c>
      <c r="B597" s="7">
        <f>IF(RETORNOS!B597="","",OPTIMIZACION!$B$5*RETORNOS!B597+OPTIMIZACION!$B$6*RETORNOS!C597+OPTIMIZACION!$B$7*RETORNOS!D597+OPTIMIZACION!$B$8*RETORNOS!E597+OPTIMIZACION!$B$9*RETORNOS!F597+OPTIMIZACION!$B$10*RETORNOS!G597)</f>
        <v>-0.005994855868</v>
      </c>
      <c r="C597" s="7">
        <f>IF(RETORNOS!H597="","",RETORNOS!H597)</f>
        <v>-0.00530638929</v>
      </c>
      <c r="D597" s="7">
        <f>IF(RETORNOS!I597="","",RETORNOS!I597)</f>
        <v>-0.01735702015</v>
      </c>
      <c r="E597" s="7">
        <f t="shared" si="2"/>
        <v>-0.01133170472</v>
      </c>
      <c r="F597" s="7">
        <f t="shared" si="3"/>
        <v>-0.0006884665782</v>
      </c>
      <c r="G597" s="7">
        <f t="shared" si="4"/>
        <v>0.005336848851</v>
      </c>
      <c r="H597" s="5">
        <f t="shared" ref="H597:K597" si="597">IF(B597="","",H596*(1+B597))</f>
        <v>181.1323919</v>
      </c>
      <c r="I597" s="5">
        <f t="shared" si="597"/>
        <v>189.601668</v>
      </c>
      <c r="J597" s="5">
        <f t="shared" si="597"/>
        <v>101.5833917</v>
      </c>
      <c r="K597" s="5">
        <f t="shared" si="597"/>
        <v>142.6638713</v>
      </c>
      <c r="L597" s="7">
        <f t="shared" si="6"/>
        <v>-0.009020703019</v>
      </c>
    </row>
    <row r="598" ht="15.75" customHeight="1">
      <c r="A598" s="4">
        <f>IF(RETORNOS!A598="","",RETORNOS!A598)</f>
        <v>45278</v>
      </c>
      <c r="B598" s="7">
        <f>IF(RETORNOS!B598="","",OPTIMIZACION!$B$5*RETORNOS!B598+OPTIMIZACION!$B$6*RETORNOS!C598+OPTIMIZACION!$B$7*RETORNOS!D598+OPTIMIZACION!$B$8*RETORNOS!E598+OPTIMIZACION!$B$9*RETORNOS!F598+OPTIMIZACION!$B$10*RETORNOS!G598)</f>
        <v>0.00720743911</v>
      </c>
      <c r="C598" s="7">
        <f>IF(RETORNOS!H598="","",RETORNOS!H598)</f>
        <v>0.008168275686</v>
      </c>
      <c r="D598" s="7">
        <f>IF(RETORNOS!I598="","",RETORNOS!I598)</f>
        <v>-0.002254002277</v>
      </c>
      <c r="E598" s="7">
        <f t="shared" si="2"/>
        <v>0.002957136704</v>
      </c>
      <c r="F598" s="7">
        <f t="shared" si="3"/>
        <v>-0.0009608365755</v>
      </c>
      <c r="G598" s="7">
        <f t="shared" si="4"/>
        <v>0.004250302406</v>
      </c>
      <c r="H598" s="5">
        <f t="shared" ref="H598:K598" si="598">IF(B598="","",H597*(1+B598))</f>
        <v>182.4378926</v>
      </c>
      <c r="I598" s="5">
        <f t="shared" si="598"/>
        <v>191.1503867</v>
      </c>
      <c r="J598" s="5">
        <f t="shared" si="598"/>
        <v>101.3544225</v>
      </c>
      <c r="K598" s="5">
        <f t="shared" si="598"/>
        <v>143.0857479</v>
      </c>
      <c r="L598" s="7">
        <f t="shared" si="6"/>
        <v>-0.001878280077</v>
      </c>
    </row>
    <row r="599" ht="15.75" customHeight="1">
      <c r="A599" s="4">
        <f>IF(RETORNOS!A599="","",RETORNOS!A599)</f>
        <v>45279</v>
      </c>
      <c r="B599" s="7">
        <f>IF(RETORNOS!B599="","",OPTIMIZACION!$B$5*RETORNOS!B599+OPTIMIZACION!$B$6*RETORNOS!C599+OPTIMIZACION!$B$7*RETORNOS!D599+OPTIMIZACION!$B$8*RETORNOS!E599+OPTIMIZACION!$B$9*RETORNOS!F599+OPTIMIZACION!$B$10*RETORNOS!G599)</f>
        <v>0.004050778955</v>
      </c>
      <c r="C599" s="7">
        <f>IF(RETORNOS!H599="","",RETORNOS!H599)</f>
        <v>0.01199840698</v>
      </c>
      <c r="D599" s="7">
        <f>IF(RETORNOS!I599="","",RETORNOS!I599)</f>
        <v>0.005696408611</v>
      </c>
      <c r="E599" s="7">
        <f t="shared" si="2"/>
        <v>0.008847407794</v>
      </c>
      <c r="F599" s="7">
        <f t="shared" si="3"/>
        <v>-0.007947628022</v>
      </c>
      <c r="G599" s="7">
        <f t="shared" si="4"/>
        <v>-0.004796628839</v>
      </c>
      <c r="H599" s="5">
        <f t="shared" ref="H599:K599" si="599">IF(B599="","",H598*(1+B599))</f>
        <v>183.1769082</v>
      </c>
      <c r="I599" s="5">
        <f t="shared" si="599"/>
        <v>193.4438868</v>
      </c>
      <c r="J599" s="5">
        <f t="shared" si="599"/>
        <v>101.9317787</v>
      </c>
      <c r="K599" s="5">
        <f t="shared" si="599"/>
        <v>144.3516859</v>
      </c>
      <c r="L599" s="7">
        <f t="shared" si="6"/>
        <v>0</v>
      </c>
    </row>
    <row r="600" ht="15.75" customHeight="1">
      <c r="A600" s="4">
        <f>IF(RETORNOS!A600="","",RETORNOS!A600)</f>
        <v>45280</v>
      </c>
      <c r="B600" s="7">
        <f>IF(RETORNOS!B600="","",OPTIMIZACION!$B$5*RETORNOS!B600+OPTIMIZACION!$B$6*RETORNOS!C600+OPTIMIZACION!$B$7*RETORNOS!D600+OPTIMIZACION!$B$8*RETORNOS!E600+OPTIMIZACION!$B$9*RETORNOS!F600+OPTIMIZACION!$B$10*RETORNOS!G600)</f>
        <v>-0.01182553497</v>
      </c>
      <c r="C600" s="7">
        <f>IF(RETORNOS!H600="","",RETORNOS!H600)</f>
        <v>-0.009274368403</v>
      </c>
      <c r="D600" s="7">
        <f>IF(RETORNOS!I600="","",RETORNOS!I600)</f>
        <v>-0.02028677855</v>
      </c>
      <c r="E600" s="7">
        <f t="shared" si="2"/>
        <v>-0.01478057348</v>
      </c>
      <c r="F600" s="7">
        <f t="shared" si="3"/>
        <v>-0.002551166567</v>
      </c>
      <c r="G600" s="7">
        <f t="shared" si="4"/>
        <v>0.002955038505</v>
      </c>
      <c r="H600" s="5">
        <f t="shared" ref="H600:K600" si="600">IF(B600="","",H599*(1+B600))</f>
        <v>181.0107433</v>
      </c>
      <c r="I600" s="5">
        <f t="shared" si="600"/>
        <v>191.649817</v>
      </c>
      <c r="J600" s="5">
        <f t="shared" si="600"/>
        <v>99.86391132</v>
      </c>
      <c r="K600" s="5">
        <f t="shared" si="600"/>
        <v>142.2180852</v>
      </c>
      <c r="L600" s="7">
        <f t="shared" si="6"/>
        <v>-0.01182553497</v>
      </c>
    </row>
    <row r="601" ht="15.75" customHeight="1">
      <c r="A601" s="4">
        <f>IF(RETORNOS!A601="","",RETORNOS!A601)</f>
        <v>45281</v>
      </c>
      <c r="B601" s="7">
        <f>IF(RETORNOS!B601="","",OPTIMIZACION!$B$5*RETORNOS!B601+OPTIMIZACION!$B$6*RETORNOS!C601+OPTIMIZACION!$B$7*RETORNOS!D601+OPTIMIZACION!$B$8*RETORNOS!E601+OPTIMIZACION!$B$9*RETORNOS!F601+OPTIMIZACION!$B$10*RETORNOS!G601)</f>
        <v>0.003342005827</v>
      </c>
      <c r="C601" s="7">
        <f>IF(RETORNOS!H601="","",RETORNOS!H601)</f>
        <v>0.003908928296</v>
      </c>
      <c r="D601" s="7">
        <f>IF(RETORNOS!I601="","",RETORNOS!I601)</f>
        <v>0.001764749971</v>
      </c>
      <c r="E601" s="7">
        <f t="shared" si="2"/>
        <v>0.002836839133</v>
      </c>
      <c r="F601" s="7">
        <f t="shared" si="3"/>
        <v>-0.0005669224685</v>
      </c>
      <c r="G601" s="7">
        <f t="shared" si="4"/>
        <v>0.0005051666939</v>
      </c>
      <c r="H601" s="5">
        <f t="shared" ref="H601:K601" si="601">IF(B601="","",H600*(1+B601))</f>
        <v>181.6156822</v>
      </c>
      <c r="I601" s="5">
        <f t="shared" si="601"/>
        <v>192.3989623</v>
      </c>
      <c r="J601" s="5">
        <f t="shared" si="601"/>
        <v>100.0401462</v>
      </c>
      <c r="K601" s="5">
        <f t="shared" si="601"/>
        <v>142.621535</v>
      </c>
      <c r="L601" s="7">
        <f t="shared" si="6"/>
        <v>-0.008523050149</v>
      </c>
    </row>
    <row r="602" ht="15.75" customHeight="1">
      <c r="A602" s="4">
        <f>IF(RETORNOS!A602="","",RETORNOS!A602)</f>
        <v>45282</v>
      </c>
      <c r="B602" s="7">
        <f>IF(RETORNOS!B602="","",OPTIMIZACION!$B$5*RETORNOS!B602+OPTIMIZACION!$B$6*RETORNOS!C602+OPTIMIZACION!$B$7*RETORNOS!D602+OPTIMIZACION!$B$8*RETORNOS!E602+OPTIMIZACION!$B$9*RETORNOS!F602+OPTIMIZACION!$B$10*RETORNOS!G602)</f>
        <v>0.001994572128</v>
      </c>
      <c r="C602" s="7">
        <f>IF(RETORNOS!H602="","",RETORNOS!H602)</f>
        <v>0.002951153495</v>
      </c>
      <c r="D602" s="7">
        <f>IF(RETORNOS!I602="","",RETORNOS!I602)</f>
        <v>0.003363442206</v>
      </c>
      <c r="E602" s="7">
        <f t="shared" si="2"/>
        <v>0.003157297851</v>
      </c>
      <c r="F602" s="7">
        <f t="shared" si="3"/>
        <v>-0.0009565813672</v>
      </c>
      <c r="G602" s="7">
        <f t="shared" si="4"/>
        <v>-0.001162725723</v>
      </c>
      <c r="H602" s="5">
        <f t="shared" ref="H602:K602" si="602">IF(B602="","",H601*(1+B602))</f>
        <v>181.9779278</v>
      </c>
      <c r="I602" s="5">
        <f t="shared" si="602"/>
        <v>192.9667612</v>
      </c>
      <c r="J602" s="5">
        <f t="shared" si="602"/>
        <v>100.3766254</v>
      </c>
      <c r="K602" s="5">
        <f t="shared" si="602"/>
        <v>143.0718337</v>
      </c>
      <c r="L602" s="7">
        <f t="shared" si="6"/>
        <v>-0.00654547786</v>
      </c>
    </row>
    <row r="603" ht="15.75" customHeight="1">
      <c r="A603" s="4">
        <f>IF(RETORNOS!A603="","",RETORNOS!A603)</f>
        <v>45286</v>
      </c>
      <c r="B603" s="7">
        <f>IF(RETORNOS!B603="","",OPTIMIZACION!$B$5*RETORNOS!B603+OPTIMIZACION!$B$6*RETORNOS!C603+OPTIMIZACION!$B$7*RETORNOS!D603+OPTIMIZACION!$B$8*RETORNOS!E603+OPTIMIZACION!$B$9*RETORNOS!F603+OPTIMIZACION!$B$10*RETORNOS!G603)</f>
        <v>0.001446296445</v>
      </c>
      <c r="C603" s="7">
        <f>IF(RETORNOS!H603="","",RETORNOS!H603)</f>
        <v>0.00859120777</v>
      </c>
      <c r="D603" s="7">
        <f>IF(RETORNOS!I603="","",RETORNOS!I603)</f>
        <v>0.006067117916</v>
      </c>
      <c r="E603" s="7">
        <f t="shared" si="2"/>
        <v>0.007329162843</v>
      </c>
      <c r="F603" s="7">
        <f t="shared" si="3"/>
        <v>-0.007144911324</v>
      </c>
      <c r="G603" s="7">
        <f t="shared" si="4"/>
        <v>-0.005882866397</v>
      </c>
      <c r="H603" s="5">
        <f t="shared" ref="H603:K603" si="603">IF(B603="","",H602*(1+B603))</f>
        <v>182.2411218</v>
      </c>
      <c r="I603" s="5">
        <f t="shared" si="603"/>
        <v>194.6245788</v>
      </c>
      <c r="J603" s="5">
        <f t="shared" si="603"/>
        <v>100.9856222</v>
      </c>
      <c r="K603" s="5">
        <f t="shared" si="603"/>
        <v>144.1204304</v>
      </c>
      <c r="L603" s="7">
        <f t="shared" si="6"/>
        <v>-0.005108648116</v>
      </c>
    </row>
    <row r="604" ht="15.75" customHeight="1">
      <c r="A604" s="4">
        <f>IF(RETORNOS!A604="","",RETORNOS!A604)</f>
        <v>45287</v>
      </c>
      <c r="B604" s="7">
        <f>IF(RETORNOS!B604="","",OPTIMIZACION!$B$5*RETORNOS!B604+OPTIMIZACION!$B$6*RETORNOS!C604+OPTIMIZACION!$B$7*RETORNOS!D604+OPTIMIZACION!$B$8*RETORNOS!E604+OPTIMIZACION!$B$9*RETORNOS!F604+OPTIMIZACION!$B$10*RETORNOS!G604)</f>
        <v>-0.002422768984</v>
      </c>
      <c r="C604" s="7">
        <f>IF(RETORNOS!H604="","",RETORNOS!H604)</f>
        <v>-0.00443714747</v>
      </c>
      <c r="D604" s="7">
        <f>IF(RETORNOS!I604="","",RETORNOS!I604)</f>
        <v>-0.0006333740984</v>
      </c>
      <c r="E604" s="7">
        <f t="shared" si="2"/>
        <v>-0.002535260784</v>
      </c>
      <c r="F604" s="7">
        <f t="shared" si="3"/>
        <v>0.002014378486</v>
      </c>
      <c r="G604" s="7">
        <f t="shared" si="4"/>
        <v>0.0001124918006</v>
      </c>
      <c r="H604" s="5">
        <f t="shared" ref="H604:K604" si="604">IF(B604="","",H603*(1+B604))</f>
        <v>181.7995937</v>
      </c>
      <c r="I604" s="5">
        <f t="shared" si="604"/>
        <v>193.7610008</v>
      </c>
      <c r="J604" s="5">
        <f t="shared" si="604"/>
        <v>100.9216606</v>
      </c>
      <c r="K604" s="5">
        <f t="shared" si="604"/>
        <v>143.7550476</v>
      </c>
      <c r="L604" s="7">
        <f t="shared" si="6"/>
        <v>-0.007519040025</v>
      </c>
    </row>
    <row r="605" ht="15.75" customHeight="1">
      <c r="A605" s="4">
        <f>IF(RETORNOS!A605="","",RETORNOS!A605)</f>
        <v>45288</v>
      </c>
      <c r="B605" s="7">
        <f>IF(RETORNOS!B605="","",OPTIMIZACION!$B$5*RETORNOS!B605+OPTIMIZACION!$B$6*RETORNOS!C605+OPTIMIZACION!$B$7*RETORNOS!D605+OPTIMIZACION!$B$8*RETORNOS!E605+OPTIMIZACION!$B$9*RETORNOS!F605+OPTIMIZACION!$B$10*RETORNOS!G605)</f>
        <v>-0.001701334127</v>
      </c>
      <c r="C605" s="7">
        <f>IF(RETORNOS!H605="","",RETORNOS!H605)</f>
        <v>-0.01523261837</v>
      </c>
      <c r="D605" s="7">
        <f>IF(RETORNOS!I605="","",RETORNOS!I605)</f>
        <v>0.007143459133</v>
      </c>
      <c r="E605" s="7">
        <f t="shared" si="2"/>
        <v>-0.00404457962</v>
      </c>
      <c r="F605" s="7">
        <f t="shared" si="3"/>
        <v>0.01353128425</v>
      </c>
      <c r="G605" s="7">
        <f t="shared" si="4"/>
        <v>0.002343245494</v>
      </c>
      <c r="H605" s="5">
        <f t="shared" ref="H605:K605" si="605">IF(B605="","",H604*(1+B605))</f>
        <v>181.4902918</v>
      </c>
      <c r="I605" s="5">
        <f t="shared" si="605"/>
        <v>190.8095134</v>
      </c>
      <c r="J605" s="5">
        <f t="shared" si="605"/>
        <v>101.6425903</v>
      </c>
      <c r="K605" s="5">
        <f t="shared" si="605"/>
        <v>143.1736188</v>
      </c>
      <c r="L605" s="7">
        <f t="shared" si="6"/>
        <v>-0.009207581752</v>
      </c>
    </row>
    <row r="606" ht="15.75" customHeight="1">
      <c r="A606" s="4">
        <f>IF(RETORNOS!A606="","",RETORNOS!A606)</f>
        <v>45289</v>
      </c>
      <c r="B606" s="7">
        <f>IF(RETORNOS!B606="","",OPTIMIZACION!$B$5*RETORNOS!B606+OPTIMIZACION!$B$6*RETORNOS!C606+OPTIMIZACION!$B$7*RETORNOS!D606+OPTIMIZACION!$B$8*RETORNOS!E606+OPTIMIZACION!$B$9*RETORNOS!F606+OPTIMIZACION!$B$10*RETORNOS!G606)</f>
        <v>-0.0009246301315</v>
      </c>
      <c r="C606" s="7">
        <f>IF(RETORNOS!H606="","",RETORNOS!H606)</f>
        <v>-0.002261661533</v>
      </c>
      <c r="D606" s="7">
        <f>IF(RETORNOS!I606="","",RETORNOS!I606)</f>
        <v>-0.00126190779</v>
      </c>
      <c r="E606" s="7">
        <f t="shared" si="2"/>
        <v>-0.001761784662</v>
      </c>
      <c r="F606" s="7">
        <f t="shared" si="3"/>
        <v>0.001337031402</v>
      </c>
      <c r="G606" s="7">
        <f t="shared" si="4"/>
        <v>0.0008371545304</v>
      </c>
      <c r="H606" s="5">
        <f t="shared" ref="H606:K606" si="606">IF(B606="","",H605*(1+B606))</f>
        <v>181.3224805</v>
      </c>
      <c r="I606" s="5">
        <f t="shared" si="606"/>
        <v>190.3779669</v>
      </c>
      <c r="J606" s="5">
        <f t="shared" si="606"/>
        <v>101.5143267</v>
      </c>
      <c r="K606" s="5">
        <f t="shared" si="606"/>
        <v>142.9213777</v>
      </c>
      <c r="L606" s="7">
        <f t="shared" si="6"/>
        <v>-0.01012369828</v>
      </c>
    </row>
    <row r="607" ht="15.75" customHeight="1">
      <c r="A607" s="4">
        <f>IF(RETORNOS!A607="","",RETORNOS!A607)</f>
        <v>45293</v>
      </c>
      <c r="B607" s="7">
        <f>IF(RETORNOS!B607="","",OPTIMIZACION!$B$5*RETORNOS!B607+OPTIMIZACION!$B$6*RETORNOS!C607+OPTIMIZACION!$B$7*RETORNOS!D607+OPTIMIZACION!$B$8*RETORNOS!E607+OPTIMIZACION!$B$9*RETORNOS!F607+OPTIMIZACION!$B$10*RETORNOS!G607)</f>
        <v>0.006652857827</v>
      </c>
      <c r="C607" s="7">
        <f>IF(RETORNOS!H607="","",RETORNOS!H607)</f>
        <v>0.01073540723</v>
      </c>
      <c r="D607" s="7">
        <f>IF(RETORNOS!I607="","",RETORNOS!I607)</f>
        <v>0.01453195119</v>
      </c>
      <c r="E607" s="7">
        <f t="shared" si="2"/>
        <v>0.01263367921</v>
      </c>
      <c r="F607" s="7">
        <f t="shared" si="3"/>
        <v>-0.004082549405</v>
      </c>
      <c r="G607" s="7">
        <f t="shared" si="4"/>
        <v>-0.005980821383</v>
      </c>
      <c r="H607" s="5">
        <f t="shared" ref="H607:K607" si="607">IF(B607="","",H606*(1+B607))</f>
        <v>182.5287931</v>
      </c>
      <c r="I607" s="5">
        <f t="shared" si="607"/>
        <v>192.4217519</v>
      </c>
      <c r="J607" s="5">
        <f t="shared" si="607"/>
        <v>102.989528</v>
      </c>
      <c r="K607" s="5">
        <f t="shared" si="607"/>
        <v>144.7270006</v>
      </c>
      <c r="L607" s="7">
        <f t="shared" si="6"/>
        <v>-0.003538191974</v>
      </c>
    </row>
    <row r="608" ht="15.75" customHeight="1">
      <c r="A608" s="4">
        <f>IF(RETORNOS!A608="","",RETORNOS!A608)</f>
        <v>45294</v>
      </c>
      <c r="B608" s="7">
        <f>IF(RETORNOS!B608="","",OPTIMIZACION!$B$5*RETORNOS!B608+OPTIMIZACION!$B$6*RETORNOS!C608+OPTIMIZACION!$B$7*RETORNOS!D608+OPTIMIZACION!$B$8*RETORNOS!E608+OPTIMIZACION!$B$9*RETORNOS!F608+OPTIMIZACION!$B$10*RETORNOS!G608)</f>
        <v>0.01082782091</v>
      </c>
      <c r="C608" s="7">
        <f>IF(RETORNOS!H608="","",RETORNOS!H608)</f>
        <v>0.01628611963</v>
      </c>
      <c r="D608" s="7">
        <f>IF(RETORNOS!I608="","",RETORNOS!I608)</f>
        <v>0.003732908729</v>
      </c>
      <c r="E608" s="7">
        <f t="shared" si="2"/>
        <v>0.01000951418</v>
      </c>
      <c r="F608" s="7">
        <f t="shared" si="3"/>
        <v>-0.005458298718</v>
      </c>
      <c r="G608" s="7">
        <f t="shared" si="4"/>
        <v>0.0008183067325</v>
      </c>
      <c r="H608" s="5">
        <f t="shared" ref="H608:K608" si="608">IF(B608="","",H607*(1+B608))</f>
        <v>184.5051822</v>
      </c>
      <c r="I608" s="5">
        <f t="shared" si="608"/>
        <v>195.5555556</v>
      </c>
      <c r="J608" s="5">
        <f t="shared" si="608"/>
        <v>103.3739785</v>
      </c>
      <c r="K608" s="5">
        <f t="shared" si="608"/>
        <v>146.1756475</v>
      </c>
      <c r="L608" s="7">
        <f t="shared" si="6"/>
        <v>0</v>
      </c>
    </row>
    <row r="609" ht="15.75" customHeight="1">
      <c r="A609" s="4">
        <f>IF(RETORNOS!A609="","",RETORNOS!A609)</f>
        <v>45295</v>
      </c>
      <c r="B609" s="7">
        <f>IF(RETORNOS!B609="","",OPTIMIZACION!$B$5*RETORNOS!B609+OPTIMIZACION!$B$6*RETORNOS!C609+OPTIMIZACION!$B$7*RETORNOS!D609+OPTIMIZACION!$B$8*RETORNOS!E609+OPTIMIZACION!$B$9*RETORNOS!F609+OPTIMIZACION!$B$10*RETORNOS!G609)</f>
        <v>-0.00876475228</v>
      </c>
      <c r="C609" s="7">
        <f>IF(RETORNOS!H609="","",RETORNOS!H609)</f>
        <v>-0.01753515958</v>
      </c>
      <c r="D609" s="7">
        <f>IF(RETORNOS!I609="","",RETORNOS!I609)</f>
        <v>-0.003100285345</v>
      </c>
      <c r="E609" s="7">
        <f t="shared" si="2"/>
        <v>-0.01031772246</v>
      </c>
      <c r="F609" s="7">
        <f t="shared" si="3"/>
        <v>0.008770407301</v>
      </c>
      <c r="G609" s="7">
        <f t="shared" si="4"/>
        <v>0.001552970183</v>
      </c>
      <c r="H609" s="5">
        <f t="shared" ref="H609:K609" si="609">IF(B609="","",H608*(1+B609))</f>
        <v>182.88804</v>
      </c>
      <c r="I609" s="5">
        <f t="shared" si="609"/>
        <v>192.1264577</v>
      </c>
      <c r="J609" s="5">
        <f t="shared" si="609"/>
        <v>103.0534897</v>
      </c>
      <c r="K609" s="5">
        <f t="shared" si="609"/>
        <v>144.6674478</v>
      </c>
      <c r="L609" s="7">
        <f t="shared" si="6"/>
        <v>-0.00876475228</v>
      </c>
    </row>
    <row r="610" ht="15.75" customHeight="1">
      <c r="A610" s="4">
        <f>IF(RETORNOS!A610="","",RETORNOS!A610)</f>
        <v>45296</v>
      </c>
      <c r="B610" s="7">
        <f>IF(RETORNOS!B610="","",OPTIMIZACION!$B$5*RETORNOS!B610+OPTIMIZACION!$B$6*RETORNOS!C610+OPTIMIZACION!$B$7*RETORNOS!D610+OPTIMIZACION!$B$8*RETORNOS!E610+OPTIMIZACION!$B$9*RETORNOS!F610+OPTIMIZACION!$B$10*RETORNOS!G610)</f>
        <v>0.002453987817</v>
      </c>
      <c r="C610" s="7">
        <f>IF(RETORNOS!H610="","",RETORNOS!H610)</f>
        <v>0.0008252740819</v>
      </c>
      <c r="D610" s="7">
        <f>IF(RETORNOS!I610="","",RETORNOS!I610)</f>
        <v>0.003737194661</v>
      </c>
      <c r="E610" s="7">
        <f t="shared" si="2"/>
        <v>0.002281234371</v>
      </c>
      <c r="F610" s="7">
        <f t="shared" si="3"/>
        <v>0.001628713735</v>
      </c>
      <c r="G610" s="7">
        <f t="shared" si="4"/>
        <v>0.0001727534451</v>
      </c>
      <c r="H610" s="5">
        <f t="shared" ref="H610:K610" si="610">IF(B610="","",H609*(1+B610))</f>
        <v>183.336845</v>
      </c>
      <c r="I610" s="5">
        <f t="shared" si="610"/>
        <v>192.2850147</v>
      </c>
      <c r="J610" s="5">
        <f t="shared" si="610"/>
        <v>103.4386206</v>
      </c>
      <c r="K610" s="5">
        <f t="shared" si="610"/>
        <v>144.9974681</v>
      </c>
      <c r="L610" s="7">
        <f t="shared" si="6"/>
        <v>-0.006332273059</v>
      </c>
    </row>
    <row r="611" ht="15.75" customHeight="1">
      <c r="A611" s="4">
        <f>IF(RETORNOS!A611="","",RETORNOS!A611)</f>
        <v>45299</v>
      </c>
      <c r="B611" s="7">
        <f>IF(RETORNOS!B611="","",OPTIMIZACION!$B$5*RETORNOS!B611+OPTIMIZACION!$B$6*RETORNOS!C611+OPTIMIZACION!$B$7*RETORNOS!D611+OPTIMIZACION!$B$8*RETORNOS!E611+OPTIMIZACION!$B$9*RETORNOS!F611+OPTIMIZACION!$B$10*RETORNOS!G611)</f>
        <v>0.001556618598</v>
      </c>
      <c r="C611" s="7">
        <f>IF(RETORNOS!H611="","",RETORNOS!H611)</f>
        <v>-0.01156700516</v>
      </c>
      <c r="D611" s="7">
        <f>IF(RETORNOS!I611="","",RETORNOS!I611)</f>
        <v>0.007282104245</v>
      </c>
      <c r="E611" s="7">
        <f t="shared" si="2"/>
        <v>-0.002142450458</v>
      </c>
      <c r="F611" s="7">
        <f t="shared" si="3"/>
        <v>0.01312362376</v>
      </c>
      <c r="G611" s="7">
        <f t="shared" si="4"/>
        <v>0.003699069057</v>
      </c>
      <c r="H611" s="5">
        <f t="shared" ref="H611:K611" si="611">IF(B611="","",H610*(1+B611))</f>
        <v>183.6222306</v>
      </c>
      <c r="I611" s="5">
        <f t="shared" si="611"/>
        <v>190.0608529</v>
      </c>
      <c r="J611" s="5">
        <f t="shared" si="611"/>
        <v>104.1918714</v>
      </c>
      <c r="K611" s="5">
        <f t="shared" si="611"/>
        <v>144.6868182</v>
      </c>
      <c r="L611" s="7">
        <f t="shared" si="6"/>
        <v>-0.004785511395</v>
      </c>
    </row>
    <row r="612" ht="15.75" customHeight="1">
      <c r="A612" s="4">
        <f>IF(RETORNOS!A612="","",RETORNOS!A612)</f>
        <v>45300</v>
      </c>
      <c r="B612" s="7">
        <f>IF(RETORNOS!B612="","",OPTIMIZACION!$B$5*RETORNOS!B612+OPTIMIZACION!$B$6*RETORNOS!C612+OPTIMIZACION!$B$7*RETORNOS!D612+OPTIMIZACION!$B$8*RETORNOS!E612+OPTIMIZACION!$B$9*RETORNOS!F612+OPTIMIZACION!$B$10*RETORNOS!G612)</f>
        <v>-0.008042180039</v>
      </c>
      <c r="C612" s="7">
        <f>IF(RETORNOS!H612="","",RETORNOS!H612)</f>
        <v>-0.01601134775</v>
      </c>
      <c r="D612" s="7">
        <f>IF(RETORNOS!I612="","",RETORNOS!I612)</f>
        <v>-0.008156814597</v>
      </c>
      <c r="E612" s="7">
        <f t="shared" si="2"/>
        <v>-0.01208408117</v>
      </c>
      <c r="F612" s="7">
        <f t="shared" si="3"/>
        <v>0.00796916771</v>
      </c>
      <c r="G612" s="7">
        <f t="shared" si="4"/>
        <v>0.004041901134</v>
      </c>
      <c r="H612" s="5">
        <f t="shared" ref="H612:K612" si="612">IF(B612="","",H611*(1+B612))</f>
        <v>182.1455075</v>
      </c>
      <c r="I612" s="5">
        <f t="shared" si="612"/>
        <v>187.0177225</v>
      </c>
      <c r="J612" s="5">
        <f t="shared" si="612"/>
        <v>103.3419976</v>
      </c>
      <c r="K612" s="5">
        <f t="shared" si="612"/>
        <v>142.938411</v>
      </c>
      <c r="L612" s="7">
        <f t="shared" si="6"/>
        <v>-0.01278920549</v>
      </c>
    </row>
    <row r="613" ht="15.75" customHeight="1">
      <c r="A613" s="4">
        <f>IF(RETORNOS!A613="","",RETORNOS!A613)</f>
        <v>45301</v>
      </c>
      <c r="B613" s="7">
        <f>IF(RETORNOS!B613="","",OPTIMIZACION!$B$5*RETORNOS!B613+OPTIMIZACION!$B$6*RETORNOS!C613+OPTIMIZACION!$B$7*RETORNOS!D613+OPTIMIZACION!$B$8*RETORNOS!E613+OPTIMIZACION!$B$9*RETORNOS!F613+OPTIMIZACION!$B$10*RETORNOS!G613)</f>
        <v>-0.006808390486</v>
      </c>
      <c r="C613" s="7">
        <f>IF(RETORNOS!H613="","",RETORNOS!H613)</f>
        <v>-0.009836762632</v>
      </c>
      <c r="D613" s="7">
        <f>IF(RETORNOS!I613="","",RETORNOS!I613)</f>
        <v>-0.0001547330197</v>
      </c>
      <c r="E613" s="7">
        <f t="shared" si="2"/>
        <v>-0.004995747826</v>
      </c>
      <c r="F613" s="7">
        <f t="shared" si="3"/>
        <v>0.003028372146</v>
      </c>
      <c r="G613" s="7">
        <f t="shared" si="4"/>
        <v>-0.00181264266</v>
      </c>
      <c r="H613" s="5">
        <f t="shared" ref="H613:K613" si="613">IF(B613="","",H612*(1+B613))</f>
        <v>180.9053898</v>
      </c>
      <c r="I613" s="5">
        <f t="shared" si="613"/>
        <v>185.1780736</v>
      </c>
      <c r="J613" s="5">
        <f t="shared" si="613"/>
        <v>103.3260072</v>
      </c>
      <c r="K613" s="5">
        <f t="shared" si="613"/>
        <v>142.2243267</v>
      </c>
      <c r="L613" s="7">
        <f t="shared" si="6"/>
        <v>-0.01951052207</v>
      </c>
    </row>
    <row r="614" ht="15.75" customHeight="1">
      <c r="A614" s="4">
        <f>IF(RETORNOS!A614="","",RETORNOS!A614)</f>
        <v>45302</v>
      </c>
      <c r="B614" s="7">
        <f>IF(RETORNOS!B614="","",OPTIMIZACION!$B$5*RETORNOS!B614+OPTIMIZACION!$B$6*RETORNOS!C614+OPTIMIZACION!$B$7*RETORNOS!D614+OPTIMIZACION!$B$8*RETORNOS!E614+OPTIMIZACION!$B$9*RETORNOS!F614+OPTIMIZACION!$B$10*RETORNOS!G614)</f>
        <v>-0.004273502249</v>
      </c>
      <c r="C614" s="7">
        <f>IF(RETORNOS!H614="","",RETORNOS!H614)</f>
        <v>0.002576577237</v>
      </c>
      <c r="D614" s="7">
        <f>IF(RETORNOS!I614="","",RETORNOS!I614)</f>
        <v>-0.02326952078</v>
      </c>
      <c r="E614" s="7">
        <f t="shared" si="2"/>
        <v>-0.01034647177</v>
      </c>
      <c r="F614" s="7">
        <f t="shared" si="3"/>
        <v>-0.006850079486</v>
      </c>
      <c r="G614" s="7">
        <f t="shared" si="4"/>
        <v>0.006072969523</v>
      </c>
      <c r="H614" s="5">
        <f t="shared" ref="H614:K614" si="614">IF(B614="","",H613*(1+B614))</f>
        <v>180.1322902</v>
      </c>
      <c r="I614" s="5">
        <f t="shared" si="614"/>
        <v>185.6551992</v>
      </c>
      <c r="J614" s="5">
        <f t="shared" si="614"/>
        <v>100.9216606</v>
      </c>
      <c r="K614" s="5">
        <f t="shared" si="614"/>
        <v>140.7528067</v>
      </c>
      <c r="L614" s="7">
        <f t="shared" si="6"/>
        <v>-0.02370064606</v>
      </c>
    </row>
    <row r="615" ht="15.75" customHeight="1">
      <c r="A615" s="4">
        <f>IF(RETORNOS!A615="","",RETORNOS!A615)</f>
        <v>45303</v>
      </c>
      <c r="B615" s="7">
        <f>IF(RETORNOS!B615="","",OPTIMIZACION!$B$5*RETORNOS!B615+OPTIMIZACION!$B$6*RETORNOS!C615+OPTIMIZACION!$B$7*RETORNOS!D615+OPTIMIZACION!$B$8*RETORNOS!E615+OPTIMIZACION!$B$9*RETORNOS!F615+OPTIMIZACION!$B$10*RETORNOS!G615)</f>
        <v>0.006760423178</v>
      </c>
      <c r="C615" s="7">
        <f>IF(RETORNOS!H615="","",RETORNOS!H615)</f>
        <v>0.01125139075</v>
      </c>
      <c r="D615" s="7">
        <f>IF(RETORNOS!I615="","",RETORNOS!I615)</f>
        <v>0.005717464224</v>
      </c>
      <c r="E615" s="7">
        <f t="shared" si="2"/>
        <v>0.008484427489</v>
      </c>
      <c r="F615" s="7">
        <f t="shared" si="3"/>
        <v>-0.004490967575</v>
      </c>
      <c r="G615" s="7">
        <f t="shared" si="4"/>
        <v>-0.001724004311</v>
      </c>
      <c r="H615" s="5">
        <f t="shared" ref="H615:K615" si="615">IF(B615="","",H614*(1+B615))</f>
        <v>181.3500607</v>
      </c>
      <c r="I615" s="5">
        <f t="shared" si="615"/>
        <v>187.7440784</v>
      </c>
      <c r="J615" s="5">
        <f t="shared" si="615"/>
        <v>101.4986765</v>
      </c>
      <c r="K615" s="5">
        <f t="shared" si="615"/>
        <v>141.9470137</v>
      </c>
      <c r="L615" s="7">
        <f t="shared" si="6"/>
        <v>-0.01710044928</v>
      </c>
    </row>
    <row r="616" ht="15.75" customHeight="1">
      <c r="A616" s="4">
        <f>IF(RETORNOS!A616="","",RETORNOS!A616)</f>
        <v>45307</v>
      </c>
      <c r="B616" s="7">
        <f>IF(RETORNOS!B616="","",OPTIMIZACION!$B$5*RETORNOS!B616+OPTIMIZACION!$B$6*RETORNOS!C616+OPTIMIZACION!$B$7*RETORNOS!D616+OPTIMIZACION!$B$8*RETORNOS!E616+OPTIMIZACION!$B$9*RETORNOS!F616+OPTIMIZACION!$B$10*RETORNOS!G616)</f>
        <v>-0.0175731224</v>
      </c>
      <c r="C616" s="7">
        <f>IF(RETORNOS!H616="","",RETORNOS!H616)</f>
        <v>-0.02382784857</v>
      </c>
      <c r="D616" s="7">
        <f>IF(RETORNOS!I616="","",RETORNOS!I616)</f>
        <v>-0.01089729193</v>
      </c>
      <c r="E616" s="7">
        <f t="shared" si="2"/>
        <v>-0.01736257025</v>
      </c>
      <c r="F616" s="7">
        <f t="shared" si="3"/>
        <v>0.006254726177</v>
      </c>
      <c r="G616" s="7">
        <f t="shared" si="4"/>
        <v>-0.000210552142</v>
      </c>
      <c r="H616" s="5">
        <f t="shared" ref="H616:K616" si="616">IF(B616="","",H615*(1+B616))</f>
        <v>178.1631739</v>
      </c>
      <c r="I616" s="5">
        <f t="shared" si="616"/>
        <v>183.2705409</v>
      </c>
      <c r="J616" s="5">
        <f t="shared" si="616"/>
        <v>100.3926158</v>
      </c>
      <c r="K616" s="5">
        <f t="shared" si="616"/>
        <v>139.4824487</v>
      </c>
      <c r="L616" s="7">
        <f t="shared" si="6"/>
        <v>-0.03437306339</v>
      </c>
    </row>
    <row r="617" ht="15.75" customHeight="1">
      <c r="A617" s="4">
        <f>IF(RETORNOS!A617="","",RETORNOS!A617)</f>
        <v>45308</v>
      </c>
      <c r="B617" s="7">
        <f>IF(RETORNOS!B617="","",OPTIMIZACION!$B$5*RETORNOS!B617+OPTIMIZACION!$B$6*RETORNOS!C617+OPTIMIZACION!$B$7*RETORNOS!D617+OPTIMIZACION!$B$8*RETORNOS!E617+OPTIMIZACION!$B$9*RETORNOS!F617+OPTIMIZACION!$B$10*RETORNOS!G617)</f>
        <v>-0.007857869301</v>
      </c>
      <c r="C617" s="7">
        <f>IF(RETORNOS!H617="","",RETORNOS!H617)</f>
        <v>-0.008299644414</v>
      </c>
      <c r="D617" s="7">
        <f>IF(RETORNOS!I617="","",RETORNOS!I617)</f>
        <v>-0.01453165243</v>
      </c>
      <c r="E617" s="7">
        <f t="shared" si="2"/>
        <v>-0.01141564842</v>
      </c>
      <c r="F617" s="7">
        <f t="shared" si="3"/>
        <v>0.0004417751138</v>
      </c>
      <c r="G617" s="7">
        <f t="shared" si="4"/>
        <v>0.003557779123</v>
      </c>
      <c r="H617" s="5">
        <f t="shared" ref="H617:K617" si="617">IF(B617="","",H616*(1+B617))</f>
        <v>176.763191</v>
      </c>
      <c r="I617" s="5">
        <f t="shared" si="617"/>
        <v>181.7494606</v>
      </c>
      <c r="J617" s="5">
        <f t="shared" si="617"/>
        <v>98.93374523</v>
      </c>
      <c r="K617" s="5">
        <f t="shared" si="617"/>
        <v>137.8901661</v>
      </c>
      <c r="L617" s="7">
        <f t="shared" si="6"/>
        <v>-0.04196083365</v>
      </c>
    </row>
    <row r="618" ht="15.75" customHeight="1">
      <c r="A618" s="4">
        <f>IF(RETORNOS!A618="","",RETORNOS!A618)</f>
        <v>45309</v>
      </c>
      <c r="B618" s="7">
        <f>IF(RETORNOS!B618="","",OPTIMIZACION!$B$5*RETORNOS!B618+OPTIMIZACION!$B$6*RETORNOS!C618+OPTIMIZACION!$B$7*RETORNOS!D618+OPTIMIZACION!$B$8*RETORNOS!E618+OPTIMIZACION!$B$9*RETORNOS!F618+OPTIMIZACION!$B$10*RETORNOS!G618)</f>
        <v>-0.002617235695</v>
      </c>
      <c r="C618" s="7">
        <f>IF(RETORNOS!H618="","",RETORNOS!H618)</f>
        <v>-0.001624732213</v>
      </c>
      <c r="D618" s="7">
        <f>IF(RETORNOS!I618="","",RETORNOS!I618)</f>
        <v>-0.01069149083</v>
      </c>
      <c r="E618" s="7">
        <f t="shared" si="2"/>
        <v>-0.006158111519</v>
      </c>
      <c r="F618" s="7">
        <f t="shared" si="3"/>
        <v>-0.0009925034824</v>
      </c>
      <c r="G618" s="7">
        <f t="shared" si="4"/>
        <v>0.003540875824</v>
      </c>
      <c r="H618" s="5">
        <f t="shared" ref="H618:K618" si="618">IF(B618="","",H617*(1+B618))</f>
        <v>176.30056</v>
      </c>
      <c r="I618" s="5">
        <f t="shared" si="618"/>
        <v>181.4541664</v>
      </c>
      <c r="J618" s="5">
        <f t="shared" si="618"/>
        <v>97.875996</v>
      </c>
      <c r="K618" s="5">
        <f t="shared" si="618"/>
        <v>137.0410231</v>
      </c>
      <c r="L618" s="7">
        <f t="shared" si="6"/>
        <v>-0.04446824795</v>
      </c>
    </row>
    <row r="619" ht="15.75" customHeight="1">
      <c r="A619" s="4">
        <f>IF(RETORNOS!A619="","",RETORNOS!A619)</f>
        <v>45310</v>
      </c>
      <c r="B619" s="7">
        <f>IF(RETORNOS!B619="","",OPTIMIZACION!$B$5*RETORNOS!B619+OPTIMIZACION!$B$6*RETORNOS!C619+OPTIMIZACION!$B$7*RETORNOS!D619+OPTIMIZACION!$B$8*RETORNOS!E619+OPTIMIZACION!$B$9*RETORNOS!F619+OPTIMIZACION!$B$10*RETORNOS!G619)</f>
        <v>0.007723961711</v>
      </c>
      <c r="C619" s="7">
        <f>IF(RETORNOS!H619="","",RETORNOS!H619)</f>
        <v>0.003252080316</v>
      </c>
      <c r="D619" s="7">
        <f>IF(RETORNOS!I619="","",RETORNOS!I619)</f>
        <v>-0.001310470205</v>
      </c>
      <c r="E619" s="7">
        <f t="shared" si="2"/>
        <v>0.0009708050555</v>
      </c>
      <c r="F619" s="7">
        <f t="shared" si="3"/>
        <v>0.004471881395</v>
      </c>
      <c r="G619" s="7">
        <f t="shared" si="4"/>
        <v>0.006753156656</v>
      </c>
      <c r="H619" s="5">
        <f t="shared" ref="H619:K619" si="619">IF(B619="","",H618*(1+B619))</f>
        <v>177.6622988</v>
      </c>
      <c r="I619" s="5">
        <f t="shared" si="619"/>
        <v>182.0442699</v>
      </c>
      <c r="J619" s="5">
        <f t="shared" si="619"/>
        <v>97.74773242</v>
      </c>
      <c r="K619" s="5">
        <f t="shared" si="619"/>
        <v>137.1740632</v>
      </c>
      <c r="L619" s="7">
        <f t="shared" si="6"/>
        <v>-0.03708775728</v>
      </c>
    </row>
    <row r="620" ht="15.75" customHeight="1">
      <c r="A620" s="4">
        <f>IF(RETORNOS!A620="","",RETORNOS!A620)</f>
        <v>45313</v>
      </c>
      <c r="B620" s="7">
        <f>IF(RETORNOS!B620="","",OPTIMIZACION!$B$5*RETORNOS!B620+OPTIMIZACION!$B$6*RETORNOS!C620+OPTIMIZACION!$B$7*RETORNOS!D620+OPTIMIZACION!$B$8*RETORNOS!E620+OPTIMIZACION!$B$9*RETORNOS!F620+OPTIMIZACION!$B$10*RETORNOS!G620)</f>
        <v>-0.0008769321852</v>
      </c>
      <c r="C620" s="7">
        <f>IF(RETORNOS!H620="","",RETORNOS!H620)</f>
        <v>0.003744949246</v>
      </c>
      <c r="D620" s="7">
        <f>IF(RETORNOS!I620="","",RETORNOS!I620)</f>
        <v>-0.005085170515</v>
      </c>
      <c r="E620" s="7">
        <f t="shared" si="2"/>
        <v>-0.0006701106345</v>
      </c>
      <c r="F620" s="7">
        <f t="shared" si="3"/>
        <v>-0.004621881431</v>
      </c>
      <c r="G620" s="7">
        <f t="shared" si="4"/>
        <v>-0.0002068215508</v>
      </c>
      <c r="H620" s="5">
        <f t="shared" ref="H620:K620" si="620">IF(B620="","",H619*(1+B620))</f>
        <v>177.506501</v>
      </c>
      <c r="I620" s="5">
        <f t="shared" si="620"/>
        <v>182.7260164</v>
      </c>
      <c r="J620" s="5">
        <f t="shared" si="620"/>
        <v>97.25066854</v>
      </c>
      <c r="K620" s="5">
        <f t="shared" si="620"/>
        <v>137.0821414</v>
      </c>
      <c r="L620" s="7">
        <f t="shared" si="6"/>
        <v>-0.03793216602</v>
      </c>
    </row>
    <row r="621" ht="15.75" customHeight="1">
      <c r="A621" s="4">
        <f>IF(RETORNOS!A621="","",RETORNOS!A621)</f>
        <v>45314</v>
      </c>
      <c r="B621" s="7">
        <f>IF(RETORNOS!B621="","",OPTIMIZACION!$B$5*RETORNOS!B621+OPTIMIZACION!$B$6*RETORNOS!C621+OPTIMIZACION!$B$7*RETORNOS!D621+OPTIMIZACION!$B$8*RETORNOS!E621+OPTIMIZACION!$B$9*RETORNOS!F621+OPTIMIZACION!$B$10*RETORNOS!G621)</f>
        <v>0.003125428279</v>
      </c>
      <c r="C621" s="7">
        <f>IF(RETORNOS!H621="","",RETORNOS!H621)</f>
        <v>0.002112274277</v>
      </c>
      <c r="D621" s="7">
        <f>IF(RETORNOS!I621="","",RETORNOS!I621)</f>
        <v>0.001815669331</v>
      </c>
      <c r="E621" s="7">
        <f t="shared" si="2"/>
        <v>0.001963971804</v>
      </c>
      <c r="F621" s="7">
        <f t="shared" si="3"/>
        <v>0.001013154001</v>
      </c>
      <c r="G621" s="7">
        <f t="shared" si="4"/>
        <v>0.001161456474</v>
      </c>
      <c r="H621" s="5">
        <f t="shared" ref="H621:K621" si="621">IF(B621="","",H620*(1+B621))</f>
        <v>178.0612849</v>
      </c>
      <c r="I621" s="5">
        <f t="shared" si="621"/>
        <v>183.1119839</v>
      </c>
      <c r="J621" s="5">
        <f t="shared" si="621"/>
        <v>97.42724359</v>
      </c>
      <c r="K621" s="5">
        <f t="shared" si="621"/>
        <v>137.3513669</v>
      </c>
      <c r="L621" s="7">
        <f t="shared" si="6"/>
        <v>-0.03492529201</v>
      </c>
    </row>
    <row r="622" ht="15.75" customHeight="1">
      <c r="A622" s="4">
        <f>IF(RETORNOS!A622="","",RETORNOS!A622)</f>
        <v>45315</v>
      </c>
      <c r="B622" s="7">
        <f>IF(RETORNOS!B622="","",OPTIMIZACION!$B$5*RETORNOS!B622+OPTIMIZACION!$B$6*RETORNOS!C622+OPTIMIZACION!$B$7*RETORNOS!D622+OPTIMIZACION!$B$8*RETORNOS!E622+OPTIMIZACION!$B$9*RETORNOS!F622+OPTIMIZACION!$B$10*RETORNOS!G622)</f>
        <v>0.004368269897</v>
      </c>
      <c r="C622" s="7">
        <f>IF(RETORNOS!H622="","",RETORNOS!H622)</f>
        <v>0.01426222259</v>
      </c>
      <c r="D622" s="7">
        <f>IF(RETORNOS!I622="","",RETORNOS!I622)</f>
        <v>-0.01365395092</v>
      </c>
      <c r="E622" s="7">
        <f t="shared" si="2"/>
        <v>0.0003041358357</v>
      </c>
      <c r="F622" s="7">
        <f t="shared" si="3"/>
        <v>-0.00989395269</v>
      </c>
      <c r="G622" s="7">
        <f t="shared" si="4"/>
        <v>0.004064134061</v>
      </c>
      <c r="H622" s="5">
        <f t="shared" ref="H622:K622" si="622">IF(B622="","",H621*(1+B622))</f>
        <v>178.8391046</v>
      </c>
      <c r="I622" s="5">
        <f t="shared" si="622"/>
        <v>185.7235678</v>
      </c>
      <c r="J622" s="5">
        <f t="shared" si="622"/>
        <v>96.09697679</v>
      </c>
      <c r="K622" s="5">
        <f t="shared" si="622"/>
        <v>137.3931404</v>
      </c>
      <c r="L622" s="7">
        <f t="shared" si="6"/>
        <v>-0.03070958521</v>
      </c>
    </row>
    <row r="623" ht="15.75" customHeight="1">
      <c r="A623" s="4">
        <f>IF(RETORNOS!A623="","",RETORNOS!A623)</f>
        <v>45316</v>
      </c>
      <c r="B623" s="7">
        <f>IF(RETORNOS!B623="","",OPTIMIZACION!$B$5*RETORNOS!B623+OPTIMIZACION!$B$6*RETORNOS!C623+OPTIMIZACION!$B$7*RETORNOS!D623+OPTIMIZACION!$B$8*RETORNOS!E623+OPTIMIZACION!$B$9*RETORNOS!F623+OPTIMIZACION!$B$10*RETORNOS!G623)</f>
        <v>0.02304749911</v>
      </c>
      <c r="C623" s="7">
        <f>IF(RETORNOS!H623="","",RETORNOS!H623)</f>
        <v>0.02249449778</v>
      </c>
      <c r="D623" s="7">
        <f>IF(RETORNOS!I623="","",RETORNOS!I623)</f>
        <v>0.01801355265</v>
      </c>
      <c r="E623" s="7">
        <f t="shared" si="2"/>
        <v>0.02025402521</v>
      </c>
      <c r="F623" s="7">
        <f t="shared" si="3"/>
        <v>0.0005530013328</v>
      </c>
      <c r="G623" s="7">
        <f t="shared" si="4"/>
        <v>0.002793473897</v>
      </c>
      <c r="H623" s="5">
        <f t="shared" ref="H623:K623" si="623">IF(B623="","",H622*(1+B623))</f>
        <v>182.9608987</v>
      </c>
      <c r="I623" s="5">
        <f t="shared" si="623"/>
        <v>189.9013262</v>
      </c>
      <c r="J623" s="5">
        <f t="shared" si="623"/>
        <v>97.82802474</v>
      </c>
      <c r="K623" s="5">
        <f t="shared" si="623"/>
        <v>140.1759045</v>
      </c>
      <c r="L623" s="7">
        <f t="shared" si="6"/>
        <v>-0.008369865239</v>
      </c>
    </row>
    <row r="624" ht="15.75" customHeight="1">
      <c r="A624" s="4">
        <f>IF(RETORNOS!A624="","",RETORNOS!A624)</f>
        <v>45317</v>
      </c>
      <c r="B624" s="7">
        <f>IF(RETORNOS!B624="","",OPTIMIZACION!$B$5*RETORNOS!B624+OPTIMIZACION!$B$6*RETORNOS!C624+OPTIMIZACION!$B$7*RETORNOS!D624+OPTIMIZACION!$B$8*RETORNOS!E624+OPTIMIZACION!$B$9*RETORNOS!F624+OPTIMIZACION!$B$10*RETORNOS!G624)</f>
        <v>0.006893779912</v>
      </c>
      <c r="C624" s="7">
        <f>IF(RETORNOS!H624="","",RETORNOS!H624)</f>
        <v>0.007414916135</v>
      </c>
      <c r="D624" s="7">
        <f>IF(RETORNOS!I624="","",RETORNOS!I624)</f>
        <v>0.002949134387</v>
      </c>
      <c r="E624" s="7">
        <f t="shared" si="2"/>
        <v>0.005182025261</v>
      </c>
      <c r="F624" s="7">
        <f t="shared" si="3"/>
        <v>-0.0005211362232</v>
      </c>
      <c r="G624" s="7">
        <f t="shared" si="4"/>
        <v>0.001711754651</v>
      </c>
      <c r="H624" s="5">
        <f t="shared" ref="H624:K624" si="624">IF(B624="","",H623*(1+B624))</f>
        <v>184.2221909</v>
      </c>
      <c r="I624" s="5">
        <f t="shared" si="624"/>
        <v>191.3094286</v>
      </c>
      <c r="J624" s="5">
        <f t="shared" si="624"/>
        <v>98.11653273</v>
      </c>
      <c r="K624" s="5">
        <f t="shared" si="624"/>
        <v>140.9022996</v>
      </c>
      <c r="L624" s="7">
        <f t="shared" si="6"/>
        <v>-0.001533785336</v>
      </c>
    </row>
    <row r="625" ht="15.75" customHeight="1">
      <c r="A625" s="4">
        <f>IF(RETORNOS!A625="","",RETORNOS!A625)</f>
        <v>45320</v>
      </c>
      <c r="B625" s="7">
        <f>IF(RETORNOS!B625="","",OPTIMIZACION!$B$5*RETORNOS!B625+OPTIMIZACION!$B$6*RETORNOS!C625+OPTIMIZACION!$B$7*RETORNOS!D625+OPTIMIZACION!$B$8*RETORNOS!E625+OPTIMIZACION!$B$9*RETORNOS!F625+OPTIMIZACION!$B$10*RETORNOS!G625)</f>
        <v>0.00002429665972</v>
      </c>
      <c r="C625" s="7">
        <f>IF(RETORNOS!H625="","",RETORNOS!H625)</f>
        <v>-0.001426952936</v>
      </c>
      <c r="D625" s="7">
        <f>IF(RETORNOS!I625="","",RETORNOS!I625)</f>
        <v>0.006373313915</v>
      </c>
      <c r="E625" s="7">
        <f t="shared" si="2"/>
        <v>0.00247318049</v>
      </c>
      <c r="F625" s="7">
        <f t="shared" si="3"/>
        <v>0.001451249596</v>
      </c>
      <c r="G625" s="7">
        <f t="shared" si="4"/>
        <v>-0.00244888383</v>
      </c>
      <c r="H625" s="5">
        <f t="shared" ref="H625:K625" si="625">IF(B625="","",H624*(1+B625))</f>
        <v>184.2266669</v>
      </c>
      <c r="I625" s="5">
        <f t="shared" si="625"/>
        <v>191.036439</v>
      </c>
      <c r="J625" s="5">
        <f t="shared" si="625"/>
        <v>98.7418602</v>
      </c>
      <c r="K625" s="5">
        <f t="shared" si="625"/>
        <v>141.2507764</v>
      </c>
      <c r="L625" s="7">
        <f t="shared" si="6"/>
        <v>-0.001509525942</v>
      </c>
    </row>
    <row r="626" ht="15.75" customHeight="1">
      <c r="A626" s="4">
        <f>IF(RETORNOS!A626="","",RETORNOS!A626)</f>
        <v>45321</v>
      </c>
      <c r="B626" s="7">
        <f>IF(RETORNOS!B626="","",OPTIMIZACION!$B$5*RETORNOS!B626+OPTIMIZACION!$B$6*RETORNOS!C626+OPTIMIZACION!$B$7*RETORNOS!D626+OPTIMIZACION!$B$8*RETORNOS!E626+OPTIMIZACION!$B$9*RETORNOS!F626+OPTIMIZACION!$B$10*RETORNOS!G626)</f>
        <v>0.007476775503</v>
      </c>
      <c r="C626" s="7">
        <f>IF(RETORNOS!H626="","",RETORNOS!H626)</f>
        <v>0.01034305962</v>
      </c>
      <c r="D626" s="7">
        <f>IF(RETORNOS!I626="","",RETORNOS!I626)</f>
        <v>-0.0003273288587</v>
      </c>
      <c r="E626" s="7">
        <f t="shared" si="2"/>
        <v>0.005007865379</v>
      </c>
      <c r="F626" s="7">
        <f t="shared" si="3"/>
        <v>-0.002866284114</v>
      </c>
      <c r="G626" s="7">
        <f t="shared" si="4"/>
        <v>0.002468910124</v>
      </c>
      <c r="H626" s="5">
        <f t="shared" ref="H626:K626" si="626">IF(B626="","",H625*(1+B626))</f>
        <v>185.6040883</v>
      </c>
      <c r="I626" s="5">
        <f t="shared" si="626"/>
        <v>193.0123403</v>
      </c>
      <c r="J626" s="5">
        <f t="shared" si="626"/>
        <v>98.70953914</v>
      </c>
      <c r="K626" s="5">
        <f t="shared" si="626"/>
        <v>141.9581413</v>
      </c>
      <c r="L626" s="7">
        <f t="shared" si="6"/>
        <v>0</v>
      </c>
    </row>
    <row r="627" ht="15.75" customHeight="1">
      <c r="A627" s="4">
        <f>IF(RETORNOS!A627="","",RETORNOS!A627)</f>
        <v>45322</v>
      </c>
      <c r="B627" s="7">
        <f>IF(RETORNOS!B627="","",OPTIMIZACION!$B$5*RETORNOS!B627+OPTIMIZACION!$B$6*RETORNOS!C627+OPTIMIZACION!$B$7*RETORNOS!D627+OPTIMIZACION!$B$8*RETORNOS!E627+OPTIMIZACION!$B$9*RETORNOS!F627+OPTIMIZACION!$B$10*RETORNOS!G627)</f>
        <v>-0.009174656585</v>
      </c>
      <c r="C627" s="7">
        <f>IF(RETORNOS!H627="","",RETORNOS!H627)</f>
        <v>-0.01870828194</v>
      </c>
      <c r="D627" s="7">
        <f>IF(RETORNOS!I627="","",RETORNOS!I627)</f>
        <v>-0.002109377423</v>
      </c>
      <c r="E627" s="7">
        <f t="shared" si="2"/>
        <v>-0.01040882968</v>
      </c>
      <c r="F627" s="7">
        <f t="shared" si="3"/>
        <v>0.009533625353</v>
      </c>
      <c r="G627" s="7">
        <f t="shared" si="4"/>
        <v>0.001234173095</v>
      </c>
      <c r="H627" s="5">
        <f t="shared" ref="H627:K627" si="627">IF(B627="","",H626*(1+B627))</f>
        <v>183.9012345</v>
      </c>
      <c r="I627" s="5">
        <f t="shared" si="627"/>
        <v>189.401411</v>
      </c>
      <c r="J627" s="5">
        <f t="shared" si="627"/>
        <v>98.50132346</v>
      </c>
      <c r="K627" s="5">
        <f t="shared" si="627"/>
        <v>140.4805232</v>
      </c>
      <c r="L627" s="7">
        <f t="shared" si="6"/>
        <v>-0.009174656585</v>
      </c>
    </row>
    <row r="628" ht="15.75" customHeight="1">
      <c r="A628" s="4">
        <f>IF(RETORNOS!A628="","",RETORNOS!A628)</f>
        <v>45323</v>
      </c>
      <c r="B628" s="7">
        <f>IF(RETORNOS!B628="","",OPTIMIZACION!$B$5*RETORNOS!B628+OPTIMIZACION!$B$6*RETORNOS!C628+OPTIMIZACION!$B$7*RETORNOS!D628+OPTIMIZACION!$B$8*RETORNOS!E628+OPTIMIZACION!$B$9*RETORNOS!F628+OPTIMIZACION!$B$10*RETORNOS!G628)</f>
        <v>0.01787877772</v>
      </c>
      <c r="C628" s="7">
        <f>IF(RETORNOS!H628="","",RETORNOS!H628)</f>
        <v>-0.0001177639192</v>
      </c>
      <c r="D628" s="7">
        <f>IF(RETORNOS!I628="","",RETORNOS!I628)</f>
        <v>0.01903834264</v>
      </c>
      <c r="E628" s="7">
        <f t="shared" si="2"/>
        <v>0.009460289361</v>
      </c>
      <c r="F628" s="7">
        <f t="shared" si="3"/>
        <v>0.01799654164</v>
      </c>
      <c r="G628" s="7">
        <f t="shared" si="4"/>
        <v>0.00841848836</v>
      </c>
      <c r="H628" s="5">
        <f t="shared" ref="H628:K628" si="628">IF(B628="","",H627*(1+B628))</f>
        <v>187.1891638</v>
      </c>
      <c r="I628" s="5">
        <f t="shared" si="628"/>
        <v>189.3791064</v>
      </c>
      <c r="J628" s="5">
        <f t="shared" si="628"/>
        <v>100.3766254</v>
      </c>
      <c r="K628" s="5">
        <f t="shared" si="628"/>
        <v>141.8095096</v>
      </c>
      <c r="L628" s="7">
        <f t="shared" si="6"/>
        <v>0</v>
      </c>
    </row>
    <row r="629" ht="15.75" customHeight="1">
      <c r="A629" s="4">
        <f>IF(RETORNOS!A629="","",RETORNOS!A629)</f>
        <v>45324</v>
      </c>
      <c r="B629" s="7">
        <f>IF(RETORNOS!B629="","",OPTIMIZACION!$B$5*RETORNOS!B629+OPTIMIZACION!$B$6*RETORNOS!C629+OPTIMIZACION!$B$7*RETORNOS!D629+OPTIMIZACION!$B$8*RETORNOS!E629+OPTIMIZACION!$B$9*RETORNOS!F629+OPTIMIZACION!$B$10*RETORNOS!G629)</f>
        <v>-0.004687553548</v>
      </c>
      <c r="C629" s="7">
        <f>IF(RETORNOS!H629="","",RETORNOS!H629)</f>
        <v>0.001438937337</v>
      </c>
      <c r="D629" s="7">
        <f>IF(RETORNOS!I629="","",RETORNOS!I629)</f>
        <v>-0.01804204953</v>
      </c>
      <c r="E629" s="7">
        <f t="shared" si="2"/>
        <v>-0.008301556098</v>
      </c>
      <c r="F629" s="7">
        <f t="shared" si="3"/>
        <v>-0.006126490885</v>
      </c>
      <c r="G629" s="7">
        <f t="shared" si="4"/>
        <v>0.00361400255</v>
      </c>
      <c r="H629" s="5">
        <f t="shared" ref="H629:K629" si="629">IF(B629="","",H628*(1+B629))</f>
        <v>186.3117046</v>
      </c>
      <c r="I629" s="5">
        <f t="shared" si="629"/>
        <v>189.651611</v>
      </c>
      <c r="J629" s="5">
        <f t="shared" si="629"/>
        <v>98.56562536</v>
      </c>
      <c r="K629" s="5">
        <f t="shared" si="629"/>
        <v>140.63227</v>
      </c>
      <c r="L629" s="7">
        <f t="shared" si="6"/>
        <v>-0.004687553548</v>
      </c>
    </row>
    <row r="630" ht="15.75" customHeight="1">
      <c r="A630" s="4">
        <f>IF(RETORNOS!A630="","",RETORNOS!A630)</f>
        <v>45327</v>
      </c>
      <c r="B630" s="7">
        <f>IF(RETORNOS!B630="","",OPTIMIZACION!$B$5*RETORNOS!B630+OPTIMIZACION!$B$6*RETORNOS!C630+OPTIMIZACION!$B$7*RETORNOS!D630+OPTIMIZACION!$B$8*RETORNOS!E630+OPTIMIZACION!$B$9*RETORNOS!F630+OPTIMIZACION!$B$10*RETORNOS!G630)</f>
        <v>-0.01593670955</v>
      </c>
      <c r="C630" s="7">
        <f>IF(RETORNOS!H630="","",RETORNOS!H630)</f>
        <v>-0.002515800454</v>
      </c>
      <c r="D630" s="7">
        <f>IF(RETORNOS!I630="","",RETORNOS!I630)</f>
        <v>-0.02082082082</v>
      </c>
      <c r="E630" s="7">
        <f t="shared" si="2"/>
        <v>-0.01166831064</v>
      </c>
      <c r="F630" s="7">
        <f t="shared" si="3"/>
        <v>-0.01342090909</v>
      </c>
      <c r="G630" s="7">
        <f t="shared" si="4"/>
        <v>-0.004268398908</v>
      </c>
      <c r="H630" s="5">
        <f t="shared" ref="H630:K630" si="630">IF(B630="","",H629*(1+B630))</f>
        <v>183.3425091</v>
      </c>
      <c r="I630" s="5">
        <f t="shared" si="630"/>
        <v>189.1744854</v>
      </c>
      <c r="J630" s="5">
        <f t="shared" si="630"/>
        <v>96.51340814</v>
      </c>
      <c r="K630" s="5">
        <f t="shared" si="630"/>
        <v>138.9913289</v>
      </c>
      <c r="L630" s="7">
        <f t="shared" si="6"/>
        <v>-0.02054955891</v>
      </c>
    </row>
    <row r="631" ht="15.75" customHeight="1">
      <c r="A631" s="4">
        <f>IF(RETORNOS!A631="","",RETORNOS!A631)</f>
        <v>45328</v>
      </c>
      <c r="B631" s="7">
        <f>IF(RETORNOS!B631="","",OPTIMIZACION!$B$5*RETORNOS!B631+OPTIMIZACION!$B$6*RETORNOS!C631+OPTIMIZACION!$B$7*RETORNOS!D631+OPTIMIZACION!$B$8*RETORNOS!E631+OPTIMIZACION!$B$9*RETORNOS!F631+OPTIMIZACION!$B$10*RETORNOS!G631)</f>
        <v>0.002941463721</v>
      </c>
      <c r="C631" s="7">
        <f>IF(RETORNOS!H631="","",RETORNOS!H631)</f>
        <v>0.003242392552</v>
      </c>
      <c r="D631" s="7">
        <f>IF(RETORNOS!I631="","",RETORNOS!I631)</f>
        <v>0.003659078251</v>
      </c>
      <c r="E631" s="7">
        <f t="shared" si="2"/>
        <v>0.003450735402</v>
      </c>
      <c r="F631" s="7">
        <f t="shared" si="3"/>
        <v>-0.0003009288313</v>
      </c>
      <c r="G631" s="7">
        <f t="shared" si="4"/>
        <v>-0.0005092716804</v>
      </c>
      <c r="H631" s="5">
        <f t="shared" ref="H631:K631" si="631">IF(B631="","",H630*(1+B631))</f>
        <v>183.8818044</v>
      </c>
      <c r="I631" s="5">
        <f t="shared" si="631"/>
        <v>189.7878634</v>
      </c>
      <c r="J631" s="5">
        <f t="shared" si="631"/>
        <v>96.86655825</v>
      </c>
      <c r="K631" s="5">
        <f t="shared" si="631"/>
        <v>139.4709512</v>
      </c>
      <c r="L631" s="7">
        <f t="shared" si="6"/>
        <v>-0.01766854097</v>
      </c>
    </row>
    <row r="632" ht="15.75" customHeight="1">
      <c r="A632" s="4">
        <f>IF(RETORNOS!A632="","",RETORNOS!A632)</f>
        <v>45329</v>
      </c>
      <c r="B632" s="7">
        <f>IF(RETORNOS!B632="","",OPTIMIZACION!$B$5*RETORNOS!B632+OPTIMIZACION!$B$6*RETORNOS!C632+OPTIMIZACION!$B$7*RETORNOS!D632+OPTIMIZACION!$B$8*RETORNOS!E632+OPTIMIZACION!$B$9*RETORNOS!F632+OPTIMIZACION!$B$10*RETORNOS!G632)</f>
        <v>-0.002971209497</v>
      </c>
      <c r="C632" s="7">
        <f>IF(RETORNOS!H632="","",RETORNOS!H632)</f>
        <v>0.002033678326</v>
      </c>
      <c r="D632" s="7">
        <f>IF(RETORNOS!I632="","",RETORNOS!I632)</f>
        <v>0.0006532825693</v>
      </c>
      <c r="E632" s="7">
        <f t="shared" si="2"/>
        <v>0.001343480448</v>
      </c>
      <c r="F632" s="7">
        <f t="shared" si="3"/>
        <v>-0.005004887824</v>
      </c>
      <c r="G632" s="7">
        <f t="shared" si="4"/>
        <v>-0.004314689945</v>
      </c>
      <c r="H632" s="5">
        <f t="shared" ref="H632:K632" si="632">IF(B632="","",H631*(1+B632))</f>
        <v>183.335453</v>
      </c>
      <c r="I632" s="5">
        <f t="shared" si="632"/>
        <v>190.1738308</v>
      </c>
      <c r="J632" s="5">
        <f t="shared" si="632"/>
        <v>96.92983948</v>
      </c>
      <c r="K632" s="5">
        <f t="shared" si="632"/>
        <v>139.6583277</v>
      </c>
      <c r="L632" s="7">
        <f t="shared" si="6"/>
        <v>-0.02058725354</v>
      </c>
    </row>
    <row r="633" ht="15.75" customHeight="1">
      <c r="A633" s="4">
        <f>IF(RETORNOS!A633="","",RETORNOS!A633)</f>
        <v>45330</v>
      </c>
      <c r="B633" s="7">
        <f>IF(RETORNOS!B633="","",OPTIMIZACION!$B$5*RETORNOS!B633+OPTIMIZACION!$B$6*RETORNOS!C633+OPTIMIZACION!$B$7*RETORNOS!D633+OPTIMIZACION!$B$8*RETORNOS!E633+OPTIMIZACION!$B$9*RETORNOS!F633+OPTIMIZACION!$B$10*RETORNOS!G633)</f>
        <v>-0.000482747684</v>
      </c>
      <c r="C633" s="7">
        <f>IF(RETORNOS!H633="","",RETORNOS!H633)</f>
        <v>0.01026758965</v>
      </c>
      <c r="D633" s="7">
        <f>IF(RETORNOS!I633="","",RETORNOS!I633)</f>
        <v>-0.007107707212</v>
      </c>
      <c r="E633" s="7">
        <f t="shared" si="2"/>
        <v>0.001579941221</v>
      </c>
      <c r="F633" s="7">
        <f t="shared" si="3"/>
        <v>-0.01075033734</v>
      </c>
      <c r="G633" s="7">
        <f t="shared" si="4"/>
        <v>-0.002062688905</v>
      </c>
      <c r="H633" s="5">
        <f t="shared" ref="H633:K633" si="633">IF(B633="","",H632*(1+B633))</f>
        <v>183.2469483</v>
      </c>
      <c r="I633" s="5">
        <f t="shared" si="633"/>
        <v>192.1264577</v>
      </c>
      <c r="J633" s="5">
        <f t="shared" si="633"/>
        <v>96.24089056</v>
      </c>
      <c r="K633" s="5">
        <f t="shared" si="633"/>
        <v>139.8789797</v>
      </c>
      <c r="L633" s="7">
        <f t="shared" si="6"/>
        <v>-0.02106006277</v>
      </c>
    </row>
    <row r="634" ht="15.75" customHeight="1">
      <c r="A634" s="4">
        <f>IF(RETORNOS!A634="","",RETORNOS!A634)</f>
        <v>45331</v>
      </c>
      <c r="B634" s="7">
        <f>IF(RETORNOS!B634="","",OPTIMIZACION!$B$5*RETORNOS!B634+OPTIMIZACION!$B$6*RETORNOS!C634+OPTIMIZACION!$B$7*RETORNOS!D634+OPTIMIZACION!$B$8*RETORNOS!E634+OPTIMIZACION!$B$9*RETORNOS!F634+OPTIMIZACION!$B$10*RETORNOS!G634)</f>
        <v>0.002296879469</v>
      </c>
      <c r="C634" s="7">
        <f>IF(RETORNOS!H634="","",RETORNOS!H634)</f>
        <v>-0.01536473581</v>
      </c>
      <c r="D634" s="7">
        <f>IF(RETORNOS!I634="","",RETORNOS!I634)</f>
        <v>0.003832054214</v>
      </c>
      <c r="E634" s="7">
        <f t="shared" si="2"/>
        <v>-0.005766340798</v>
      </c>
      <c r="F634" s="7">
        <f t="shared" si="3"/>
        <v>0.01766161528</v>
      </c>
      <c r="G634" s="7">
        <f t="shared" si="4"/>
        <v>0.008063220267</v>
      </c>
      <c r="H634" s="5">
        <f t="shared" ref="H634:K634" si="634">IF(B634="","",H633*(1+B634))</f>
        <v>183.6678444</v>
      </c>
      <c r="I634" s="5">
        <f t="shared" si="634"/>
        <v>189.1744854</v>
      </c>
      <c r="J634" s="5">
        <f t="shared" si="634"/>
        <v>96.60969087</v>
      </c>
      <c r="K634" s="5">
        <f t="shared" si="634"/>
        <v>139.0723898</v>
      </c>
      <c r="L634" s="7">
        <f t="shared" si="6"/>
        <v>-0.01881155573</v>
      </c>
    </row>
    <row r="635" ht="15.75" customHeight="1">
      <c r="A635" s="4">
        <f>IF(RETORNOS!A635="","",RETORNOS!A635)</f>
        <v>45334</v>
      </c>
      <c r="B635" s="7">
        <f>IF(RETORNOS!B635="","",OPTIMIZACION!$B$5*RETORNOS!B635+OPTIMIZACION!$B$6*RETORNOS!C635+OPTIMIZACION!$B$7*RETORNOS!D635+OPTIMIZACION!$B$8*RETORNOS!E635+OPTIMIZACION!$B$9*RETORNOS!F635+OPTIMIZACION!$B$10*RETORNOS!G635)</f>
        <v>0.009948898362</v>
      </c>
      <c r="C635" s="7">
        <f>IF(RETORNOS!H635="","",RETORNOS!H635)</f>
        <v>0.01104463993</v>
      </c>
      <c r="D635" s="7">
        <f>IF(RETORNOS!I635="","",RETORNOS!I635)</f>
        <v>0.01161074936</v>
      </c>
      <c r="E635" s="7">
        <f t="shared" si="2"/>
        <v>0.01132769465</v>
      </c>
      <c r="F635" s="7">
        <f t="shared" si="3"/>
        <v>-0.001095741566</v>
      </c>
      <c r="G635" s="7">
        <f t="shared" si="4"/>
        <v>-0.001378796284</v>
      </c>
      <c r="H635" s="5">
        <f t="shared" ref="H635:K635" si="635">IF(B635="","",H634*(1+B635))</f>
        <v>185.4951371</v>
      </c>
      <c r="I635" s="5">
        <f t="shared" si="635"/>
        <v>191.2638495</v>
      </c>
      <c r="J635" s="5">
        <f t="shared" si="635"/>
        <v>97.73140178</v>
      </c>
      <c r="K635" s="5">
        <f t="shared" si="635"/>
        <v>140.6477594</v>
      </c>
      <c r="L635" s="7">
        <f t="shared" si="6"/>
        <v>-0.009049811621</v>
      </c>
    </row>
    <row r="636" ht="15.75" customHeight="1">
      <c r="A636" s="4">
        <f>IF(RETORNOS!A636="","",RETORNOS!A636)</f>
        <v>45335</v>
      </c>
      <c r="B636" s="7">
        <f>IF(RETORNOS!B636="","",OPTIMIZACION!$B$5*RETORNOS!B636+OPTIMIZACION!$B$6*RETORNOS!C636+OPTIMIZACION!$B$7*RETORNOS!D636+OPTIMIZACION!$B$8*RETORNOS!E636+OPTIMIZACION!$B$9*RETORNOS!F636+OPTIMIZACION!$B$10*RETORNOS!G636)</f>
        <v>-0.008154870928</v>
      </c>
      <c r="C636" s="7">
        <f>IF(RETORNOS!H636="","",RETORNOS!H636)</f>
        <v>-0.01009245715</v>
      </c>
      <c r="D636" s="7">
        <f>IF(RETORNOS!I636="","",RETORNOS!I636)</f>
        <v>-0.01656350737</v>
      </c>
      <c r="E636" s="7">
        <f t="shared" si="2"/>
        <v>-0.01332798226</v>
      </c>
      <c r="F636" s="7">
        <f t="shared" si="3"/>
        <v>0.001937586222</v>
      </c>
      <c r="G636" s="7">
        <f t="shared" si="4"/>
        <v>0.005173111332</v>
      </c>
      <c r="H636" s="5">
        <f t="shared" ref="H636:K636" si="636">IF(B636="","",H635*(1+B636))</f>
        <v>183.9824482</v>
      </c>
      <c r="I636" s="5">
        <f t="shared" si="636"/>
        <v>189.3335273</v>
      </c>
      <c r="J636" s="5">
        <f t="shared" si="636"/>
        <v>96.11262699</v>
      </c>
      <c r="K636" s="5">
        <f t="shared" si="636"/>
        <v>138.7732085</v>
      </c>
      <c r="L636" s="7">
        <f t="shared" si="6"/>
        <v>-0.0171308825</v>
      </c>
    </row>
    <row r="637" ht="15.75" customHeight="1">
      <c r="A637" s="4">
        <f>IF(RETORNOS!A637="","",RETORNOS!A637)</f>
        <v>45336</v>
      </c>
      <c r="B637" s="7">
        <f>IF(RETORNOS!B637="","",OPTIMIZACION!$B$5*RETORNOS!B637+OPTIMIZACION!$B$6*RETORNOS!C637+OPTIMIZACION!$B$7*RETORNOS!D637+OPTIMIZACION!$B$8*RETORNOS!E637+OPTIMIZACION!$B$9*RETORNOS!F637+OPTIMIZACION!$B$10*RETORNOS!G637)</f>
        <v>-0.002430461172</v>
      </c>
      <c r="C637" s="7">
        <f>IF(RETORNOS!H637="","",RETORNOS!H637)</f>
        <v>-0.000957815157</v>
      </c>
      <c r="D637" s="7">
        <f>IF(RETORNOS!I637="","",RETORNOS!I637)</f>
        <v>0.005504424779</v>
      </c>
      <c r="E637" s="7">
        <f t="shared" si="2"/>
        <v>0.002273304811</v>
      </c>
      <c r="F637" s="7">
        <f t="shared" si="3"/>
        <v>-0.001472646015</v>
      </c>
      <c r="G637" s="7">
        <f t="shared" si="4"/>
        <v>-0.004703765983</v>
      </c>
      <c r="H637" s="5">
        <f t="shared" ref="H637:K637" si="637">IF(B637="","",H636*(1+B637))</f>
        <v>183.535286</v>
      </c>
      <c r="I637" s="5">
        <f t="shared" si="637"/>
        <v>189.1521808</v>
      </c>
      <c r="J637" s="5">
        <f t="shared" si="637"/>
        <v>96.64167171</v>
      </c>
      <c r="K637" s="5">
        <f t="shared" si="637"/>
        <v>139.0886823</v>
      </c>
      <c r="L637" s="7">
        <f t="shared" si="6"/>
        <v>-0.01951970773</v>
      </c>
    </row>
    <row r="638" ht="15.75" customHeight="1">
      <c r="A638" s="4">
        <f>IF(RETORNOS!A638="","",RETORNOS!A638)</f>
        <v>45337</v>
      </c>
      <c r="B638" s="7">
        <f>IF(RETORNOS!B638="","",OPTIMIZACION!$B$5*RETORNOS!B638+OPTIMIZACION!$B$6*RETORNOS!C638+OPTIMIZACION!$B$7*RETORNOS!D638+OPTIMIZACION!$B$8*RETORNOS!E638+OPTIMIZACION!$B$9*RETORNOS!F638+OPTIMIZACION!$B$10*RETORNOS!G638)</f>
        <v>0.01292451784</v>
      </c>
      <c r="C638" s="7">
        <f>IF(RETORNOS!H638="","",RETORNOS!H638)</f>
        <v>0.0278494122</v>
      </c>
      <c r="D638" s="7">
        <f>IF(RETORNOS!I638="","",RETORNOS!I638)</f>
        <v>0.01675731813</v>
      </c>
      <c r="E638" s="7">
        <f t="shared" si="2"/>
        <v>0.02230336516</v>
      </c>
      <c r="F638" s="7">
        <f t="shared" si="3"/>
        <v>-0.01492489436</v>
      </c>
      <c r="G638" s="7">
        <f t="shared" si="4"/>
        <v>-0.009378847326</v>
      </c>
      <c r="H638" s="5">
        <f t="shared" ref="H638:K638" si="638">IF(B638="","",H637*(1+B638))</f>
        <v>185.9073911</v>
      </c>
      <c r="I638" s="5">
        <f t="shared" si="638"/>
        <v>194.4199578</v>
      </c>
      <c r="J638" s="5">
        <f t="shared" si="638"/>
        <v>98.26112695</v>
      </c>
      <c r="K638" s="5">
        <f t="shared" si="638"/>
        <v>142.190828</v>
      </c>
      <c r="L638" s="7">
        <f t="shared" si="6"/>
        <v>-0.006847472705</v>
      </c>
    </row>
    <row r="639" ht="15.75" customHeight="1">
      <c r="A639" s="4">
        <f>IF(RETORNOS!A639="","",RETORNOS!A639)</f>
        <v>45338</v>
      </c>
      <c r="B639" s="7">
        <f>IF(RETORNOS!B639="","",OPTIMIZACION!$B$5*RETORNOS!B639+OPTIMIZACION!$B$6*RETORNOS!C639+OPTIMIZACION!$B$7*RETORNOS!D639+OPTIMIZACION!$B$8*RETORNOS!E639+OPTIMIZACION!$B$9*RETORNOS!F639+OPTIMIZACION!$B$10*RETORNOS!G639)</f>
        <v>-0.0004438022546</v>
      </c>
      <c r="C639" s="7">
        <f>IF(RETORNOS!H639="","",RETORNOS!H639)</f>
        <v>-0.0005835964505</v>
      </c>
      <c r="D639" s="7">
        <f>IF(RETORNOS!I639="","",RETORNOS!I639)</f>
        <v>-0.001149524782</v>
      </c>
      <c r="E639" s="7">
        <f t="shared" si="2"/>
        <v>-0.0008665606164</v>
      </c>
      <c r="F639" s="7">
        <f t="shared" si="3"/>
        <v>0.0001397941959</v>
      </c>
      <c r="G639" s="7">
        <f t="shared" si="4"/>
        <v>0.0004227583618</v>
      </c>
      <c r="H639" s="5">
        <f t="shared" ref="H639:K639" si="639">IF(B639="","",H638*(1+B639))</f>
        <v>185.824885</v>
      </c>
      <c r="I639" s="5">
        <f t="shared" si="639"/>
        <v>194.306495</v>
      </c>
      <c r="J639" s="5">
        <f t="shared" si="639"/>
        <v>98.14817335</v>
      </c>
      <c r="K639" s="5">
        <f t="shared" si="639"/>
        <v>142.067611</v>
      </c>
      <c r="L639" s="7">
        <f t="shared" si="6"/>
        <v>-0.007288236036</v>
      </c>
    </row>
    <row r="640" ht="15.75" customHeight="1">
      <c r="A640" s="4">
        <f>IF(RETORNOS!A640="","",RETORNOS!A640)</f>
        <v>45342</v>
      </c>
      <c r="B640" s="7">
        <f>IF(RETORNOS!B640="","",OPTIMIZACION!$B$5*RETORNOS!B640+OPTIMIZACION!$B$6*RETORNOS!C640+OPTIMIZACION!$B$7*RETORNOS!D640+OPTIMIZACION!$B$8*RETORNOS!E640+OPTIMIZACION!$B$9*RETORNOS!F640+OPTIMIZACION!$B$10*RETORNOS!G640)</f>
        <v>-0.001517435668</v>
      </c>
      <c r="C640" s="7">
        <f>IF(RETORNOS!H640="","",RETORNOS!H640)</f>
        <v>-0.009115909046</v>
      </c>
      <c r="D640" s="7">
        <f>IF(RETORNOS!I640="","",RETORNOS!I640)</f>
        <v>-0.0006482184392</v>
      </c>
      <c r="E640" s="7">
        <f t="shared" si="2"/>
        <v>-0.004882063742</v>
      </c>
      <c r="F640" s="7">
        <f t="shared" si="3"/>
        <v>0.007598473378</v>
      </c>
      <c r="G640" s="7">
        <f t="shared" si="4"/>
        <v>0.003364628074</v>
      </c>
      <c r="H640" s="5">
        <f t="shared" ref="H640:K640" si="640">IF(B640="","",H639*(1+B640))</f>
        <v>185.5429077</v>
      </c>
      <c r="I640" s="5">
        <f t="shared" si="640"/>
        <v>192.5352147</v>
      </c>
      <c r="J640" s="5">
        <f t="shared" si="640"/>
        <v>98.08455189</v>
      </c>
      <c r="K640" s="5">
        <f t="shared" si="640"/>
        <v>141.3740279</v>
      </c>
      <c r="L640" s="7">
        <f t="shared" si="6"/>
        <v>-0.008794612275</v>
      </c>
    </row>
    <row r="641" ht="15.75" customHeight="1">
      <c r="A641" s="4">
        <f>IF(RETORNOS!A641="","",RETORNOS!A641)</f>
        <v>45343</v>
      </c>
      <c r="B641" s="7">
        <f>IF(RETORNOS!B641="","",OPTIMIZACION!$B$5*RETORNOS!B641+OPTIMIZACION!$B$6*RETORNOS!C641+OPTIMIZACION!$B$7*RETORNOS!D641+OPTIMIZACION!$B$8*RETORNOS!E641+OPTIMIZACION!$B$9*RETORNOS!F641+OPTIMIZACION!$B$10*RETORNOS!G641)</f>
        <v>0.01297337846</v>
      </c>
      <c r="C641" s="7">
        <f>IF(RETORNOS!H641="","",RETORNOS!H641)</f>
        <v>0.01875464333</v>
      </c>
      <c r="D641" s="7">
        <f>IF(RETORNOS!I641="","",RETORNOS!I641)</f>
        <v>0.01323639593</v>
      </c>
      <c r="E641" s="7">
        <f t="shared" si="2"/>
        <v>0.01599551963</v>
      </c>
      <c r="F641" s="7">
        <f t="shared" si="3"/>
        <v>-0.005781264864</v>
      </c>
      <c r="G641" s="7">
        <f t="shared" si="4"/>
        <v>-0.003022141163</v>
      </c>
      <c r="H641" s="5">
        <f t="shared" ref="H641:K641" si="641">IF(B641="","",H640*(1+B641))</f>
        <v>187.9500261</v>
      </c>
      <c r="I641" s="5">
        <f t="shared" si="641"/>
        <v>196.146144</v>
      </c>
      <c r="J641" s="5">
        <f t="shared" si="641"/>
        <v>99.38283786</v>
      </c>
      <c r="K641" s="5">
        <f t="shared" si="641"/>
        <v>143.635379</v>
      </c>
      <c r="L641" s="7">
        <f t="shared" si="6"/>
        <v>0</v>
      </c>
    </row>
    <row r="642" ht="15.75" customHeight="1">
      <c r="A642" s="4">
        <f>IF(RETORNOS!A642="","",RETORNOS!A642)</f>
        <v>45344</v>
      </c>
      <c r="B642" s="7">
        <f>IF(RETORNOS!B642="","",OPTIMIZACION!$B$5*RETORNOS!B642+OPTIMIZACION!$B$6*RETORNOS!C642+OPTIMIZACION!$B$7*RETORNOS!D642+OPTIMIZACION!$B$8*RETORNOS!E642+OPTIMIZACION!$B$9*RETORNOS!F642+OPTIMIZACION!$B$10*RETORNOS!G642)</f>
        <v>0.01161541736</v>
      </c>
      <c r="C642" s="7">
        <f>IF(RETORNOS!H642="","",RETORNOS!H642)</f>
        <v>0.001735381512</v>
      </c>
      <c r="D642" s="7">
        <f>IF(RETORNOS!I642="","",RETORNOS!I642)</f>
        <v>-0.007740181848</v>
      </c>
      <c r="E642" s="7">
        <f t="shared" si="2"/>
        <v>-0.003002400168</v>
      </c>
      <c r="F642" s="7">
        <f t="shared" si="3"/>
        <v>0.009880035849</v>
      </c>
      <c r="G642" s="7">
        <f t="shared" si="4"/>
        <v>0.01461781753</v>
      </c>
      <c r="H642" s="5">
        <f t="shared" ref="H642:K642" si="642">IF(B642="","",H641*(1+B642))</f>
        <v>190.1331441</v>
      </c>
      <c r="I642" s="5">
        <f t="shared" si="642"/>
        <v>196.4865324</v>
      </c>
      <c r="J642" s="5">
        <f t="shared" si="642"/>
        <v>98.61359662</v>
      </c>
      <c r="K642" s="5">
        <f t="shared" si="642"/>
        <v>143.2041281</v>
      </c>
      <c r="L642" s="7">
        <f t="shared" si="6"/>
        <v>0</v>
      </c>
    </row>
    <row r="643" ht="15.75" customHeight="1">
      <c r="A643" s="4">
        <f>IF(RETORNOS!A643="","",RETORNOS!A643)</f>
        <v>45345</v>
      </c>
      <c r="B643" s="7">
        <f>IF(RETORNOS!B643="","",OPTIMIZACION!$B$5*RETORNOS!B643+OPTIMIZACION!$B$6*RETORNOS!C643+OPTIMIZACION!$B$7*RETORNOS!D643+OPTIMIZACION!$B$8*RETORNOS!E643+OPTIMIZACION!$B$9*RETORNOS!F643+OPTIMIZACION!$B$10*RETORNOS!G643)</f>
        <v>0.001724760447</v>
      </c>
      <c r="C643" s="7">
        <f>IF(RETORNOS!H643="","",RETORNOS!H643)</f>
        <v>-0.006588948335</v>
      </c>
      <c r="D643" s="7">
        <f>IF(RETORNOS!I643="","",RETORNOS!I643)</f>
        <v>0.007151950485</v>
      </c>
      <c r="E643" s="7">
        <f t="shared" si="2"/>
        <v>0.0002815010751</v>
      </c>
      <c r="F643" s="7">
        <f t="shared" si="3"/>
        <v>0.008313708782</v>
      </c>
      <c r="G643" s="7">
        <f t="shared" si="4"/>
        <v>0.001443259372</v>
      </c>
      <c r="H643" s="5">
        <f t="shared" ref="H643:K643" si="643">IF(B643="","",H642*(1+B643))</f>
        <v>190.4610782</v>
      </c>
      <c r="I643" s="5">
        <f t="shared" si="643"/>
        <v>195.1918927</v>
      </c>
      <c r="J643" s="5">
        <f t="shared" si="643"/>
        <v>99.31887618</v>
      </c>
      <c r="K643" s="5">
        <f t="shared" si="643"/>
        <v>143.2444402</v>
      </c>
      <c r="L643" s="7">
        <f t="shared" si="6"/>
        <v>0</v>
      </c>
    </row>
    <row r="644" ht="15.75" customHeight="1">
      <c r="A644" s="4">
        <f>IF(RETORNOS!A644="","",RETORNOS!A644)</f>
        <v>45348</v>
      </c>
      <c r="B644" s="7">
        <f>IF(RETORNOS!B644="","",OPTIMIZACION!$B$5*RETORNOS!B644+OPTIMIZACION!$B$6*RETORNOS!C644+OPTIMIZACION!$B$7*RETORNOS!D644+OPTIMIZACION!$B$8*RETORNOS!E644+OPTIMIZACION!$B$9*RETORNOS!F644+OPTIMIZACION!$B$10*RETORNOS!G644)</f>
        <v>-0.006264917356</v>
      </c>
      <c r="C644" s="7">
        <f>IF(RETORNOS!H644="","",RETORNOS!H644)</f>
        <v>0.003490214977</v>
      </c>
      <c r="D644" s="7">
        <f>IF(RETORNOS!I644="","",RETORNOS!I644)</f>
        <v>-0.01969005632</v>
      </c>
      <c r="E644" s="7">
        <f t="shared" si="2"/>
        <v>-0.008099920669</v>
      </c>
      <c r="F644" s="7">
        <f t="shared" si="3"/>
        <v>-0.009755132334</v>
      </c>
      <c r="G644" s="7">
        <f t="shared" si="4"/>
        <v>0.001835003313</v>
      </c>
      <c r="H644" s="5">
        <f t="shared" ref="H644:K644" si="644">IF(B644="","",H643*(1+B644))</f>
        <v>189.2678553</v>
      </c>
      <c r="I644" s="5">
        <f t="shared" si="644"/>
        <v>195.8731544</v>
      </c>
      <c r="J644" s="5">
        <f t="shared" si="644"/>
        <v>97.36328191</v>
      </c>
      <c r="K644" s="5">
        <f t="shared" si="644"/>
        <v>142.0841716</v>
      </c>
      <c r="L644" s="7">
        <f t="shared" si="6"/>
        <v>-0.006264917356</v>
      </c>
    </row>
    <row r="645" ht="15.75" customHeight="1">
      <c r="A645" s="4">
        <f>IF(RETORNOS!A645="","",RETORNOS!A645)</f>
        <v>45349</v>
      </c>
      <c r="B645" s="7">
        <f>IF(RETORNOS!B645="","",OPTIMIZACION!$B$5*RETORNOS!B645+OPTIMIZACION!$B$6*RETORNOS!C645+OPTIMIZACION!$B$7*RETORNOS!D645+OPTIMIZACION!$B$8*RETORNOS!E645+OPTIMIZACION!$B$9*RETORNOS!F645+OPTIMIZACION!$B$10*RETORNOS!G645)</f>
        <v>0.003634044363</v>
      </c>
      <c r="C645" s="7">
        <f>IF(RETORNOS!H645="","",RETORNOS!H645)</f>
        <v>-0.004290039336</v>
      </c>
      <c r="D645" s="7">
        <f>IF(RETORNOS!I645="","",RETORNOS!I645)</f>
        <v>0.01893240523</v>
      </c>
      <c r="E645" s="7">
        <f t="shared" si="2"/>
        <v>0.007321182949</v>
      </c>
      <c r="F645" s="7">
        <f t="shared" si="3"/>
        <v>0.007924083698</v>
      </c>
      <c r="G645" s="7">
        <f t="shared" si="4"/>
        <v>-0.003687138586</v>
      </c>
      <c r="H645" s="5">
        <f t="shared" ref="H645:K645" si="645">IF(B645="","",H644*(1+B645))</f>
        <v>189.9556631</v>
      </c>
      <c r="I645" s="5">
        <f t="shared" si="645"/>
        <v>195.0328509</v>
      </c>
      <c r="J645" s="5">
        <f t="shared" si="645"/>
        <v>99.20660302</v>
      </c>
      <c r="K645" s="5">
        <f t="shared" si="645"/>
        <v>143.1243958</v>
      </c>
      <c r="L645" s="7">
        <f t="shared" si="6"/>
        <v>-0.002653639981</v>
      </c>
    </row>
    <row r="646" ht="15.75" customHeight="1">
      <c r="A646" s="4">
        <f>IF(RETORNOS!A646="","",RETORNOS!A646)</f>
        <v>45350</v>
      </c>
      <c r="B646" s="7">
        <f>IF(RETORNOS!B646="","",OPTIMIZACION!$B$5*RETORNOS!B646+OPTIMIZACION!$B$6*RETORNOS!C646+OPTIMIZACION!$B$7*RETORNOS!D646+OPTIMIZACION!$B$8*RETORNOS!E646+OPTIMIZACION!$B$9*RETORNOS!F646+OPTIMIZACION!$B$10*RETORNOS!G646)</f>
        <v>0.006513344145</v>
      </c>
      <c r="C646" s="7">
        <f>IF(RETORNOS!H646="","",RETORNOS!H646)</f>
        <v>-0.001976500773</v>
      </c>
      <c r="D646" s="7">
        <f>IF(RETORNOS!I646="","",RETORNOS!I646)</f>
        <v>0.003065906706</v>
      </c>
      <c r="E646" s="7">
        <f t="shared" si="2"/>
        <v>0.0005447029664</v>
      </c>
      <c r="F646" s="7">
        <f t="shared" si="3"/>
        <v>0.008489844918</v>
      </c>
      <c r="G646" s="7">
        <f t="shared" si="4"/>
        <v>0.005968641179</v>
      </c>
      <c r="H646" s="5">
        <f t="shared" ref="H646:K646" si="646">IF(B646="","",H645*(1+B646))</f>
        <v>191.1929097</v>
      </c>
      <c r="I646" s="5">
        <f t="shared" si="646"/>
        <v>194.6473683</v>
      </c>
      <c r="J646" s="5">
        <f t="shared" si="646"/>
        <v>99.51076121</v>
      </c>
      <c r="K646" s="5">
        <f t="shared" si="646"/>
        <v>143.2023561</v>
      </c>
      <c r="L646" s="7">
        <f t="shared" si="6"/>
        <v>0</v>
      </c>
    </row>
    <row r="647" ht="15.75" customHeight="1">
      <c r="A647" s="4">
        <f>IF(RETORNOS!A647="","",RETORNOS!A647)</f>
        <v>45351</v>
      </c>
      <c r="B647" s="7">
        <f>IF(RETORNOS!B647="","",OPTIMIZACION!$B$5*RETORNOS!B647+OPTIMIZACION!$B$6*RETORNOS!C647+OPTIMIZACION!$B$7*RETORNOS!D647+OPTIMIZACION!$B$8*RETORNOS!E647+OPTIMIZACION!$B$9*RETORNOS!F647+OPTIMIZACION!$B$10*RETORNOS!G647)</f>
        <v>0.01090795268</v>
      </c>
      <c r="C647" s="7">
        <f>IF(RETORNOS!H647="","",RETORNOS!H647)</f>
        <v>0.004897479268</v>
      </c>
      <c r="D647" s="7">
        <f>IF(RETORNOS!I647="","",RETORNOS!I647)</f>
        <v>0.0003282185936</v>
      </c>
      <c r="E647" s="7">
        <f t="shared" si="2"/>
        <v>0.002612848931</v>
      </c>
      <c r="F647" s="7">
        <f t="shared" si="3"/>
        <v>0.00601047341</v>
      </c>
      <c r="G647" s="7">
        <f t="shared" si="4"/>
        <v>0.008295103747</v>
      </c>
      <c r="H647" s="5">
        <f t="shared" ref="H647:K647" si="647">IF(B647="","",H646*(1+B647))</f>
        <v>193.2784329</v>
      </c>
      <c r="I647" s="5">
        <f t="shared" si="647"/>
        <v>195.6006497</v>
      </c>
      <c r="J647" s="5">
        <f t="shared" si="647"/>
        <v>99.54342249</v>
      </c>
      <c r="K647" s="5">
        <f t="shared" si="647"/>
        <v>143.5765222</v>
      </c>
      <c r="L647" s="7">
        <f t="shared" si="6"/>
        <v>0</v>
      </c>
    </row>
    <row r="648" ht="15.75" customHeight="1">
      <c r="A648" s="4">
        <f>IF(RETORNOS!A648="","",RETORNOS!A648)</f>
        <v>45352</v>
      </c>
      <c r="B648" s="7">
        <f>IF(RETORNOS!B648="","",OPTIMIZACION!$B$5*RETORNOS!B648+OPTIMIZACION!$B$6*RETORNOS!C648+OPTIMIZACION!$B$7*RETORNOS!D648+OPTIMIZACION!$B$8*RETORNOS!E648+OPTIMIZACION!$B$9*RETORNOS!F648+OPTIMIZACION!$B$10*RETORNOS!G648)</f>
        <v>0.008883838995</v>
      </c>
      <c r="C648" s="7">
        <f>IF(RETORNOS!H648="","",RETORNOS!H648)</f>
        <v>0.01160643237</v>
      </c>
      <c r="D648" s="7">
        <f>IF(RETORNOS!I648="","",RETORNOS!I648)</f>
        <v>-0.006124736828</v>
      </c>
      <c r="E648" s="7">
        <f t="shared" si="2"/>
        <v>0.002740847773</v>
      </c>
      <c r="F648" s="7">
        <f t="shared" si="3"/>
        <v>-0.002722593378</v>
      </c>
      <c r="G648" s="7">
        <f t="shared" si="4"/>
        <v>0.006142991223</v>
      </c>
      <c r="H648" s="5">
        <f t="shared" ref="H648:K648" si="648">IF(B648="","",H647*(1+B648))</f>
        <v>194.9954873</v>
      </c>
      <c r="I648" s="5">
        <f t="shared" si="648"/>
        <v>197.8708755</v>
      </c>
      <c r="J648" s="5">
        <f t="shared" si="648"/>
        <v>98.93374523</v>
      </c>
      <c r="K648" s="5">
        <f t="shared" si="648"/>
        <v>143.9700436</v>
      </c>
      <c r="L648" s="7">
        <f t="shared" si="6"/>
        <v>0</v>
      </c>
    </row>
    <row r="649" ht="15.75" customHeight="1">
      <c r="A649" s="4">
        <f>IF(RETORNOS!A649="","",RETORNOS!A649)</f>
        <v>45355</v>
      </c>
      <c r="B649" s="7">
        <f>IF(RETORNOS!B649="","",OPTIMIZACION!$B$5*RETORNOS!B649+OPTIMIZACION!$B$6*RETORNOS!C649+OPTIMIZACION!$B$7*RETORNOS!D649+OPTIMIZACION!$B$8*RETORNOS!E649+OPTIMIZACION!$B$9*RETORNOS!F649+OPTIMIZACION!$B$10*RETORNOS!G649)</f>
        <v>0.01183469344</v>
      </c>
      <c r="C649" s="7">
        <f>IF(RETORNOS!H649="","",RETORNOS!H649)</f>
        <v>-0.01067195322</v>
      </c>
      <c r="D649" s="7">
        <f>IF(RETORNOS!I649="","",RETORNOS!I649)</f>
        <v>0.01685397122</v>
      </c>
      <c r="E649" s="7">
        <f t="shared" si="2"/>
        <v>0.003091008999</v>
      </c>
      <c r="F649" s="7">
        <f t="shared" si="3"/>
        <v>0.02250664666</v>
      </c>
      <c r="G649" s="7">
        <f t="shared" si="4"/>
        <v>0.008743684436</v>
      </c>
      <c r="H649" s="5">
        <f t="shared" ref="H649:K649" si="649">IF(B649="","",H648*(1+B649))</f>
        <v>197.3031992</v>
      </c>
      <c r="I649" s="5">
        <f t="shared" si="649"/>
        <v>195.7592067</v>
      </c>
      <c r="J649" s="5">
        <f t="shared" si="649"/>
        <v>100.6011717</v>
      </c>
      <c r="K649" s="5">
        <f t="shared" si="649"/>
        <v>144.4150563</v>
      </c>
      <c r="L649" s="7">
        <f t="shared" si="6"/>
        <v>0</v>
      </c>
    </row>
    <row r="650" ht="15.75" customHeight="1">
      <c r="A650" s="4">
        <f>IF(RETORNOS!A650="","",RETORNOS!A650)</f>
        <v>45356</v>
      </c>
      <c r="B650" s="7">
        <f>IF(RETORNOS!B650="","",OPTIMIZACION!$B$5*RETORNOS!B650+OPTIMIZACION!$B$6*RETORNOS!C650+OPTIMIZACION!$B$7*RETORNOS!D650+OPTIMIZACION!$B$8*RETORNOS!E650+OPTIMIZACION!$B$9*RETORNOS!F650+OPTIMIZACION!$B$10*RETORNOS!G650)</f>
        <v>0.00305977877</v>
      </c>
      <c r="C650" s="7">
        <f>IF(RETORNOS!H650="","",RETORNOS!H650)</f>
        <v>0.007425865195</v>
      </c>
      <c r="D650" s="7">
        <f>IF(RETORNOS!I650="","",RETORNOS!I650)</f>
        <v>-0.002871221165</v>
      </c>
      <c r="E650" s="7">
        <f t="shared" si="2"/>
        <v>0.002277322015</v>
      </c>
      <c r="F650" s="7">
        <f t="shared" si="3"/>
        <v>-0.004366086425</v>
      </c>
      <c r="G650" s="7">
        <f t="shared" si="4"/>
        <v>0.0007824567549</v>
      </c>
      <c r="H650" s="5">
        <f t="shared" ref="H650:K650" si="650">IF(B650="","",H649*(1+B650))</f>
        <v>197.9069033</v>
      </c>
      <c r="I650" s="5">
        <f t="shared" si="650"/>
        <v>197.2128882</v>
      </c>
      <c r="J650" s="5">
        <f t="shared" si="650"/>
        <v>100.3123235</v>
      </c>
      <c r="K650" s="5">
        <f t="shared" si="650"/>
        <v>144.7439359</v>
      </c>
      <c r="L650" s="7">
        <f t="shared" si="6"/>
        <v>0</v>
      </c>
    </row>
    <row r="651" ht="15.75" customHeight="1">
      <c r="A651" s="4">
        <f>IF(RETORNOS!A651="","",RETORNOS!A651)</f>
        <v>45357</v>
      </c>
      <c r="B651" s="7">
        <f>IF(RETORNOS!B651="","",OPTIMIZACION!$B$5*RETORNOS!B651+OPTIMIZACION!$B$6*RETORNOS!C651+OPTIMIZACION!$B$7*RETORNOS!D651+OPTIMIZACION!$B$8*RETORNOS!E651+OPTIMIZACION!$B$9*RETORNOS!F651+OPTIMIZACION!$B$10*RETORNOS!G651)</f>
        <v>0.01165175152</v>
      </c>
      <c r="C651" s="7">
        <f>IF(RETORNOS!H651="","",RETORNOS!H651)</f>
        <v>0.003110232542</v>
      </c>
      <c r="D651" s="7">
        <f>IF(RETORNOS!I651="","",RETORNOS!I651)</f>
        <v>0.009584729552</v>
      </c>
      <c r="E651" s="7">
        <f t="shared" si="2"/>
        <v>0.006347481047</v>
      </c>
      <c r="F651" s="7">
        <f t="shared" si="3"/>
        <v>0.008541518975</v>
      </c>
      <c r="G651" s="7">
        <f t="shared" si="4"/>
        <v>0.005304270471</v>
      </c>
      <c r="H651" s="5">
        <f t="shared" ref="H651:K651" si="651">IF(B651="","",H650*(1+B651))</f>
        <v>200.2128654</v>
      </c>
      <c r="I651" s="5">
        <f t="shared" si="651"/>
        <v>197.8262662</v>
      </c>
      <c r="J651" s="5">
        <f t="shared" si="651"/>
        <v>101.27379</v>
      </c>
      <c r="K651" s="5">
        <f t="shared" si="651"/>
        <v>145.6626953</v>
      </c>
      <c r="L651" s="7">
        <f t="shared" si="6"/>
        <v>0</v>
      </c>
    </row>
    <row r="652" ht="15.75" customHeight="1">
      <c r="A652" s="4">
        <f>IF(RETORNOS!A652="","",RETORNOS!A652)</f>
        <v>45358</v>
      </c>
      <c r="B652" s="7">
        <f>IF(RETORNOS!B652="","",OPTIMIZACION!$B$5*RETORNOS!B652+OPTIMIZACION!$B$6*RETORNOS!C652+OPTIMIZACION!$B$7*RETORNOS!D652+OPTIMIZACION!$B$8*RETORNOS!E652+OPTIMIZACION!$B$9*RETORNOS!F652+OPTIMIZACION!$B$10*RETORNOS!G652)</f>
        <v>0.001393103792</v>
      </c>
      <c r="C652" s="7">
        <f>IF(RETORNOS!H652="","",RETORNOS!H652)</f>
        <v>0.008492917666</v>
      </c>
      <c r="D652" s="7">
        <f>IF(RETORNOS!I652="","",RETORNOS!I652)</f>
        <v>0.006497127692</v>
      </c>
      <c r="E652" s="7">
        <f t="shared" si="2"/>
        <v>0.007495022679</v>
      </c>
      <c r="F652" s="7">
        <f t="shared" si="3"/>
        <v>-0.007099813874</v>
      </c>
      <c r="G652" s="7">
        <f t="shared" si="4"/>
        <v>-0.006101918887</v>
      </c>
      <c r="H652" s="5">
        <f t="shared" ref="H652:K652" si="652">IF(B652="","",H651*(1+B652))</f>
        <v>200.4917827</v>
      </c>
      <c r="I652" s="5">
        <f t="shared" si="652"/>
        <v>199.5063883</v>
      </c>
      <c r="J652" s="5">
        <f t="shared" si="652"/>
        <v>101.9317787</v>
      </c>
      <c r="K652" s="5">
        <f t="shared" si="652"/>
        <v>146.7544405</v>
      </c>
      <c r="L652" s="7">
        <f t="shared" si="6"/>
        <v>0</v>
      </c>
    </row>
    <row r="653" ht="15.75" customHeight="1">
      <c r="A653" s="4">
        <f>IF(RETORNOS!A653="","",RETORNOS!A653)</f>
        <v>45359</v>
      </c>
      <c r="B653" s="7">
        <f>IF(RETORNOS!B653="","",OPTIMIZACION!$B$5*RETORNOS!B653+OPTIMIZACION!$B$6*RETORNOS!C653+OPTIMIZACION!$B$7*RETORNOS!D653+OPTIMIZACION!$B$8*RETORNOS!E653+OPTIMIZACION!$B$9*RETORNOS!F653+OPTIMIZACION!$B$10*RETORNOS!G653)</f>
        <v>-0.004586212237</v>
      </c>
      <c r="C653" s="7">
        <f>IF(RETORNOS!H653="","",RETORNOS!H653)</f>
        <v>0.003528965712</v>
      </c>
      <c r="D653" s="7">
        <f>IF(RETORNOS!I653="","",RETORNOS!I653)</f>
        <v>0.00250997984</v>
      </c>
      <c r="E653" s="7">
        <f t="shared" si="2"/>
        <v>0.003019472776</v>
      </c>
      <c r="F653" s="7">
        <f t="shared" si="3"/>
        <v>-0.008115177949</v>
      </c>
      <c r="G653" s="7">
        <f t="shared" si="4"/>
        <v>-0.007605685013</v>
      </c>
      <c r="H653" s="5">
        <f t="shared" ref="H653:K653" si="653">IF(B653="","",H652*(1+B653))</f>
        <v>199.5722848</v>
      </c>
      <c r="I653" s="5">
        <f t="shared" si="653"/>
        <v>200.2104395</v>
      </c>
      <c r="J653" s="5">
        <f t="shared" si="653"/>
        <v>102.1876255</v>
      </c>
      <c r="K653" s="5">
        <f t="shared" si="653"/>
        <v>147.1975615</v>
      </c>
      <c r="L653" s="7">
        <f t="shared" si="6"/>
        <v>-0.004586212237</v>
      </c>
    </row>
    <row r="654" ht="15.75" customHeight="1">
      <c r="A654" s="4">
        <f>IF(RETORNOS!A654="","",RETORNOS!A654)</f>
        <v>45362</v>
      </c>
      <c r="B654" s="7">
        <f>IF(RETORNOS!B654="","",OPTIMIZACION!$B$5*RETORNOS!B654+OPTIMIZACION!$B$6*RETORNOS!C654+OPTIMIZACION!$B$7*RETORNOS!D654+OPTIMIZACION!$B$8*RETORNOS!E654+OPTIMIZACION!$B$9*RETORNOS!F654+OPTIMIZACION!$B$10*RETORNOS!G654)</f>
        <v>0.0001387328887</v>
      </c>
      <c r="C654" s="7">
        <f>IF(RETORNOS!H654="","",RETORNOS!H654)</f>
        <v>0.0103220119</v>
      </c>
      <c r="D654" s="7">
        <f>IF(RETORNOS!I654="","",RETORNOS!I654)</f>
        <v>0.005020708759</v>
      </c>
      <c r="E654" s="7">
        <f t="shared" si="2"/>
        <v>0.007671360328</v>
      </c>
      <c r="F654" s="7">
        <f t="shared" si="3"/>
        <v>-0.01018327901</v>
      </c>
      <c r="G654" s="7">
        <f t="shared" si="4"/>
        <v>-0.007532627439</v>
      </c>
      <c r="H654" s="5">
        <f t="shared" ref="H654:K654" si="654">IF(B654="","",H653*(1+B654))</f>
        <v>199.599972</v>
      </c>
      <c r="I654" s="5">
        <f t="shared" si="654"/>
        <v>202.2770141</v>
      </c>
      <c r="J654" s="5">
        <f t="shared" si="654"/>
        <v>102.7006798</v>
      </c>
      <c r="K654" s="5">
        <f t="shared" si="654"/>
        <v>148.326767</v>
      </c>
      <c r="L654" s="7">
        <f t="shared" si="6"/>
        <v>-0.004448115607</v>
      </c>
    </row>
    <row r="655" ht="15.75" customHeight="1">
      <c r="A655" s="4">
        <f>IF(RETORNOS!A655="","",RETORNOS!A655)</f>
        <v>45363</v>
      </c>
      <c r="B655" s="7">
        <f>IF(RETORNOS!B655="","",OPTIMIZACION!$B$5*RETORNOS!B655+OPTIMIZACION!$B$6*RETORNOS!C655+OPTIMIZACION!$B$7*RETORNOS!D655+OPTIMIZACION!$B$8*RETORNOS!E655+OPTIMIZACION!$B$9*RETORNOS!F655+OPTIMIZACION!$B$10*RETORNOS!G655)</f>
        <v>0.004501207355</v>
      </c>
      <c r="C655" s="7">
        <f>IF(RETORNOS!H655="","",RETORNOS!H655)</f>
        <v>-0.001574912625</v>
      </c>
      <c r="D655" s="7">
        <f>IF(RETORNOS!I655="","",RETORNOS!I655)</f>
        <v>-0.009676543079</v>
      </c>
      <c r="E655" s="7">
        <f t="shared" si="2"/>
        <v>-0.005625727852</v>
      </c>
      <c r="F655" s="7">
        <f t="shared" si="3"/>
        <v>0.00607611998</v>
      </c>
      <c r="G655" s="7">
        <f t="shared" si="4"/>
        <v>0.01012693521</v>
      </c>
      <c r="H655" s="5">
        <f t="shared" ref="H655:K655" si="655">IF(B655="","",H654*(1+B655))</f>
        <v>200.4984129</v>
      </c>
      <c r="I655" s="5">
        <f t="shared" si="655"/>
        <v>201.9584455</v>
      </c>
      <c r="J655" s="5">
        <f t="shared" si="655"/>
        <v>101.7068922</v>
      </c>
      <c r="K655" s="5">
        <f t="shared" si="655"/>
        <v>147.492321</v>
      </c>
      <c r="L655" s="7">
        <f t="shared" si="6"/>
        <v>0</v>
      </c>
    </row>
    <row r="656" ht="15.75" customHeight="1">
      <c r="A656" s="4">
        <f>IF(RETORNOS!A656="","",RETORNOS!A656)</f>
        <v>45364</v>
      </c>
      <c r="B656" s="7">
        <f>IF(RETORNOS!B656="","",OPTIMIZACION!$B$5*RETORNOS!B656+OPTIMIZACION!$B$6*RETORNOS!C656+OPTIMIZACION!$B$7*RETORNOS!D656+OPTIMIZACION!$B$8*RETORNOS!E656+OPTIMIZACION!$B$9*RETORNOS!F656+OPTIMIZACION!$B$10*RETORNOS!G656)</f>
        <v>0.01116176566</v>
      </c>
      <c r="C656" s="7">
        <f>IF(RETORNOS!H656="","",RETORNOS!H656)</f>
        <v>0.01597084337</v>
      </c>
      <c r="D656" s="7">
        <f>IF(RETORNOS!I656="","",RETORNOS!I656)</f>
        <v>0.006780556829</v>
      </c>
      <c r="E656" s="7">
        <f t="shared" si="2"/>
        <v>0.0113757001</v>
      </c>
      <c r="F656" s="7">
        <f t="shared" si="3"/>
        <v>-0.004809077704</v>
      </c>
      <c r="G656" s="7">
        <f t="shared" si="4"/>
        <v>-0.0002139344351</v>
      </c>
      <c r="H656" s="5">
        <f t="shared" ref="H656:K656" si="656">IF(B656="","",H655*(1+B656))</f>
        <v>202.7363292</v>
      </c>
      <c r="I656" s="5">
        <f t="shared" si="656"/>
        <v>205.1838922</v>
      </c>
      <c r="J656" s="5">
        <f t="shared" si="656"/>
        <v>102.3965216</v>
      </c>
      <c r="K656" s="5">
        <f t="shared" si="656"/>
        <v>149.1701494</v>
      </c>
      <c r="L656" s="7">
        <f t="shared" si="6"/>
        <v>0</v>
      </c>
    </row>
    <row r="657" ht="15.75" customHeight="1">
      <c r="A657" s="4">
        <f>IF(RETORNOS!A657="","",RETORNOS!A657)</f>
        <v>45365</v>
      </c>
      <c r="B657" s="7">
        <f>IF(RETORNOS!B657="","",OPTIMIZACION!$B$5*RETORNOS!B657+OPTIMIZACION!$B$6*RETORNOS!C657+OPTIMIZACION!$B$7*RETORNOS!D657+OPTIMIZACION!$B$8*RETORNOS!E657+OPTIMIZACION!$B$9*RETORNOS!F657+OPTIMIZACION!$B$10*RETORNOS!G657)</f>
        <v>0.004699056246</v>
      </c>
      <c r="C657" s="7">
        <f>IF(RETORNOS!H657="","",RETORNOS!H657)</f>
        <v>0.01029159114</v>
      </c>
      <c r="D657" s="7">
        <f>IF(RETORNOS!I657="","",RETORNOS!I657)</f>
        <v>-0.00798086188</v>
      </c>
      <c r="E657" s="7">
        <f t="shared" si="2"/>
        <v>0.001155364632</v>
      </c>
      <c r="F657" s="7">
        <f t="shared" si="3"/>
        <v>-0.005592534898</v>
      </c>
      <c r="G657" s="7">
        <f t="shared" si="4"/>
        <v>0.003543691614</v>
      </c>
      <c r="H657" s="5">
        <f t="shared" ref="H657:K657" si="657">IF(B657="","",H656*(1+B657))</f>
        <v>203.6889986</v>
      </c>
      <c r="I657" s="5">
        <f t="shared" si="657"/>
        <v>207.2955609</v>
      </c>
      <c r="J657" s="5">
        <f t="shared" si="657"/>
        <v>101.5793091</v>
      </c>
      <c r="K657" s="5">
        <f t="shared" si="657"/>
        <v>149.3424953</v>
      </c>
      <c r="L657" s="7">
        <f t="shared" si="6"/>
        <v>0</v>
      </c>
    </row>
    <row r="658" ht="15.75" customHeight="1">
      <c r="A658" s="4">
        <f>IF(RETORNOS!A658="","",RETORNOS!A658)</f>
        <v>45366</v>
      </c>
      <c r="B658" s="7">
        <f>IF(RETORNOS!B658="","",OPTIMIZACION!$B$5*RETORNOS!B658+OPTIMIZACION!$B$6*RETORNOS!C658+OPTIMIZACION!$B$7*RETORNOS!D658+OPTIMIZACION!$B$8*RETORNOS!E658+OPTIMIZACION!$B$9*RETORNOS!F658+OPTIMIZACION!$B$10*RETORNOS!G658)</f>
        <v>-0.003761354814</v>
      </c>
      <c r="C658" s="7">
        <f>IF(RETORNOS!H658="","",RETORNOS!H658)</f>
        <v>0.002956614489</v>
      </c>
      <c r="D658" s="7">
        <f>IF(RETORNOS!I658="","",RETORNOS!I658)</f>
        <v>0.001416762681</v>
      </c>
      <c r="E658" s="7">
        <f t="shared" si="2"/>
        <v>0.002186688585</v>
      </c>
      <c r="F658" s="7">
        <f t="shared" si="3"/>
        <v>-0.006717969303</v>
      </c>
      <c r="G658" s="7">
        <f t="shared" si="4"/>
        <v>-0.005948043399</v>
      </c>
      <c r="H658" s="5">
        <f t="shared" ref="H658:K658" si="658">IF(B658="","",H657*(1+B658))</f>
        <v>202.922852</v>
      </c>
      <c r="I658" s="5">
        <f t="shared" si="658"/>
        <v>207.9084539</v>
      </c>
      <c r="J658" s="5">
        <f t="shared" si="658"/>
        <v>101.7232229</v>
      </c>
      <c r="K658" s="5">
        <f t="shared" si="658"/>
        <v>149.6690609</v>
      </c>
      <c r="L658" s="7">
        <f t="shared" si="6"/>
        <v>-0.003761354814</v>
      </c>
    </row>
    <row r="659" ht="15.75" customHeight="1">
      <c r="A659" s="4">
        <f>IF(RETORNOS!A659="","",RETORNOS!A659)</f>
        <v>45369</v>
      </c>
      <c r="B659" s="7">
        <f>IF(RETORNOS!B659="","",OPTIMIZACION!$B$5*RETORNOS!B659+OPTIMIZACION!$B$6*RETORNOS!C659+OPTIMIZACION!$B$7*RETORNOS!D659+OPTIMIZACION!$B$8*RETORNOS!E659+OPTIMIZACION!$B$9*RETORNOS!F659+OPTIMIZACION!$B$10*RETORNOS!G659)</f>
        <v>0.01312180041</v>
      </c>
      <c r="C659" s="7">
        <f>IF(RETORNOS!H659="","",RETORNOS!H659)</f>
        <v>0.003456317925</v>
      </c>
      <c r="D659" s="7">
        <f>IF(RETORNOS!I659="","",RETORNOS!I659)</f>
        <v>0.004598800633</v>
      </c>
      <c r="E659" s="7">
        <f t="shared" si="2"/>
        <v>0.004027559279</v>
      </c>
      <c r="F659" s="7">
        <f t="shared" si="3"/>
        <v>0.009665482484</v>
      </c>
      <c r="G659" s="7">
        <f t="shared" si="4"/>
        <v>0.00909424113</v>
      </c>
      <c r="H659" s="5">
        <f t="shared" ref="H659:K659" si="659">IF(B659="","",H658*(1+B659))</f>
        <v>205.5855652</v>
      </c>
      <c r="I659" s="5">
        <f t="shared" si="659"/>
        <v>208.6270517</v>
      </c>
      <c r="J659" s="5">
        <f t="shared" si="659"/>
        <v>102.1910277</v>
      </c>
      <c r="K659" s="5">
        <f t="shared" si="659"/>
        <v>150.2718619</v>
      </c>
      <c r="L659" s="7">
        <f t="shared" si="6"/>
        <v>0</v>
      </c>
    </row>
    <row r="660" ht="15.75" customHeight="1">
      <c r="A660" s="4">
        <f>IF(RETORNOS!A660="","",RETORNOS!A660)</f>
        <v>45370</v>
      </c>
      <c r="B660" s="7">
        <f>IF(RETORNOS!B660="","",OPTIMIZACION!$B$5*RETORNOS!B660+OPTIMIZACION!$B$6*RETORNOS!C660+OPTIMIZACION!$B$7*RETORNOS!D660+OPTIMIZACION!$B$8*RETORNOS!E660+OPTIMIZACION!$B$9*RETORNOS!F660+OPTIMIZACION!$B$10*RETORNOS!G660)</f>
        <v>0.009275723061</v>
      </c>
      <c r="C660" s="7">
        <f>IF(RETORNOS!H660="","",RETORNOS!H660)</f>
        <v>0.01140932734</v>
      </c>
      <c r="D660" s="7">
        <f>IF(RETORNOS!I660="","",RETORNOS!I660)</f>
        <v>0.008855862514</v>
      </c>
      <c r="E660" s="7">
        <f t="shared" si="2"/>
        <v>0.01013259493</v>
      </c>
      <c r="F660" s="7">
        <f t="shared" si="3"/>
        <v>-0.002133604279</v>
      </c>
      <c r="G660" s="7">
        <f t="shared" si="4"/>
        <v>-0.0008568718667</v>
      </c>
      <c r="H660" s="5">
        <f t="shared" ref="H660:K660" si="660">IF(B660="","",H659*(1+B660))</f>
        <v>207.4925199</v>
      </c>
      <c r="I660" s="5">
        <f t="shared" si="660"/>
        <v>211.007346</v>
      </c>
      <c r="J660" s="5">
        <f t="shared" si="660"/>
        <v>103.0960174</v>
      </c>
      <c r="K660" s="5">
        <f t="shared" si="660"/>
        <v>151.7945058</v>
      </c>
      <c r="L660" s="7">
        <f t="shared" si="6"/>
        <v>0</v>
      </c>
    </row>
    <row r="661" ht="15.75" customHeight="1">
      <c r="A661" s="4">
        <f>IF(RETORNOS!A661="","",RETORNOS!A661)</f>
        <v>45371</v>
      </c>
      <c r="B661" s="7">
        <f>IF(RETORNOS!B661="","",OPTIMIZACION!$B$5*RETORNOS!B661+OPTIMIZACION!$B$6*RETORNOS!C661+OPTIMIZACION!$B$7*RETORNOS!D661+OPTIMIZACION!$B$8*RETORNOS!E661+OPTIMIZACION!$B$9*RETORNOS!F661+OPTIMIZACION!$B$10*RETORNOS!G661)</f>
        <v>0.009623795805</v>
      </c>
      <c r="C661" s="7">
        <f>IF(RETORNOS!H661="","",RETORNOS!H661)</f>
        <v>-0.001410939608</v>
      </c>
      <c r="D661" s="7">
        <f>IF(RETORNOS!I661="","",RETORNOS!I661)</f>
        <v>0.001257317854</v>
      </c>
      <c r="E661" s="7">
        <f t="shared" si="2"/>
        <v>-0.00007681087687</v>
      </c>
      <c r="F661" s="7">
        <f t="shared" si="3"/>
        <v>0.01103473541</v>
      </c>
      <c r="G661" s="7">
        <f t="shared" si="4"/>
        <v>0.009700606681</v>
      </c>
      <c r="H661" s="5">
        <f t="shared" ref="H661:K661" si="661">IF(B661="","",H660*(1+B661))</f>
        <v>209.4893856</v>
      </c>
      <c r="I661" s="5">
        <f t="shared" si="661"/>
        <v>210.7096274</v>
      </c>
      <c r="J661" s="5">
        <f t="shared" si="661"/>
        <v>103.2256418</v>
      </c>
      <c r="K661" s="5">
        <f t="shared" si="661"/>
        <v>151.7828463</v>
      </c>
      <c r="L661" s="7">
        <f t="shared" si="6"/>
        <v>0</v>
      </c>
    </row>
    <row r="662" ht="15.75" customHeight="1">
      <c r="A662" s="4">
        <f>IF(RETORNOS!A662="","",RETORNOS!A662)</f>
        <v>45372</v>
      </c>
      <c r="B662" s="7">
        <f>IF(RETORNOS!B662="","",OPTIMIZACION!$B$5*RETORNOS!B662+OPTIMIZACION!$B$6*RETORNOS!C662+OPTIMIZACION!$B$7*RETORNOS!D662+OPTIMIZACION!$B$8*RETORNOS!E662+OPTIMIZACION!$B$9*RETORNOS!F662+OPTIMIZACION!$B$10*RETORNOS!G662)</f>
        <v>0.01144628855</v>
      </c>
      <c r="C662" s="7">
        <f>IF(RETORNOS!H662="","",RETORNOS!H662)</f>
        <v>0.005973899857</v>
      </c>
      <c r="D662" s="7">
        <f>IF(RETORNOS!I662="","",RETORNOS!I662)</f>
        <v>-0.001568849763</v>
      </c>
      <c r="E662" s="7">
        <f t="shared" si="2"/>
        <v>0.002202525047</v>
      </c>
      <c r="F662" s="7">
        <f t="shared" si="3"/>
        <v>0.00547238869</v>
      </c>
      <c r="G662" s="7">
        <f t="shared" si="4"/>
        <v>0.0092437635</v>
      </c>
      <c r="H662" s="5">
        <f t="shared" ref="H662:K662" si="662">IF(B662="","",H661*(1+B662))</f>
        <v>211.8872615</v>
      </c>
      <c r="I662" s="5">
        <f t="shared" si="662"/>
        <v>211.9683856</v>
      </c>
      <c r="J662" s="5">
        <f t="shared" si="662"/>
        <v>103.0636963</v>
      </c>
      <c r="K662" s="5">
        <f t="shared" si="662"/>
        <v>152.1171518</v>
      </c>
      <c r="L662" s="7">
        <f t="shared" si="6"/>
        <v>0</v>
      </c>
    </row>
    <row r="663" ht="15.75" customHeight="1">
      <c r="A663" s="4">
        <f>IF(RETORNOS!A663="","",RETORNOS!A663)</f>
        <v>45373</v>
      </c>
      <c r="B663" s="7">
        <f>IF(RETORNOS!B663="","",OPTIMIZACION!$B$5*RETORNOS!B663+OPTIMIZACION!$B$6*RETORNOS!C663+OPTIMIZACION!$B$7*RETORNOS!D663+OPTIMIZACION!$B$8*RETORNOS!E663+OPTIMIZACION!$B$9*RETORNOS!F663+OPTIMIZACION!$B$10*RETORNOS!G663)</f>
        <v>0.0004413311581</v>
      </c>
      <c r="C663" s="7">
        <f>IF(RETORNOS!H663="","",RETORNOS!H663)</f>
        <v>-0.002157139491</v>
      </c>
      <c r="D663" s="7">
        <f>IF(RETORNOS!I663="","",RETORNOS!I663)</f>
        <v>0.001416164077</v>
      </c>
      <c r="E663" s="7">
        <f t="shared" si="2"/>
        <v>-0.0003704877071</v>
      </c>
      <c r="F663" s="7">
        <f t="shared" si="3"/>
        <v>0.002598470649</v>
      </c>
      <c r="G663" s="7">
        <f t="shared" si="4"/>
        <v>0.0008118188653</v>
      </c>
      <c r="H663" s="5">
        <f t="shared" ref="H663:K663" si="663">IF(B663="","",H662*(1+B663))</f>
        <v>211.980774</v>
      </c>
      <c r="I663" s="5">
        <f t="shared" si="663"/>
        <v>211.5111402</v>
      </c>
      <c r="J663" s="5">
        <f t="shared" si="663"/>
        <v>103.2096514</v>
      </c>
      <c r="K663" s="5">
        <f t="shared" si="663"/>
        <v>152.0607943</v>
      </c>
      <c r="L663" s="7">
        <f t="shared" si="6"/>
        <v>0</v>
      </c>
    </row>
    <row r="664" ht="15.75" customHeight="1">
      <c r="A664" s="4">
        <f>IF(RETORNOS!A664="","",RETORNOS!A664)</f>
        <v>45376</v>
      </c>
      <c r="B664" s="7">
        <f>IF(RETORNOS!B664="","",OPTIMIZACION!$B$5*RETORNOS!B664+OPTIMIZACION!$B$6*RETORNOS!C664+OPTIMIZACION!$B$7*RETORNOS!D664+OPTIMIZACION!$B$8*RETORNOS!E664+OPTIMIZACION!$B$9*RETORNOS!F664+OPTIMIZACION!$B$10*RETORNOS!G664)</f>
        <v>0.00431518688</v>
      </c>
      <c r="C664" s="7">
        <f>IF(RETORNOS!H664="","",RETORNOS!H664)</f>
        <v>0.009307443662</v>
      </c>
      <c r="D664" s="7">
        <f>IF(RETORNOS!I664="","",RETORNOS!I664)</f>
        <v>0.004694092827</v>
      </c>
      <c r="E664" s="7">
        <f t="shared" si="2"/>
        <v>0.007000768245</v>
      </c>
      <c r="F664" s="7">
        <f t="shared" si="3"/>
        <v>-0.004992256783</v>
      </c>
      <c r="G664" s="7">
        <f t="shared" si="4"/>
        <v>-0.002685581365</v>
      </c>
      <c r="H664" s="5">
        <f t="shared" ref="H664:K664" si="664">IF(B664="","",H663*(1+B664))</f>
        <v>212.8955107</v>
      </c>
      <c r="I664" s="5">
        <f t="shared" si="664"/>
        <v>213.4797682</v>
      </c>
      <c r="J664" s="5">
        <f t="shared" si="664"/>
        <v>103.6941271</v>
      </c>
      <c r="K664" s="5">
        <f t="shared" si="664"/>
        <v>153.1253367</v>
      </c>
      <c r="L664" s="7">
        <f t="shared" si="6"/>
        <v>0</v>
      </c>
    </row>
    <row r="665" ht="15.75" customHeight="1">
      <c r="A665" s="4">
        <f>IF(RETORNOS!A665="","",RETORNOS!A665)</f>
        <v>45377</v>
      </c>
      <c r="B665" s="7">
        <f>IF(RETORNOS!B665="","",OPTIMIZACION!$B$5*RETORNOS!B665+OPTIMIZACION!$B$6*RETORNOS!C665+OPTIMIZACION!$B$7*RETORNOS!D665+OPTIMIZACION!$B$8*RETORNOS!E665+OPTIMIZACION!$B$9*RETORNOS!F665+OPTIMIZACION!$B$10*RETORNOS!G665)</f>
        <v>-0.01164238291</v>
      </c>
      <c r="C665" s="7">
        <f>IF(RETORNOS!H665="","",RETORNOS!H665)</f>
        <v>-0.007720262566</v>
      </c>
      <c r="D665" s="7">
        <f>IF(RETORNOS!I665="","",RETORNOS!I665)</f>
        <v>-0.01137855006</v>
      </c>
      <c r="E665" s="7">
        <f t="shared" si="2"/>
        <v>-0.009549406311</v>
      </c>
      <c r="F665" s="7">
        <f t="shared" si="3"/>
        <v>-0.003922120341</v>
      </c>
      <c r="G665" s="7">
        <f t="shared" si="4"/>
        <v>-0.002092976597</v>
      </c>
      <c r="H665" s="5">
        <f t="shared" ref="H665:K665" si="665">IF(B665="","",H664*(1+B665))</f>
        <v>210.4168996</v>
      </c>
      <c r="I665" s="5">
        <f t="shared" si="665"/>
        <v>211.8316484</v>
      </c>
      <c r="J665" s="5">
        <f t="shared" si="665"/>
        <v>102.5142383</v>
      </c>
      <c r="K665" s="5">
        <f t="shared" si="665"/>
        <v>151.6630806</v>
      </c>
      <c r="L665" s="7">
        <f t="shared" si="6"/>
        <v>-0.01164238291</v>
      </c>
    </row>
    <row r="666" ht="15.75" customHeight="1">
      <c r="A666" s="4">
        <f>IF(RETORNOS!A666="","",RETORNOS!A666)</f>
        <v>45378</v>
      </c>
      <c r="B666" s="7">
        <f>IF(RETORNOS!B666="","",OPTIMIZACION!$B$5*RETORNOS!B666+OPTIMIZACION!$B$6*RETORNOS!C666+OPTIMIZACION!$B$7*RETORNOS!D666+OPTIMIZACION!$B$8*RETORNOS!E666+OPTIMIZACION!$B$9*RETORNOS!F666+OPTIMIZACION!$B$10*RETORNOS!G666)</f>
        <v>0.01434293612</v>
      </c>
      <c r="C666" s="7">
        <f>IF(RETORNOS!H666="","",RETORNOS!H666)</f>
        <v>0.009293361198</v>
      </c>
      <c r="D666" s="7">
        <f>IF(RETORNOS!I666="","",RETORNOS!I666)</f>
        <v>0.02790425998</v>
      </c>
      <c r="E666" s="7">
        <f t="shared" si="2"/>
        <v>0.01859881059</v>
      </c>
      <c r="F666" s="7">
        <f t="shared" si="3"/>
        <v>0.005049574918</v>
      </c>
      <c r="G666" s="7">
        <f t="shared" si="4"/>
        <v>-0.004255874473</v>
      </c>
      <c r="H666" s="5">
        <f t="shared" ref="H666:K666" si="666">IF(B666="","",H665*(1+B666))</f>
        <v>213.4348957</v>
      </c>
      <c r="I666" s="5">
        <f t="shared" si="666"/>
        <v>213.8002764</v>
      </c>
      <c r="J666" s="5">
        <f t="shared" si="666"/>
        <v>105.3748222</v>
      </c>
      <c r="K666" s="5">
        <f t="shared" si="666"/>
        <v>154.4838335</v>
      </c>
      <c r="L666" s="7">
        <f t="shared" si="6"/>
        <v>0</v>
      </c>
    </row>
    <row r="667" ht="15.75" customHeight="1">
      <c r="A667" s="4">
        <f>IF(RETORNOS!A667="","",RETORNOS!A667)</f>
        <v>45379</v>
      </c>
      <c r="B667" s="7">
        <f>IF(RETORNOS!B667="","",OPTIMIZACION!$B$5*RETORNOS!B667+OPTIMIZACION!$B$6*RETORNOS!C667+OPTIMIZACION!$B$7*RETORNOS!D667+OPTIMIZACION!$B$8*RETORNOS!E667+OPTIMIZACION!$B$9*RETORNOS!F667+OPTIMIZACION!$B$10*RETORNOS!G667)</f>
        <v>0.007259948416</v>
      </c>
      <c r="C667" s="7">
        <f>IF(RETORNOS!H667="","",RETORNOS!H667)</f>
        <v>0.01081348329</v>
      </c>
      <c r="D667" s="7">
        <f>IF(RETORNOS!I667="","",RETORNOS!I667)</f>
        <v>0.006902920019</v>
      </c>
      <c r="E667" s="7">
        <f t="shared" si="2"/>
        <v>0.008858201654</v>
      </c>
      <c r="F667" s="7">
        <f t="shared" si="3"/>
        <v>-0.003553534873</v>
      </c>
      <c r="G667" s="7">
        <f t="shared" si="4"/>
        <v>-0.001598253238</v>
      </c>
      <c r="H667" s="5">
        <f t="shared" ref="H667:K667" si="667">IF(B667="","",H666*(1+B667))</f>
        <v>214.9844221</v>
      </c>
      <c r="I667" s="5">
        <f t="shared" si="667"/>
        <v>216.1122021</v>
      </c>
      <c r="J667" s="5">
        <f t="shared" si="667"/>
        <v>106.1022162</v>
      </c>
      <c r="K667" s="5">
        <f t="shared" si="667"/>
        <v>155.8522825</v>
      </c>
      <c r="L667" s="7">
        <f t="shared" si="6"/>
        <v>0</v>
      </c>
    </row>
    <row r="668" ht="15.75" customHeight="1">
      <c r="A668" s="4">
        <f>IF(RETORNOS!A668="","",RETORNOS!A668)</f>
        <v>45383</v>
      </c>
      <c r="B668" s="7">
        <f>IF(RETORNOS!B668="","",OPTIMIZACION!$B$5*RETORNOS!B668+OPTIMIZACION!$B$6*RETORNOS!C668+OPTIMIZACION!$B$7*RETORNOS!D668+OPTIMIZACION!$B$8*RETORNOS!E668+OPTIMIZACION!$B$9*RETORNOS!F668+OPTIMIZACION!$B$10*RETORNOS!G668)</f>
        <v>0.0005022949095</v>
      </c>
      <c r="C668" s="7">
        <f>IF(RETORNOS!H668="","",RETORNOS!H668)</f>
        <v>0.00741531841</v>
      </c>
      <c r="D668" s="7">
        <f>IF(RETORNOS!I668="","",RETORNOS!I668)</f>
        <v>-0.006095644869</v>
      </c>
      <c r="E668" s="7">
        <f t="shared" si="2"/>
        <v>0.0006598367707</v>
      </c>
      <c r="F668" s="7">
        <f t="shared" si="3"/>
        <v>-0.0069130235</v>
      </c>
      <c r="G668" s="7">
        <f t="shared" si="4"/>
        <v>-0.0001575418612</v>
      </c>
      <c r="H668" s="5">
        <f t="shared" ref="H668:K668" si="668">IF(B668="","",H667*(1+B668))</f>
        <v>215.0924077</v>
      </c>
      <c r="I668" s="5">
        <f t="shared" si="668"/>
        <v>217.7147429</v>
      </c>
      <c r="J668" s="5">
        <f t="shared" si="668"/>
        <v>105.4554548</v>
      </c>
      <c r="K668" s="5">
        <f t="shared" si="668"/>
        <v>155.9551196</v>
      </c>
      <c r="L668" s="7">
        <f t="shared" si="6"/>
        <v>0</v>
      </c>
    </row>
    <row r="669" ht="15.75" customHeight="1">
      <c r="A669" s="4">
        <f>IF(RETORNOS!A669="","",RETORNOS!A669)</f>
        <v>45384</v>
      </c>
      <c r="B669" s="7">
        <f>IF(RETORNOS!B669="","",OPTIMIZACION!$B$5*RETORNOS!B669+OPTIMIZACION!$B$6*RETORNOS!C669+OPTIMIZACION!$B$7*RETORNOS!D669+OPTIMIZACION!$B$8*RETORNOS!E669+OPTIMIZACION!$B$9*RETORNOS!F669+OPTIMIZACION!$B$10*RETORNOS!G669)</f>
        <v>0.009716819324</v>
      </c>
      <c r="C669" s="7">
        <f>IF(RETORNOS!H669="","",RETORNOS!H669)</f>
        <v>0.01398205807</v>
      </c>
      <c r="D669" s="7">
        <f>IF(RETORNOS!I669="","",RETORNOS!I669)</f>
        <v>0.001687309049</v>
      </c>
      <c r="E669" s="7">
        <f t="shared" si="2"/>
        <v>0.007834683557</v>
      </c>
      <c r="F669" s="7">
        <f t="shared" si="3"/>
        <v>-0.004265238742</v>
      </c>
      <c r="G669" s="7">
        <f t="shared" si="4"/>
        <v>0.001882135766</v>
      </c>
      <c r="H669" s="5">
        <f t="shared" ref="H669:K669" si="669">IF(B669="","",H668*(1+B669))</f>
        <v>217.1824217</v>
      </c>
      <c r="I669" s="5">
        <f t="shared" si="669"/>
        <v>220.7588431</v>
      </c>
      <c r="J669" s="5">
        <f t="shared" si="669"/>
        <v>105.6333907</v>
      </c>
      <c r="K669" s="5">
        <f t="shared" si="669"/>
        <v>157.1769786</v>
      </c>
      <c r="L669" s="7">
        <f t="shared" si="6"/>
        <v>0</v>
      </c>
    </row>
    <row r="670" ht="15.75" customHeight="1">
      <c r="A670" s="4">
        <f>IF(RETORNOS!A670="","",RETORNOS!A670)</f>
        <v>45385</v>
      </c>
      <c r="B670" s="7">
        <f>IF(RETORNOS!B670="","",OPTIMIZACION!$B$5*RETORNOS!B670+OPTIMIZACION!$B$6*RETORNOS!C670+OPTIMIZACION!$B$7*RETORNOS!D670+OPTIMIZACION!$B$8*RETORNOS!E670+OPTIMIZACION!$B$9*RETORNOS!F670+OPTIMIZACION!$B$10*RETORNOS!G670)</f>
        <v>0.008336252594</v>
      </c>
      <c r="C670" s="7">
        <f>IF(RETORNOS!H670="","",RETORNOS!H670)</f>
        <v>0.006844109804</v>
      </c>
      <c r="D670" s="7">
        <f>IF(RETORNOS!I670="","",RETORNOS!I670)</f>
        <v>-0.003974439907</v>
      </c>
      <c r="E670" s="7">
        <f t="shared" si="2"/>
        <v>0.001434834949</v>
      </c>
      <c r="F670" s="7">
        <f t="shared" si="3"/>
        <v>0.00149214279</v>
      </c>
      <c r="G670" s="7">
        <f t="shared" si="4"/>
        <v>0.006901417645</v>
      </c>
      <c r="H670" s="5">
        <f t="shared" ref="H670:K670" si="670">IF(B670="","",H669*(1+B670))</f>
        <v>218.9929093</v>
      </c>
      <c r="I670" s="5">
        <f t="shared" si="670"/>
        <v>222.2697408</v>
      </c>
      <c r="J670" s="5">
        <f t="shared" si="670"/>
        <v>105.2135572</v>
      </c>
      <c r="K670" s="5">
        <f t="shared" si="670"/>
        <v>157.4025016</v>
      </c>
      <c r="L670" s="7">
        <f t="shared" si="6"/>
        <v>0</v>
      </c>
    </row>
    <row r="671" ht="15.75" customHeight="1">
      <c r="A671" s="4">
        <f>IF(RETORNOS!A671="","",RETORNOS!A671)</f>
        <v>45386</v>
      </c>
      <c r="B671" s="7">
        <f>IF(RETORNOS!B671="","",OPTIMIZACION!$B$5*RETORNOS!B671+OPTIMIZACION!$B$6*RETORNOS!C671+OPTIMIZACION!$B$7*RETORNOS!D671+OPTIMIZACION!$B$8*RETORNOS!E671+OPTIMIZACION!$B$9*RETORNOS!F671+OPTIMIZACION!$B$10*RETORNOS!G671)</f>
        <v>-0.01021023853</v>
      </c>
      <c r="C671" s="7">
        <f>IF(RETORNOS!H671="","",RETORNOS!H671)</f>
        <v>-0.0006173674405</v>
      </c>
      <c r="D671" s="7">
        <f>IF(RETORNOS!I671="","",RETORNOS!I671)</f>
        <v>-0.001998383185</v>
      </c>
      <c r="E671" s="7">
        <f t="shared" si="2"/>
        <v>-0.001307875313</v>
      </c>
      <c r="F671" s="7">
        <f t="shared" si="3"/>
        <v>-0.009592871088</v>
      </c>
      <c r="G671" s="7">
        <f t="shared" si="4"/>
        <v>-0.008902363215</v>
      </c>
      <c r="H671" s="5">
        <f t="shared" ref="H671:K671" si="671">IF(B671="","",H670*(1+B671))</f>
        <v>216.7569394</v>
      </c>
      <c r="I671" s="5">
        <f t="shared" si="671"/>
        <v>222.1325187</v>
      </c>
      <c r="J671" s="5">
        <f t="shared" si="671"/>
        <v>105.0033002</v>
      </c>
      <c r="K671" s="5">
        <f t="shared" si="671"/>
        <v>157.1966387</v>
      </c>
      <c r="L671" s="7">
        <f t="shared" si="6"/>
        <v>-0.01021023853</v>
      </c>
    </row>
    <row r="672" ht="15.75" customHeight="1">
      <c r="A672" s="4">
        <f>IF(RETORNOS!A672="","",RETORNOS!A672)</f>
        <v>45387</v>
      </c>
      <c r="B672" s="7">
        <f>IF(RETORNOS!B672="","",OPTIMIZACION!$B$5*RETORNOS!B672+OPTIMIZACION!$B$6*RETORNOS!C672+OPTIMIZACION!$B$7*RETORNOS!D672+OPTIMIZACION!$B$8*RETORNOS!E672+OPTIMIZACION!$B$9*RETORNOS!F672+OPTIMIZACION!$B$10*RETORNOS!G672)</f>
        <v>0.01758673691</v>
      </c>
      <c r="C672" s="7">
        <f>IF(RETORNOS!H672="","",RETORNOS!H672)</f>
        <v>0.01071783286</v>
      </c>
      <c r="D672" s="7">
        <f>IF(RETORNOS!I672="","",RETORNOS!I672)</f>
        <v>0.002922574458</v>
      </c>
      <c r="E672" s="7">
        <f t="shared" si="2"/>
        <v>0.006820203658</v>
      </c>
      <c r="F672" s="7">
        <f t="shared" si="3"/>
        <v>0.006868904053</v>
      </c>
      <c r="G672" s="7">
        <f t="shared" si="4"/>
        <v>0.01076653325</v>
      </c>
      <c r="H672" s="5">
        <f t="shared" ref="H672:K672" si="672">IF(B672="","",H671*(1+B672))</f>
        <v>220.5689867</v>
      </c>
      <c r="I672" s="5">
        <f t="shared" si="672"/>
        <v>224.5132979</v>
      </c>
      <c r="J672" s="5">
        <f t="shared" si="672"/>
        <v>105.3101801</v>
      </c>
      <c r="K672" s="5">
        <f t="shared" si="672"/>
        <v>158.2687518</v>
      </c>
      <c r="L672" s="7">
        <f t="shared" si="6"/>
        <v>0</v>
      </c>
    </row>
    <row r="673" ht="15.75" customHeight="1">
      <c r="A673" s="4">
        <f>IF(RETORNOS!A673="","",RETORNOS!A673)</f>
        <v>45390</v>
      </c>
      <c r="B673" s="7">
        <f>IF(RETORNOS!B673="","",OPTIMIZACION!$B$5*RETORNOS!B673+OPTIMIZACION!$B$6*RETORNOS!C673+OPTIMIZACION!$B$7*RETORNOS!D673+OPTIMIZACION!$B$8*RETORNOS!E673+OPTIMIZACION!$B$9*RETORNOS!F673+OPTIMIZACION!$B$10*RETORNOS!G673)</f>
        <v>-0.002022751534</v>
      </c>
      <c r="C673" s="7">
        <f>IF(RETORNOS!H673="","",RETORNOS!H673)</f>
        <v>-0.006321472923</v>
      </c>
      <c r="D673" s="7">
        <f>IF(RETORNOS!I673="","",RETORNOS!I673)</f>
        <v>0.006600244238</v>
      </c>
      <c r="E673" s="7">
        <f t="shared" si="2"/>
        <v>0.0001393856577</v>
      </c>
      <c r="F673" s="7">
        <f t="shared" si="3"/>
        <v>0.004298721389</v>
      </c>
      <c r="G673" s="7">
        <f t="shared" si="4"/>
        <v>-0.002162137192</v>
      </c>
      <c r="H673" s="5">
        <f t="shared" ref="H673:K673" si="673">IF(B673="","",H672*(1+B673))</f>
        <v>220.1228304</v>
      </c>
      <c r="I673" s="5">
        <f t="shared" si="673"/>
        <v>223.0940432</v>
      </c>
      <c r="J673" s="5">
        <f t="shared" si="673"/>
        <v>106.005253</v>
      </c>
      <c r="K673" s="5">
        <f t="shared" si="673"/>
        <v>158.2908122</v>
      </c>
      <c r="L673" s="7">
        <f t="shared" si="6"/>
        <v>-0.002022751534</v>
      </c>
    </row>
    <row r="674" ht="15.75" customHeight="1">
      <c r="A674" s="4">
        <f>IF(RETORNOS!A674="","",RETORNOS!A674)</f>
        <v>45391</v>
      </c>
      <c r="B674" s="7">
        <f>IF(RETORNOS!B674="","",OPTIMIZACION!$B$5*RETORNOS!B674+OPTIMIZACION!$B$6*RETORNOS!C674+OPTIMIZACION!$B$7*RETORNOS!D674+OPTIMIZACION!$B$8*RETORNOS!E674+OPTIMIZACION!$B$9*RETORNOS!F674+OPTIMIZACION!$B$10*RETORNOS!G674)</f>
        <v>-0.005367400192</v>
      </c>
      <c r="C674" s="7">
        <f>IF(RETORNOS!H674="","",RETORNOS!H674)</f>
        <v>0.0003064564506</v>
      </c>
      <c r="D674" s="7">
        <f>IF(RETORNOS!I674="","",RETORNOS!I674)</f>
        <v>0.005488209977</v>
      </c>
      <c r="E674" s="7">
        <f t="shared" si="2"/>
        <v>0.002897333214</v>
      </c>
      <c r="F674" s="7">
        <f t="shared" si="3"/>
        <v>-0.005673856643</v>
      </c>
      <c r="G674" s="7">
        <f t="shared" si="4"/>
        <v>-0.008264733406</v>
      </c>
      <c r="H674" s="5">
        <f t="shared" ref="H674:K674" si="674">IF(B674="","",H673*(1+B674))</f>
        <v>218.9413431</v>
      </c>
      <c r="I674" s="5">
        <f t="shared" si="674"/>
        <v>223.1624118</v>
      </c>
      <c r="J674" s="5">
        <f t="shared" si="674"/>
        <v>106.5870321</v>
      </c>
      <c r="K674" s="5">
        <f t="shared" si="674"/>
        <v>158.7494335</v>
      </c>
      <c r="L674" s="7">
        <f t="shared" si="6"/>
        <v>-0.007379294809</v>
      </c>
    </row>
    <row r="675" ht="15.75" customHeight="1">
      <c r="A675" s="4">
        <f>IF(RETORNOS!A675="","",RETORNOS!A675)</f>
        <v>45392</v>
      </c>
      <c r="B675" s="7">
        <f>IF(RETORNOS!B675="","",OPTIMIZACION!$B$5*RETORNOS!B675+OPTIMIZACION!$B$6*RETORNOS!C675+OPTIMIZACION!$B$7*RETORNOS!D675+OPTIMIZACION!$B$8*RETORNOS!E675+OPTIMIZACION!$B$9*RETORNOS!F675+OPTIMIZACION!$B$10*RETORNOS!G675)</f>
        <v>-0.002039659953</v>
      </c>
      <c r="C675" s="7">
        <f>IF(RETORNOS!H675="","",RETORNOS!H675)</f>
        <v>0.003076662343</v>
      </c>
      <c r="D675" s="7">
        <f>IF(RETORNOS!I675="","",RETORNOS!I675)</f>
        <v>-0.01713125664</v>
      </c>
      <c r="E675" s="7">
        <f t="shared" si="2"/>
        <v>-0.00702729715</v>
      </c>
      <c r="F675" s="7">
        <f t="shared" si="3"/>
        <v>-0.005116322296</v>
      </c>
      <c r="G675" s="7">
        <f t="shared" si="4"/>
        <v>0.004987637197</v>
      </c>
      <c r="H675" s="5">
        <f t="shared" ref="H675:K675" si="675">IF(B675="","",H674*(1+B675))</f>
        <v>218.4947772</v>
      </c>
      <c r="I675" s="5">
        <f t="shared" si="675"/>
        <v>223.8490072</v>
      </c>
      <c r="J675" s="5">
        <f t="shared" si="675"/>
        <v>104.7610623</v>
      </c>
      <c r="K675" s="5">
        <f t="shared" si="675"/>
        <v>157.633854</v>
      </c>
      <c r="L675" s="7">
        <f t="shared" si="6"/>
        <v>-0.00940390351</v>
      </c>
    </row>
    <row r="676" ht="15.75" customHeight="1">
      <c r="A676" s="4">
        <f>IF(RETORNOS!A676="","",RETORNOS!A676)</f>
        <v>45393</v>
      </c>
      <c r="B676" s="7">
        <f>IF(RETORNOS!B676="","",OPTIMIZACION!$B$5*RETORNOS!B676+OPTIMIZACION!$B$6*RETORNOS!C676+OPTIMIZACION!$B$7*RETORNOS!D676+OPTIMIZACION!$B$8*RETORNOS!E676+OPTIMIZACION!$B$9*RETORNOS!F676+OPTIMIZACION!$B$10*RETORNOS!G676)</f>
        <v>0.0004107497803</v>
      </c>
      <c r="C676" s="7">
        <f>IF(RETORNOS!H676="","",RETORNOS!H676)</f>
        <v>-0.0007148195081</v>
      </c>
      <c r="D676" s="7">
        <f>IF(RETORNOS!I676="","",RETORNOS!I676)</f>
        <v>-0.002007014809</v>
      </c>
      <c r="E676" s="7">
        <f t="shared" si="2"/>
        <v>-0.001360917159</v>
      </c>
      <c r="F676" s="7">
        <f t="shared" si="3"/>
        <v>0.001125569288</v>
      </c>
      <c r="G676" s="7">
        <f t="shared" si="4"/>
        <v>0.001771666939</v>
      </c>
      <c r="H676" s="5">
        <f t="shared" ref="H676:K676" si="676">IF(B676="","",H675*(1+B676))</f>
        <v>218.5845239</v>
      </c>
      <c r="I676" s="5">
        <f t="shared" si="676"/>
        <v>223.6889956</v>
      </c>
      <c r="J676" s="5">
        <f t="shared" si="676"/>
        <v>104.5508053</v>
      </c>
      <c r="K676" s="5">
        <f t="shared" si="676"/>
        <v>157.4193274</v>
      </c>
      <c r="L676" s="7">
        <f t="shared" si="6"/>
        <v>-0.008997016381</v>
      </c>
    </row>
    <row r="677" ht="15.75" customHeight="1">
      <c r="A677" s="4">
        <f>IF(RETORNOS!A677="","",RETORNOS!A677)</f>
        <v>45394</v>
      </c>
      <c r="B677" s="7">
        <f>IF(RETORNOS!B677="","",OPTIMIZACION!$B$5*RETORNOS!B677+OPTIMIZACION!$B$6*RETORNOS!C677+OPTIMIZACION!$B$7*RETORNOS!D677+OPTIMIZACION!$B$8*RETORNOS!E677+OPTIMIZACION!$B$9*RETORNOS!F677+OPTIMIZACION!$B$10*RETORNOS!G677)</f>
        <v>-0.01344732914</v>
      </c>
      <c r="C677" s="7">
        <f>IF(RETORNOS!H677="","",RETORNOS!H677)</f>
        <v>-0.01627269279</v>
      </c>
      <c r="D677" s="7">
        <f>IF(RETORNOS!I677="","",RETORNOS!I677)</f>
        <v>-0.007575609661</v>
      </c>
      <c r="E677" s="7">
        <f t="shared" si="2"/>
        <v>-0.01192415122</v>
      </c>
      <c r="F677" s="7">
        <f t="shared" si="3"/>
        <v>0.00282536365</v>
      </c>
      <c r="G677" s="7">
        <f t="shared" si="4"/>
        <v>-0.001523177913</v>
      </c>
      <c r="H677" s="5">
        <f t="shared" ref="H677:K677" si="677">IF(B677="","",H676*(1+B677))</f>
        <v>215.6451459</v>
      </c>
      <c r="I677" s="5">
        <f t="shared" si="677"/>
        <v>220.0489733</v>
      </c>
      <c r="J677" s="5">
        <f t="shared" si="677"/>
        <v>103.7587692</v>
      </c>
      <c r="K677" s="5">
        <f t="shared" si="677"/>
        <v>155.5422355</v>
      </c>
      <c r="L677" s="7">
        <f t="shared" si="6"/>
        <v>-0.02232335968</v>
      </c>
    </row>
    <row r="678" ht="15.75" customHeight="1">
      <c r="A678" s="4">
        <f>IF(RETORNOS!A678="","",RETORNOS!A678)</f>
        <v>45397</v>
      </c>
      <c r="B678" s="7">
        <f>IF(RETORNOS!B678="","",OPTIMIZACION!$B$5*RETORNOS!B678+OPTIMIZACION!$B$6*RETORNOS!C678+OPTIMIZACION!$B$7*RETORNOS!D678+OPTIMIZACION!$B$8*RETORNOS!E678+OPTIMIZACION!$B$9*RETORNOS!F678+OPTIMIZACION!$B$10*RETORNOS!G678)</f>
        <v>-0.01165554084</v>
      </c>
      <c r="C678" s="7">
        <f>IF(RETORNOS!H678="","",RETORNOS!H678)</f>
        <v>-0.009360580673</v>
      </c>
      <c r="D678" s="7">
        <f>IF(RETORNOS!I678="","",RETORNOS!I678)</f>
        <v>-0.009187668457</v>
      </c>
      <c r="E678" s="7">
        <f t="shared" si="2"/>
        <v>-0.009274124565</v>
      </c>
      <c r="F678" s="7">
        <f t="shared" si="3"/>
        <v>-0.00229496017</v>
      </c>
      <c r="G678" s="7">
        <f t="shared" si="4"/>
        <v>-0.002381416279</v>
      </c>
      <c r="H678" s="5">
        <f t="shared" ref="H678:K678" si="678">IF(B678="","",H677*(1+B678))</f>
        <v>213.131685</v>
      </c>
      <c r="I678" s="5">
        <f t="shared" si="678"/>
        <v>217.9891871</v>
      </c>
      <c r="J678" s="5">
        <f t="shared" si="678"/>
        <v>102.805468</v>
      </c>
      <c r="K678" s="5">
        <f t="shared" si="678"/>
        <v>154.0997175</v>
      </c>
      <c r="L678" s="7">
        <f t="shared" si="6"/>
        <v>-0.03371870969</v>
      </c>
    </row>
    <row r="679" ht="15.75" customHeight="1">
      <c r="A679" s="4">
        <f>IF(RETORNOS!A679="","",RETORNOS!A679)</f>
        <v>45398</v>
      </c>
      <c r="B679" s="7">
        <f>IF(RETORNOS!B679="","",OPTIMIZACION!$B$5*RETORNOS!B679+OPTIMIZACION!$B$6*RETORNOS!C679+OPTIMIZACION!$B$7*RETORNOS!D679+OPTIMIZACION!$B$8*RETORNOS!E679+OPTIMIZACION!$B$9*RETORNOS!F679+OPTIMIZACION!$B$10*RETORNOS!G679)</f>
        <v>-0.006027356338</v>
      </c>
      <c r="C679" s="7">
        <f>IF(RETORNOS!H679="","",RETORNOS!H679)</f>
        <v>-0.008717218676</v>
      </c>
      <c r="D679" s="7">
        <f>IF(RETORNOS!I679="","",RETORNOS!I679)</f>
        <v>-0.01320770952</v>
      </c>
      <c r="E679" s="7">
        <f t="shared" si="2"/>
        <v>-0.0109624641</v>
      </c>
      <c r="F679" s="7">
        <f t="shared" si="3"/>
        <v>0.002689862338</v>
      </c>
      <c r="G679" s="7">
        <f t="shared" si="4"/>
        <v>0.004935107758</v>
      </c>
      <c r="H679" s="5">
        <f t="shared" ref="H679:K679" si="679">IF(B679="","",H678*(1+B679))</f>
        <v>211.8470644</v>
      </c>
      <c r="I679" s="5">
        <f t="shared" si="679"/>
        <v>216.0889277</v>
      </c>
      <c r="J679" s="5">
        <f t="shared" si="679"/>
        <v>101.4476433</v>
      </c>
      <c r="K679" s="5">
        <f t="shared" si="679"/>
        <v>152.4104049</v>
      </c>
      <c r="L679" s="7">
        <f t="shared" si="6"/>
        <v>-0.03954283135</v>
      </c>
    </row>
    <row r="680" ht="15.75" customHeight="1">
      <c r="A680" s="4">
        <f>IF(RETORNOS!A680="","",RETORNOS!A680)</f>
        <v>45399</v>
      </c>
      <c r="B680" s="7">
        <f>IF(RETORNOS!B680="","",OPTIMIZACION!$B$5*RETORNOS!B680+OPTIMIZACION!$B$6*RETORNOS!C680+OPTIMIZACION!$B$7*RETORNOS!D680+OPTIMIZACION!$B$8*RETORNOS!E680+OPTIMIZACION!$B$9*RETORNOS!F680+OPTIMIZACION!$B$10*RETORNOS!G680)</f>
        <v>0.003583501521</v>
      </c>
      <c r="C680" s="7">
        <f>IF(RETORNOS!H680="","",RETORNOS!H680)</f>
        <v>-0.002856495329</v>
      </c>
      <c r="D680" s="7">
        <f>IF(RETORNOS!I680="","",RETORNOS!I680)</f>
        <v>0.02087322801</v>
      </c>
      <c r="E680" s="7">
        <f t="shared" si="2"/>
        <v>0.009008366338</v>
      </c>
      <c r="F680" s="7">
        <f t="shared" si="3"/>
        <v>0.00643999685</v>
      </c>
      <c r="G680" s="7">
        <f t="shared" si="4"/>
        <v>-0.005424864818</v>
      </c>
      <c r="H680" s="5">
        <f t="shared" ref="H680:K680" si="680">IF(B680="","",H679*(1+B680))</f>
        <v>212.6062187</v>
      </c>
      <c r="I680" s="5">
        <f t="shared" si="680"/>
        <v>215.4716707</v>
      </c>
      <c r="J680" s="5">
        <f t="shared" si="680"/>
        <v>103.5651831</v>
      </c>
      <c r="K680" s="5">
        <f t="shared" si="680"/>
        <v>153.7833736</v>
      </c>
      <c r="L680" s="7">
        <f t="shared" si="6"/>
        <v>-0.03610103163</v>
      </c>
    </row>
    <row r="681" ht="15.75" customHeight="1">
      <c r="A681" s="4">
        <f>IF(RETORNOS!A681="","",RETORNOS!A681)</f>
        <v>45400</v>
      </c>
      <c r="B681" s="7">
        <f>IF(RETORNOS!B681="","",OPTIMIZACION!$B$5*RETORNOS!B681+OPTIMIZACION!$B$6*RETORNOS!C681+OPTIMIZACION!$B$7*RETORNOS!D681+OPTIMIZACION!$B$8*RETORNOS!E681+OPTIMIZACION!$B$9*RETORNOS!F681+OPTIMIZACION!$B$10*RETORNOS!G681)</f>
        <v>-0.004493889658</v>
      </c>
      <c r="C681" s="7">
        <f>IF(RETORNOS!H681="","",RETORNOS!H681)</f>
        <v>-0.003085211239</v>
      </c>
      <c r="D681" s="7">
        <f>IF(RETORNOS!I681="","",RETORNOS!I681)</f>
        <v>0.005610945944</v>
      </c>
      <c r="E681" s="7">
        <f t="shared" si="2"/>
        <v>0.001262867352</v>
      </c>
      <c r="F681" s="7">
        <f t="shared" si="3"/>
        <v>-0.001408678419</v>
      </c>
      <c r="G681" s="7">
        <f t="shared" si="4"/>
        <v>-0.00575675701</v>
      </c>
      <c r="H681" s="5">
        <f t="shared" ref="H681:K681" si="681">IF(B681="","",H680*(1+B681))</f>
        <v>211.6507898</v>
      </c>
      <c r="I681" s="5">
        <f t="shared" si="681"/>
        <v>214.806895</v>
      </c>
      <c r="J681" s="5">
        <f t="shared" si="681"/>
        <v>104.1462817</v>
      </c>
      <c r="K681" s="5">
        <f t="shared" si="681"/>
        <v>153.9775816</v>
      </c>
      <c r="L681" s="7">
        <f t="shared" si="6"/>
        <v>-0.04043268723</v>
      </c>
    </row>
    <row r="682" ht="15.75" customHeight="1">
      <c r="A682" s="4">
        <f>IF(RETORNOS!A682="","",RETORNOS!A682)</f>
        <v>45401</v>
      </c>
      <c r="B682" s="7">
        <f>IF(RETORNOS!B682="","",OPTIMIZACION!$B$5*RETORNOS!B682+OPTIMIZACION!$B$6*RETORNOS!C682+OPTIMIZACION!$B$7*RETORNOS!D682+OPTIMIZACION!$B$8*RETORNOS!E682+OPTIMIZACION!$B$9*RETORNOS!F682+OPTIMIZACION!$B$10*RETORNOS!G682)</f>
        <v>0.01264661974</v>
      </c>
      <c r="C682" s="7">
        <f>IF(RETORNOS!H682="","",RETORNOS!H682)</f>
        <v>0.0120426991</v>
      </c>
      <c r="D682" s="7">
        <f>IF(RETORNOS!I682="","",RETORNOS!I682)</f>
        <v>0.01537014109</v>
      </c>
      <c r="E682" s="7">
        <f t="shared" si="2"/>
        <v>0.0137064201</v>
      </c>
      <c r="F682" s="7">
        <f t="shared" si="3"/>
        <v>0.0006039206389</v>
      </c>
      <c r="G682" s="7">
        <f t="shared" si="4"/>
        <v>-0.001059800357</v>
      </c>
      <c r="H682" s="5">
        <f t="shared" ref="H682:K682" si="682">IF(B682="","",H681*(1+B682))</f>
        <v>214.3274569</v>
      </c>
      <c r="I682" s="5">
        <f t="shared" si="682"/>
        <v>217.3937498</v>
      </c>
      <c r="J682" s="5">
        <f t="shared" si="682"/>
        <v>105.7470248</v>
      </c>
      <c r="K682" s="5">
        <f t="shared" si="682"/>
        <v>156.088063</v>
      </c>
      <c r="L682" s="7">
        <f t="shared" si="6"/>
        <v>-0.02829740431</v>
      </c>
    </row>
    <row r="683" ht="15.75" customHeight="1">
      <c r="A683" s="4">
        <f>IF(RETORNOS!A683="","",RETORNOS!A683)</f>
        <v>45404</v>
      </c>
      <c r="B683" s="7">
        <f>IF(RETORNOS!B683="","",OPTIMIZACION!$B$5*RETORNOS!B683+OPTIMIZACION!$B$6*RETORNOS!C683+OPTIMIZACION!$B$7*RETORNOS!D683+OPTIMIZACION!$B$8*RETORNOS!E683+OPTIMIZACION!$B$9*RETORNOS!F683+OPTIMIZACION!$B$10*RETORNOS!G683)</f>
        <v>0.01579443081</v>
      </c>
      <c r="C683" s="7">
        <f>IF(RETORNOS!H683="","",RETORNOS!H683)</f>
        <v>0.006530728774</v>
      </c>
      <c r="D683" s="7">
        <f>IF(RETORNOS!I683="","",RETORNOS!I683)</f>
        <v>0.009166135809</v>
      </c>
      <c r="E683" s="7">
        <f t="shared" si="2"/>
        <v>0.007848432292</v>
      </c>
      <c r="F683" s="7">
        <f t="shared" si="3"/>
        <v>0.009263702036</v>
      </c>
      <c r="G683" s="7">
        <f t="shared" si="4"/>
        <v>0.007945998518</v>
      </c>
      <c r="H683" s="5">
        <f t="shared" ref="H683:K683" si="683">IF(B683="","",H682*(1+B683))</f>
        <v>217.7126371</v>
      </c>
      <c r="I683" s="5">
        <f t="shared" si="683"/>
        <v>218.8134895</v>
      </c>
      <c r="J683" s="5">
        <f t="shared" si="683"/>
        <v>106.7163164</v>
      </c>
      <c r="K683" s="5">
        <f t="shared" si="683"/>
        <v>157.3131096</v>
      </c>
      <c r="L683" s="7">
        <f t="shared" si="6"/>
        <v>-0.0129499149</v>
      </c>
    </row>
    <row r="684" ht="15.75" customHeight="1">
      <c r="A684" s="4">
        <f>IF(RETORNOS!A684="","",RETORNOS!A684)</f>
        <v>45405</v>
      </c>
      <c r="B684" s="7">
        <f>IF(RETORNOS!B684="","",OPTIMIZACION!$B$5*RETORNOS!B684+OPTIMIZACION!$B$6*RETORNOS!C684+OPTIMIZACION!$B$7*RETORNOS!D684+OPTIMIZACION!$B$8*RETORNOS!E684+OPTIMIZACION!$B$9*RETORNOS!F684+OPTIMIZACION!$B$10*RETORNOS!G684)</f>
        <v>0.007039809394</v>
      </c>
      <c r="C684" s="7">
        <f>IF(RETORNOS!H684="","",RETORNOS!H684)</f>
        <v>0.005544352605</v>
      </c>
      <c r="D684" s="7">
        <f>IF(RETORNOS!I684="","",RETORNOS!I684)</f>
        <v>0.004692874928</v>
      </c>
      <c r="E684" s="7">
        <f t="shared" si="2"/>
        <v>0.005118613766</v>
      </c>
      <c r="F684" s="7">
        <f t="shared" si="3"/>
        <v>0.001495456789</v>
      </c>
      <c r="G684" s="7">
        <f t="shared" si="4"/>
        <v>0.001921195627</v>
      </c>
      <c r="H684" s="5">
        <f t="shared" ref="H684:K684" si="684">IF(B684="","",H683*(1+B684))</f>
        <v>219.2452925</v>
      </c>
      <c r="I684" s="5">
        <f t="shared" si="684"/>
        <v>220.0266686</v>
      </c>
      <c r="J684" s="5">
        <f t="shared" si="684"/>
        <v>107.2171227</v>
      </c>
      <c r="K684" s="5">
        <f t="shared" si="684"/>
        <v>158.1183347</v>
      </c>
      <c r="L684" s="7">
        <f t="shared" si="6"/>
        <v>-0.006001270437</v>
      </c>
    </row>
    <row r="685" ht="15.75" customHeight="1">
      <c r="A685" s="4">
        <f>IF(RETORNOS!A685="","",RETORNOS!A685)</f>
        <v>45406</v>
      </c>
      <c r="B685" s="7">
        <f>IF(RETORNOS!B685="","",OPTIMIZACION!$B$5*RETORNOS!B685+OPTIMIZACION!$B$6*RETORNOS!C685+OPTIMIZACION!$B$7*RETORNOS!D685+OPTIMIZACION!$B$8*RETORNOS!E685+OPTIMIZACION!$B$9*RETORNOS!F685+OPTIMIZACION!$B$10*RETORNOS!G685)</f>
        <v>0.006154169864</v>
      </c>
      <c r="C685" s="7">
        <f>IF(RETORNOS!H685="","",RETORNOS!H685)</f>
        <v>0.0007294412172</v>
      </c>
      <c r="D685" s="7">
        <f>IF(RETORNOS!I685="","",RETORNOS!I685)</f>
        <v>0.006029085578</v>
      </c>
      <c r="E685" s="7">
        <f t="shared" si="2"/>
        <v>0.003379263398</v>
      </c>
      <c r="F685" s="7">
        <f t="shared" si="3"/>
        <v>0.005424728647</v>
      </c>
      <c r="G685" s="7">
        <f t="shared" si="4"/>
        <v>0.002774906466</v>
      </c>
      <c r="H685" s="5">
        <f t="shared" ref="H685:K685" si="685">IF(B685="","",H684*(1+B685))</f>
        <v>220.5945653</v>
      </c>
      <c r="I685" s="5">
        <f t="shared" si="685"/>
        <v>220.1871651</v>
      </c>
      <c r="J685" s="5">
        <f t="shared" si="685"/>
        <v>107.8635439</v>
      </c>
      <c r="K685" s="5">
        <f t="shared" si="685"/>
        <v>158.6526582</v>
      </c>
      <c r="L685" s="7">
        <f t="shared" si="6"/>
        <v>0</v>
      </c>
    </row>
    <row r="686" ht="15.75" customHeight="1">
      <c r="A686" s="4">
        <f>IF(RETORNOS!A686="","",RETORNOS!A686)</f>
        <v>45407</v>
      </c>
      <c r="B686" s="7">
        <f>IF(RETORNOS!B686="","",OPTIMIZACION!$B$5*RETORNOS!B686+OPTIMIZACION!$B$6*RETORNOS!C686+OPTIMIZACION!$B$7*RETORNOS!D686+OPTIMIZACION!$B$8*RETORNOS!E686+OPTIMIZACION!$B$9*RETORNOS!F686+OPTIMIZACION!$B$10*RETORNOS!G686)</f>
        <v>0.005886898809</v>
      </c>
      <c r="C686" s="7">
        <f>IF(RETORNOS!H686="","",RETORNOS!H686)</f>
        <v>0.004571650044</v>
      </c>
      <c r="D686" s="7">
        <f>IF(RETORNOS!I686="","",RETORNOS!I686)</f>
        <v>0.002699983283</v>
      </c>
      <c r="E686" s="7">
        <f t="shared" si="2"/>
        <v>0.003635816663</v>
      </c>
      <c r="F686" s="7">
        <f t="shared" si="3"/>
        <v>0.001315248765</v>
      </c>
      <c r="G686" s="7">
        <f t="shared" si="4"/>
        <v>0.002251082146</v>
      </c>
      <c r="H686" s="5">
        <f t="shared" ref="H686:K686" si="686">IF(B686="","",H685*(1+B686))</f>
        <v>221.8931832</v>
      </c>
      <c r="I686" s="5">
        <f t="shared" si="686"/>
        <v>221.1937838</v>
      </c>
      <c r="J686" s="5">
        <f t="shared" si="686"/>
        <v>108.1547737</v>
      </c>
      <c r="K686" s="5">
        <f t="shared" si="686"/>
        <v>159.2294902</v>
      </c>
      <c r="L686" s="7">
        <f t="shared" si="6"/>
        <v>0</v>
      </c>
    </row>
    <row r="687" ht="15.75" customHeight="1">
      <c r="A687" s="4">
        <f>IF(RETORNOS!A687="","",RETORNOS!A687)</f>
        <v>45408</v>
      </c>
      <c r="B687" s="7">
        <f>IF(RETORNOS!B687="","",OPTIMIZACION!$B$5*RETORNOS!B687+OPTIMIZACION!$B$6*RETORNOS!C687+OPTIMIZACION!$B$7*RETORNOS!D687+OPTIMIZACION!$B$8*RETORNOS!E687+OPTIMIZACION!$B$9*RETORNOS!F687+OPTIMIZACION!$B$10*RETORNOS!G687)</f>
        <v>-0.004637567734</v>
      </c>
      <c r="C687" s="7">
        <f>IF(RETORNOS!H687="","",RETORNOS!H687)</f>
        <v>-0.009211296443</v>
      </c>
      <c r="D687" s="7">
        <f>IF(RETORNOS!I687="","",RETORNOS!I687)</f>
        <v>-0.01090926249</v>
      </c>
      <c r="E687" s="7">
        <f t="shared" si="2"/>
        <v>-0.01006027947</v>
      </c>
      <c r="F687" s="7">
        <f t="shared" si="3"/>
        <v>0.004573728709</v>
      </c>
      <c r="G687" s="7">
        <f t="shared" si="4"/>
        <v>0.005422711734</v>
      </c>
      <c r="H687" s="5">
        <f t="shared" ref="H687:K687" si="687">IF(B687="","",H686*(1+B687))</f>
        <v>220.8641385</v>
      </c>
      <c r="I687" s="5">
        <f t="shared" si="687"/>
        <v>219.1563023</v>
      </c>
      <c r="J687" s="5">
        <f t="shared" si="687"/>
        <v>106.9748848</v>
      </c>
      <c r="K687" s="5">
        <f t="shared" si="687"/>
        <v>157.627597</v>
      </c>
      <c r="L687" s="7">
        <f t="shared" si="6"/>
        <v>-0.004637567734</v>
      </c>
    </row>
    <row r="688" ht="15.75" customHeight="1">
      <c r="A688" s="4">
        <f>IF(RETORNOS!A688="","",RETORNOS!A688)</f>
        <v>45411</v>
      </c>
      <c r="B688" s="7">
        <f>IF(RETORNOS!B688="","",OPTIMIZACION!$B$5*RETORNOS!B688+OPTIMIZACION!$B$6*RETORNOS!C688+OPTIMIZACION!$B$7*RETORNOS!D688+OPTIMIZACION!$B$8*RETORNOS!E688+OPTIMIZACION!$B$9*RETORNOS!F688+OPTIMIZACION!$B$10*RETORNOS!G688)</f>
        <v>0.01671633829</v>
      </c>
      <c r="C688" s="7">
        <f>IF(RETORNOS!H688="","",RETORNOS!H688)</f>
        <v>0.006792381028</v>
      </c>
      <c r="D688" s="7">
        <f>IF(RETORNOS!I688="","",RETORNOS!I688)</f>
        <v>0.01359934102</v>
      </c>
      <c r="E688" s="7">
        <f t="shared" si="2"/>
        <v>0.01019586103</v>
      </c>
      <c r="F688" s="7">
        <f t="shared" si="3"/>
        <v>0.009923957262</v>
      </c>
      <c r="G688" s="7">
        <f t="shared" si="4"/>
        <v>0.006520477265</v>
      </c>
      <c r="H688" s="5">
        <f t="shared" ref="H688:K688" si="688">IF(B688="","",H687*(1+B688))</f>
        <v>224.5561782</v>
      </c>
      <c r="I688" s="5">
        <f t="shared" si="688"/>
        <v>220.6448954</v>
      </c>
      <c r="J688" s="5">
        <f t="shared" si="688"/>
        <v>108.4296728</v>
      </c>
      <c r="K688" s="5">
        <f t="shared" si="688"/>
        <v>159.2347461</v>
      </c>
      <c r="L688" s="7">
        <f t="shared" si="6"/>
        <v>0</v>
      </c>
    </row>
    <row r="689" ht="15.75" customHeight="1">
      <c r="A689" s="4">
        <f>IF(RETORNOS!A689="","",RETORNOS!A689)</f>
        <v>45412</v>
      </c>
      <c r="B689" s="7">
        <f>IF(RETORNOS!B689="","",OPTIMIZACION!$B$5*RETORNOS!B689+OPTIMIZACION!$B$6*RETORNOS!C689+OPTIMIZACION!$B$7*RETORNOS!D689+OPTIMIZACION!$B$8*RETORNOS!E689+OPTIMIZACION!$B$9*RETORNOS!F689+OPTIMIZACION!$B$10*RETORNOS!G689)</f>
        <v>-0.01320080539</v>
      </c>
      <c r="C689" s="7">
        <f>IF(RETORNOS!H689="","",RETORNOS!H689)</f>
        <v>-0.02977934147</v>
      </c>
      <c r="D689" s="7">
        <f>IF(RETORNOS!I689="","",RETORNOS!I689)</f>
        <v>-0.005221162022</v>
      </c>
      <c r="E689" s="7">
        <f t="shared" si="2"/>
        <v>-0.01750025175</v>
      </c>
      <c r="F689" s="7">
        <f t="shared" si="3"/>
        <v>0.01657853608</v>
      </c>
      <c r="G689" s="7">
        <f t="shared" si="4"/>
        <v>0.004299446357</v>
      </c>
      <c r="H689" s="5">
        <f t="shared" ref="H689:K689" si="689">IF(B689="","",H688*(1+B689))</f>
        <v>221.5918558</v>
      </c>
      <c r="I689" s="5">
        <f t="shared" si="689"/>
        <v>214.0742357</v>
      </c>
      <c r="J689" s="5">
        <f t="shared" si="689"/>
        <v>107.8635439</v>
      </c>
      <c r="K689" s="5">
        <f t="shared" si="689"/>
        <v>156.4480979</v>
      </c>
      <c r="L689" s="7">
        <f t="shared" si="6"/>
        <v>-0.01320080539</v>
      </c>
    </row>
    <row r="690" ht="15.75" customHeight="1">
      <c r="A690" s="4">
        <f>IF(RETORNOS!A690="","",RETORNOS!A690)</f>
        <v>45413</v>
      </c>
      <c r="B690" s="7">
        <f>IF(RETORNOS!B690="","",OPTIMIZACION!$B$5*RETORNOS!B690+OPTIMIZACION!$B$6*RETORNOS!C690+OPTIMIZACION!$B$7*RETORNOS!D690+OPTIMIZACION!$B$8*RETORNOS!E690+OPTIMIZACION!$B$9*RETORNOS!F690+OPTIMIZACION!$B$10*RETORNOS!G690)</f>
        <v>-0.00378214425</v>
      </c>
      <c r="C690" s="7">
        <f>IF(RETORNOS!H690="","",RETORNOS!H690)</f>
        <v>-0.01592992915</v>
      </c>
      <c r="D690" s="7">
        <f>IF(RETORNOS!I690="","",RETORNOS!I690)</f>
        <v>0.01154116686</v>
      </c>
      <c r="E690" s="7">
        <f t="shared" si="2"/>
        <v>-0.002194381145</v>
      </c>
      <c r="F690" s="7">
        <f t="shared" si="3"/>
        <v>0.0121477849</v>
      </c>
      <c r="G690" s="7">
        <f t="shared" si="4"/>
        <v>-0.001587763105</v>
      </c>
      <c r="H690" s="5">
        <f t="shared" ref="H690:K690" si="690">IF(B690="","",H689*(1+B690))</f>
        <v>220.7537634</v>
      </c>
      <c r="I690" s="5">
        <f t="shared" si="690"/>
        <v>210.6640483</v>
      </c>
      <c r="J690" s="5">
        <f t="shared" si="690"/>
        <v>109.108415</v>
      </c>
      <c r="K690" s="5">
        <f t="shared" si="690"/>
        <v>156.1047912</v>
      </c>
      <c r="L690" s="7">
        <f t="shared" si="6"/>
        <v>-0.01693302229</v>
      </c>
    </row>
    <row r="691" ht="15.75" customHeight="1">
      <c r="A691" s="4">
        <f>IF(RETORNOS!A691="","",RETORNOS!A691)</f>
        <v>45414</v>
      </c>
      <c r="B691" s="7">
        <f>IF(RETORNOS!B691="","",OPTIMIZACION!$B$5*RETORNOS!B691+OPTIMIZACION!$B$6*RETORNOS!C691+OPTIMIZACION!$B$7*RETORNOS!D691+OPTIMIZACION!$B$8*RETORNOS!E691+OPTIMIZACION!$B$9*RETORNOS!F691+OPTIMIZACION!$B$10*RETORNOS!G691)</f>
        <v>0.01282353385</v>
      </c>
      <c r="C691" s="7">
        <f>IF(RETORNOS!H691="","",RETORNOS!H691)</f>
        <v>0.005758833318</v>
      </c>
      <c r="D691" s="7">
        <f>IF(RETORNOS!I691="","",RETORNOS!I691)</f>
        <v>0.005329001116</v>
      </c>
      <c r="E691" s="7">
        <f t="shared" si="2"/>
        <v>0.005543917217</v>
      </c>
      <c r="F691" s="7">
        <f t="shared" si="3"/>
        <v>0.007064700535</v>
      </c>
      <c r="G691" s="7">
        <f t="shared" si="4"/>
        <v>0.007279616636</v>
      </c>
      <c r="H691" s="5">
        <f t="shared" ref="H691:K691" si="691">IF(B691="","",H690*(1+B691))</f>
        <v>223.5846068</v>
      </c>
      <c r="I691" s="5">
        <f t="shared" si="691"/>
        <v>211.8772274</v>
      </c>
      <c r="J691" s="5">
        <f t="shared" si="691"/>
        <v>109.6898539</v>
      </c>
      <c r="K691" s="5">
        <f t="shared" si="691"/>
        <v>156.9702232</v>
      </c>
      <c r="L691" s="7">
        <f t="shared" si="6"/>
        <v>-0.004326629623</v>
      </c>
    </row>
    <row r="692" ht="15.75" customHeight="1">
      <c r="A692" s="4">
        <f>IF(RETORNOS!A692="","",RETORNOS!A692)</f>
        <v>45415</v>
      </c>
      <c r="B692" s="7">
        <f>IF(RETORNOS!B692="","",OPTIMIZACION!$B$5*RETORNOS!B692+OPTIMIZACION!$B$6*RETORNOS!C692+OPTIMIZACION!$B$7*RETORNOS!D692+OPTIMIZACION!$B$8*RETORNOS!E692+OPTIMIZACION!$B$9*RETORNOS!F692+OPTIMIZACION!$B$10*RETORNOS!G692)</f>
        <v>0.01013309929</v>
      </c>
      <c r="C692" s="7">
        <f>IF(RETORNOS!H692="","",RETORNOS!H692)</f>
        <v>0.0001098486149</v>
      </c>
      <c r="D692" s="7">
        <f>IF(RETORNOS!I692="","",RETORNOS!I692)</f>
        <v>0.007961985937</v>
      </c>
      <c r="E692" s="7">
        <f t="shared" si="2"/>
        <v>0.004035917276</v>
      </c>
      <c r="F692" s="7">
        <f t="shared" si="3"/>
        <v>0.01002325068</v>
      </c>
      <c r="G692" s="7">
        <f t="shared" si="4"/>
        <v>0.006097182018</v>
      </c>
      <c r="H692" s="5">
        <f t="shared" ref="H692:K692" si="692">IF(B692="","",H691*(1+B692))</f>
        <v>225.8502118</v>
      </c>
      <c r="I692" s="5">
        <f t="shared" si="692"/>
        <v>211.9005019</v>
      </c>
      <c r="J692" s="5">
        <f t="shared" si="692"/>
        <v>110.563203</v>
      </c>
      <c r="K692" s="5">
        <f t="shared" si="692"/>
        <v>157.603742</v>
      </c>
      <c r="L692" s="7">
        <f t="shared" si="6"/>
        <v>0</v>
      </c>
    </row>
    <row r="693" ht="15.75" customHeight="1">
      <c r="A693" s="4">
        <f>IF(RETORNOS!A693="","",RETORNOS!A693)</f>
        <v>45418</v>
      </c>
      <c r="B693" s="7">
        <f>IF(RETORNOS!B693="","",OPTIMIZACION!$B$5*RETORNOS!B693+OPTIMIZACION!$B$6*RETORNOS!C693+OPTIMIZACION!$B$7*RETORNOS!D693+OPTIMIZACION!$B$8*RETORNOS!E693+OPTIMIZACION!$B$9*RETORNOS!F693+OPTIMIZACION!$B$10*RETORNOS!G693)</f>
        <v>0.008770021683</v>
      </c>
      <c r="C693" s="7">
        <f>IF(RETORNOS!H693="","",RETORNOS!H693)</f>
        <v>0.007883060687</v>
      </c>
      <c r="D693" s="7">
        <f>IF(RETORNOS!I693="","",RETORNOS!I693)</f>
        <v>0.005111178125</v>
      </c>
      <c r="E693" s="7">
        <f t="shared" si="2"/>
        <v>0.006497119406</v>
      </c>
      <c r="F693" s="7">
        <f t="shared" si="3"/>
        <v>0.0008869609959</v>
      </c>
      <c r="G693" s="7">
        <f t="shared" si="4"/>
        <v>0.002272902277</v>
      </c>
      <c r="H693" s="5">
        <f t="shared" ref="H693:K693" si="693">IF(B693="","",H692*(1+B693))</f>
        <v>227.830923</v>
      </c>
      <c r="I693" s="5">
        <f t="shared" si="693"/>
        <v>213.5709264</v>
      </c>
      <c r="J693" s="5">
        <f t="shared" si="693"/>
        <v>111.1283112</v>
      </c>
      <c r="K693" s="5">
        <f t="shared" si="693"/>
        <v>158.6277124</v>
      </c>
      <c r="L693" s="7">
        <f t="shared" si="6"/>
        <v>0</v>
      </c>
    </row>
    <row r="694" ht="15.75" customHeight="1">
      <c r="A694" s="4">
        <f>IF(RETORNOS!A694="","",RETORNOS!A694)</f>
        <v>45419</v>
      </c>
      <c r="B694" s="7">
        <f>IF(RETORNOS!B694="","",OPTIMIZACION!$B$5*RETORNOS!B694+OPTIMIZACION!$B$6*RETORNOS!C694+OPTIMIZACION!$B$7*RETORNOS!D694+OPTIMIZACION!$B$8*RETORNOS!E694+OPTIMIZACION!$B$9*RETORNOS!F694+OPTIMIZACION!$B$10*RETORNOS!G694)</f>
        <v>0.002800840477</v>
      </c>
      <c r="C694" s="7">
        <f>IF(RETORNOS!H694="","",RETORNOS!H694)</f>
        <v>-0.0009649047128</v>
      </c>
      <c r="D694" s="7">
        <f>IF(RETORNOS!I694="","",RETORNOS!I694)</f>
        <v>0.01134599783</v>
      </c>
      <c r="E694" s="7">
        <f t="shared" si="2"/>
        <v>0.005190546557</v>
      </c>
      <c r="F694" s="7">
        <f t="shared" si="3"/>
        <v>0.00376574519</v>
      </c>
      <c r="G694" s="7">
        <f t="shared" si="4"/>
        <v>-0.00238970608</v>
      </c>
      <c r="H694" s="5">
        <f t="shared" ref="H694:K694" si="694">IF(B694="","",H693*(1+B694))</f>
        <v>228.4690411</v>
      </c>
      <c r="I694" s="5">
        <f t="shared" si="694"/>
        <v>213.3648508</v>
      </c>
      <c r="J694" s="5">
        <f t="shared" si="694"/>
        <v>112.3891728</v>
      </c>
      <c r="K694" s="5">
        <f t="shared" si="694"/>
        <v>159.4510769</v>
      </c>
      <c r="L694" s="7">
        <f t="shared" si="6"/>
        <v>0</v>
      </c>
    </row>
    <row r="695" ht="15.75" customHeight="1">
      <c r="A695" s="4">
        <f>IF(RETORNOS!A695="","",RETORNOS!A695)</f>
        <v>45420</v>
      </c>
      <c r="B695" s="7">
        <f>IF(RETORNOS!B695="","",OPTIMIZACION!$B$5*RETORNOS!B695+OPTIMIZACION!$B$6*RETORNOS!C695+OPTIMIZACION!$B$7*RETORNOS!D695+OPTIMIZACION!$B$8*RETORNOS!E695+OPTIMIZACION!$B$9*RETORNOS!F695+OPTIMIZACION!$B$10*RETORNOS!G695)</f>
        <v>0.01506307318</v>
      </c>
      <c r="C695" s="7">
        <f>IF(RETORNOS!H695="","",RETORNOS!H695)</f>
        <v>-0.001179456995</v>
      </c>
      <c r="D695" s="7">
        <f>IF(RETORNOS!I695="","",RETORNOS!I695)</f>
        <v>0.0105012699</v>
      </c>
      <c r="E695" s="7">
        <f t="shared" si="2"/>
        <v>0.004660906452</v>
      </c>
      <c r="F695" s="7">
        <f t="shared" si="3"/>
        <v>0.01624253018</v>
      </c>
      <c r="G695" s="7">
        <f t="shared" si="4"/>
        <v>0.01040216673</v>
      </c>
      <c r="H695" s="5">
        <f t="shared" ref="H695:K695" si="695">IF(B695="","",H694*(1+B695))</f>
        <v>231.910487</v>
      </c>
      <c r="I695" s="5">
        <f t="shared" si="695"/>
        <v>213.1131961</v>
      </c>
      <c r="J695" s="5">
        <f t="shared" si="695"/>
        <v>113.5694018</v>
      </c>
      <c r="K695" s="5">
        <f t="shared" si="695"/>
        <v>160.1942634</v>
      </c>
      <c r="L695" s="7">
        <f t="shared" si="6"/>
        <v>0</v>
      </c>
    </row>
    <row r="696" ht="15.75" customHeight="1">
      <c r="A696" s="4">
        <f>IF(RETORNOS!A696="","",RETORNOS!A696)</f>
        <v>45421</v>
      </c>
      <c r="B696" s="7">
        <f>IF(RETORNOS!B696="","",OPTIMIZACION!$B$5*RETORNOS!B696+OPTIMIZACION!$B$6*RETORNOS!C696+OPTIMIZACION!$B$7*RETORNOS!D696+OPTIMIZACION!$B$8*RETORNOS!E696+OPTIMIZACION!$B$9*RETORNOS!F696+OPTIMIZACION!$B$10*RETORNOS!G696)</f>
        <v>0.01323732962</v>
      </c>
      <c r="C696" s="7">
        <f>IF(RETORNOS!H696="","",RETORNOS!H696)</f>
        <v>0.01342619348</v>
      </c>
      <c r="D696" s="7">
        <f>IF(RETORNOS!I696="","",RETORNOS!I696)</f>
        <v>0.01522123364</v>
      </c>
      <c r="E696" s="7">
        <f t="shared" si="2"/>
        <v>0.01432371356</v>
      </c>
      <c r="F696" s="7">
        <f t="shared" si="3"/>
        <v>-0.0001888638588</v>
      </c>
      <c r="G696" s="7">
        <f t="shared" si="4"/>
        <v>-0.001086383938</v>
      </c>
      <c r="H696" s="5">
        <f t="shared" ref="H696:K696" si="696">IF(B696="","",H695*(1+B696))</f>
        <v>234.9803626</v>
      </c>
      <c r="I696" s="5">
        <f t="shared" si="696"/>
        <v>215.9744951</v>
      </c>
      <c r="J696" s="5">
        <f t="shared" si="696"/>
        <v>115.2980682</v>
      </c>
      <c r="K696" s="5">
        <f t="shared" si="696"/>
        <v>162.4888402</v>
      </c>
      <c r="L696" s="7">
        <f t="shared" si="6"/>
        <v>0</v>
      </c>
    </row>
    <row r="697" ht="15.75" customHeight="1">
      <c r="A697" s="4">
        <f>IF(RETORNOS!A697="","",RETORNOS!A697)</f>
        <v>45422</v>
      </c>
      <c r="B697" s="7">
        <f>IF(RETORNOS!B697="","",OPTIMIZACION!$B$5*RETORNOS!B697+OPTIMIZACION!$B$6*RETORNOS!C697+OPTIMIZACION!$B$7*RETORNOS!D697+OPTIMIZACION!$B$8*RETORNOS!E697+OPTIMIZACION!$B$9*RETORNOS!F697+OPTIMIZACION!$B$10*RETORNOS!G697)</f>
        <v>-0.008163032722</v>
      </c>
      <c r="C697" s="7">
        <f>IF(RETORNOS!H697="","",RETORNOS!H697)</f>
        <v>-0.0055072236</v>
      </c>
      <c r="D697" s="7">
        <f>IF(RETORNOS!I697="","",RETORNOS!I697)</f>
        <v>-0.0009796660283</v>
      </c>
      <c r="E697" s="7">
        <f t="shared" si="2"/>
        <v>-0.003243444814</v>
      </c>
      <c r="F697" s="7">
        <f t="shared" si="3"/>
        <v>-0.002655809121</v>
      </c>
      <c r="G697" s="7">
        <f t="shared" si="4"/>
        <v>-0.004919587907</v>
      </c>
      <c r="H697" s="5">
        <f t="shared" ref="H697:K697" si="697">IF(B697="","",H696*(1+B697))</f>
        <v>233.0622102</v>
      </c>
      <c r="I697" s="5">
        <f t="shared" si="697"/>
        <v>214.7850753</v>
      </c>
      <c r="J697" s="5">
        <f t="shared" si="697"/>
        <v>115.1851146</v>
      </c>
      <c r="K697" s="5">
        <f t="shared" si="697"/>
        <v>161.9618166</v>
      </c>
      <c r="L697" s="7">
        <f t="shared" si="6"/>
        <v>-0.008163032722</v>
      </c>
    </row>
    <row r="698" ht="15.75" customHeight="1">
      <c r="A698" s="4">
        <f>IF(RETORNOS!A698="","",RETORNOS!A698)</f>
        <v>45425</v>
      </c>
      <c r="B698" s="7">
        <f>IF(RETORNOS!B698="","",OPTIMIZACION!$B$5*RETORNOS!B698+OPTIMIZACION!$B$6*RETORNOS!C698+OPTIMIZACION!$B$7*RETORNOS!D698+OPTIMIZACION!$B$8*RETORNOS!E698+OPTIMIZACION!$B$9*RETORNOS!F698+OPTIMIZACION!$B$10*RETORNOS!G698)</f>
        <v>-0.002315482434</v>
      </c>
      <c r="C698" s="7">
        <f>IF(RETORNOS!H698="","",RETORNOS!H698)</f>
        <v>-0.00266840045</v>
      </c>
      <c r="D698" s="7">
        <f>IF(RETORNOS!I698="","",RETORNOS!I698)</f>
        <v>0</v>
      </c>
      <c r="E698" s="7">
        <f t="shared" si="2"/>
        <v>-0.001334200225</v>
      </c>
      <c r="F698" s="7">
        <f t="shared" si="3"/>
        <v>0.0003529180155</v>
      </c>
      <c r="G698" s="7">
        <f t="shared" si="4"/>
        <v>-0.0009812822093</v>
      </c>
      <c r="H698" s="5">
        <f t="shared" ref="H698:K698" si="698">IF(B698="","",H697*(1+B698))</f>
        <v>232.5225587</v>
      </c>
      <c r="I698" s="5">
        <f t="shared" si="698"/>
        <v>214.2119427</v>
      </c>
      <c r="J698" s="5">
        <f t="shared" si="698"/>
        <v>115.1851146</v>
      </c>
      <c r="K698" s="5">
        <f t="shared" si="698"/>
        <v>161.7457271</v>
      </c>
      <c r="L698" s="7">
        <f t="shared" si="6"/>
        <v>-0.0104596138</v>
      </c>
    </row>
    <row r="699" ht="15.75" customHeight="1">
      <c r="A699" s="4">
        <f>IF(RETORNOS!A699="","",RETORNOS!A699)</f>
        <v>45426</v>
      </c>
      <c r="B699" s="7">
        <f>IF(RETORNOS!B699="","",OPTIMIZACION!$B$5*RETORNOS!B699+OPTIMIZACION!$B$6*RETORNOS!C699+OPTIMIZACION!$B$7*RETORNOS!D699+OPTIMIZACION!$B$8*RETORNOS!E699+OPTIMIZACION!$B$9*RETORNOS!F699+OPTIMIZACION!$B$10*RETORNOS!G699)</f>
        <v>0.006138730685</v>
      </c>
      <c r="C699" s="7">
        <f>IF(RETORNOS!H699="","",RETORNOS!H699)</f>
        <v>0.001283444248</v>
      </c>
      <c r="D699" s="7">
        <f>IF(RETORNOS!I699="","",RETORNOS!I699)</f>
        <v>0.002667186517</v>
      </c>
      <c r="E699" s="7">
        <f t="shared" si="2"/>
        <v>0.001975315383</v>
      </c>
      <c r="F699" s="7">
        <f t="shared" si="3"/>
        <v>0.004855286436</v>
      </c>
      <c r="G699" s="7">
        <f t="shared" si="4"/>
        <v>0.004163415302</v>
      </c>
      <c r="H699" s="5">
        <f t="shared" ref="H699:K699" si="699">IF(B699="","",H698*(1+B699))</f>
        <v>233.9499521</v>
      </c>
      <c r="I699" s="5">
        <f t="shared" si="699"/>
        <v>214.4868718</v>
      </c>
      <c r="J699" s="5">
        <f t="shared" si="699"/>
        <v>115.4923348</v>
      </c>
      <c r="K699" s="5">
        <f t="shared" si="699"/>
        <v>162.0652259</v>
      </c>
      <c r="L699" s="7">
        <f t="shared" si="6"/>
        <v>-0.004385091865</v>
      </c>
    </row>
    <row r="700" ht="15.75" customHeight="1">
      <c r="A700" s="4">
        <f>IF(RETORNOS!A700="","",RETORNOS!A700)</f>
        <v>45427</v>
      </c>
      <c r="B700" s="7">
        <f>IF(RETORNOS!B700="","",OPTIMIZACION!$B$5*RETORNOS!B700+OPTIMIZACION!$B$6*RETORNOS!C700+OPTIMIZACION!$B$7*RETORNOS!D700+OPTIMIZACION!$B$8*RETORNOS!E700+OPTIMIZACION!$B$9*RETORNOS!F700+OPTIMIZACION!$B$10*RETORNOS!G700)</f>
        <v>0.01640683963</v>
      </c>
      <c r="C700" s="7">
        <f>IF(RETORNOS!H700="","",RETORNOS!H700)</f>
        <v>0.002242583311</v>
      </c>
      <c r="D700" s="7">
        <f>IF(RETORNOS!I700="","",RETORNOS!I700)</f>
        <v>0.01497369367</v>
      </c>
      <c r="E700" s="7">
        <f t="shared" si="2"/>
        <v>0.00860813849</v>
      </c>
      <c r="F700" s="7">
        <f t="shared" si="3"/>
        <v>0.01416425632</v>
      </c>
      <c r="G700" s="7">
        <f t="shared" si="4"/>
        <v>0.007798701145</v>
      </c>
      <c r="H700" s="5">
        <f t="shared" ref="H700:K700" si="700">IF(B700="","",H699*(1+B700))</f>
        <v>237.7883314</v>
      </c>
      <c r="I700" s="5">
        <f t="shared" si="700"/>
        <v>214.9678765</v>
      </c>
      <c r="J700" s="5">
        <f t="shared" si="700"/>
        <v>117.2216816</v>
      </c>
      <c r="K700" s="5">
        <f t="shared" si="700"/>
        <v>163.4603058</v>
      </c>
      <c r="L700" s="7">
        <f t="shared" si="6"/>
        <v>0</v>
      </c>
    </row>
    <row r="701" ht="15.75" customHeight="1">
      <c r="A701" s="4">
        <f>IF(RETORNOS!A701="","",RETORNOS!A701)</f>
        <v>45428</v>
      </c>
      <c r="B701" s="7">
        <f>IF(RETORNOS!B701="","",OPTIMIZACION!$B$5*RETORNOS!B701+OPTIMIZACION!$B$6*RETORNOS!C701+OPTIMIZACION!$B$7*RETORNOS!D701+OPTIMIZACION!$B$8*RETORNOS!E701+OPTIMIZACION!$B$9*RETORNOS!F701+OPTIMIZACION!$B$10*RETORNOS!G701)</f>
        <v>-0.006162473415</v>
      </c>
      <c r="C701" s="7">
        <f>IF(RETORNOS!H701="","",RETORNOS!H701)</f>
        <v>-0.002769889407</v>
      </c>
      <c r="D701" s="7">
        <f>IF(RETORNOS!I701="","",RETORNOS!I701)</f>
        <v>-0.003448025657</v>
      </c>
      <c r="E701" s="7">
        <f t="shared" si="2"/>
        <v>-0.003108957532</v>
      </c>
      <c r="F701" s="7">
        <f t="shared" si="3"/>
        <v>-0.003392584008</v>
      </c>
      <c r="G701" s="7">
        <f t="shared" si="4"/>
        <v>-0.003053515883</v>
      </c>
      <c r="H701" s="5">
        <f t="shared" ref="H701:K701" si="701">IF(B701="","",H700*(1+B701))</f>
        <v>236.3229672</v>
      </c>
      <c r="I701" s="5">
        <f t="shared" si="701"/>
        <v>214.3724392</v>
      </c>
      <c r="J701" s="5">
        <f t="shared" si="701"/>
        <v>116.8174983</v>
      </c>
      <c r="K701" s="5">
        <f t="shared" si="701"/>
        <v>162.9521147</v>
      </c>
      <c r="L701" s="7">
        <f t="shared" si="6"/>
        <v>-0.006162473415</v>
      </c>
    </row>
    <row r="702" ht="15.75" customHeight="1">
      <c r="A702" s="4">
        <f>IF(RETORNOS!A702="","",RETORNOS!A702)</f>
        <v>45429</v>
      </c>
      <c r="B702" s="7">
        <f>IF(RETORNOS!B702="","",OPTIMIZACION!$B$5*RETORNOS!B702+OPTIMIZACION!$B$6*RETORNOS!C702+OPTIMIZACION!$B$7*RETORNOS!D702+OPTIMIZACION!$B$8*RETORNOS!E702+OPTIMIZACION!$B$9*RETORNOS!F702+OPTIMIZACION!$B$10*RETORNOS!G702)</f>
        <v>0.006002304371</v>
      </c>
      <c r="C702" s="7">
        <f>IF(RETORNOS!H702="","",RETORNOS!H702)</f>
        <v>0.01398743754</v>
      </c>
      <c r="D702" s="7">
        <f>IF(RETORNOS!I702="","",RETORNOS!I702)</f>
        <v>0.000830039871</v>
      </c>
      <c r="E702" s="7">
        <f t="shared" si="2"/>
        <v>0.007408738708</v>
      </c>
      <c r="F702" s="7">
        <f t="shared" si="3"/>
        <v>-0.007985133173</v>
      </c>
      <c r="G702" s="7">
        <f t="shared" si="4"/>
        <v>-0.001406434337</v>
      </c>
      <c r="H702" s="5">
        <f t="shared" ref="H702:K702" si="702">IF(B702="","",H701*(1+B702))</f>
        <v>237.7414495</v>
      </c>
      <c r="I702" s="5">
        <f t="shared" si="702"/>
        <v>217.3709603</v>
      </c>
      <c r="J702" s="5">
        <f t="shared" si="702"/>
        <v>116.9144615</v>
      </c>
      <c r="K702" s="5">
        <f t="shared" si="702"/>
        <v>164.1593843</v>
      </c>
      <c r="L702" s="7">
        <f t="shared" si="6"/>
        <v>-0.0001971580856</v>
      </c>
    </row>
    <row r="703" ht="15.75" customHeight="1">
      <c r="A703" s="4">
        <f>IF(RETORNOS!A703="","",RETORNOS!A703)</f>
        <v>45432</v>
      </c>
      <c r="B703" s="7">
        <f>IF(RETORNOS!B703="","",OPTIMIZACION!$B$5*RETORNOS!B703+OPTIMIZACION!$B$6*RETORNOS!C703+OPTIMIZACION!$B$7*RETORNOS!D703+OPTIMIZACION!$B$8*RETORNOS!E703+OPTIMIZACION!$B$9*RETORNOS!F703+OPTIMIZACION!$B$10*RETORNOS!G703)</f>
        <v>-0.002715556048</v>
      </c>
      <c r="C703" s="7">
        <f>IF(RETORNOS!H703="","",RETORNOS!H703)</f>
        <v>-0.006529182793</v>
      </c>
      <c r="D703" s="7">
        <f>IF(RETORNOS!I703="","",RETORNOS!I703)</f>
        <v>-0.001658702952</v>
      </c>
      <c r="E703" s="7">
        <f t="shared" si="2"/>
        <v>-0.004093942873</v>
      </c>
      <c r="F703" s="7">
        <f t="shared" si="3"/>
        <v>0.003813626744</v>
      </c>
      <c r="G703" s="7">
        <f t="shared" si="4"/>
        <v>0.001378386824</v>
      </c>
      <c r="H703" s="5">
        <f t="shared" ref="H703:K703" si="703">IF(B703="","",H702*(1+B703))</f>
        <v>237.0958493</v>
      </c>
      <c r="I703" s="5">
        <f t="shared" si="703"/>
        <v>215.9517056</v>
      </c>
      <c r="J703" s="5">
        <f t="shared" si="703"/>
        <v>116.7205351</v>
      </c>
      <c r="K703" s="5">
        <f t="shared" si="703"/>
        <v>163.4873252</v>
      </c>
      <c r="L703" s="7">
        <f t="shared" si="6"/>
        <v>-0.00291217874</v>
      </c>
    </row>
    <row r="704" ht="15.75" customHeight="1">
      <c r="A704" s="4">
        <f>IF(RETORNOS!A704="","",RETORNOS!A704)</f>
        <v>45433</v>
      </c>
      <c r="B704" s="7">
        <f>IF(RETORNOS!B704="","",OPTIMIZACION!$B$5*RETORNOS!B704+OPTIMIZACION!$B$6*RETORNOS!C704+OPTIMIZACION!$B$7*RETORNOS!D704+OPTIMIZACION!$B$8*RETORNOS!E704+OPTIMIZACION!$B$9*RETORNOS!F704+OPTIMIZACION!$B$10*RETORNOS!G704)</f>
        <v>0.00479392151</v>
      </c>
      <c r="C704" s="7">
        <f>IF(RETORNOS!H704="","",RETORNOS!H704)</f>
        <v>-0.004872375204</v>
      </c>
      <c r="D704" s="7">
        <f>IF(RETORNOS!I704="","",RETORNOS!I704)</f>
        <v>0.009001026024</v>
      </c>
      <c r="E704" s="7">
        <f t="shared" si="2"/>
        <v>0.00206432541</v>
      </c>
      <c r="F704" s="7">
        <f t="shared" si="3"/>
        <v>0.009666296714</v>
      </c>
      <c r="G704" s="7">
        <f t="shared" si="4"/>
        <v>0.0027295961</v>
      </c>
      <c r="H704" s="5">
        <f t="shared" ref="H704:K704" si="704">IF(B704="","",H703*(1+B704))</f>
        <v>238.2324682</v>
      </c>
      <c r="I704" s="5">
        <f t="shared" si="704"/>
        <v>214.8995078</v>
      </c>
      <c r="J704" s="5">
        <f t="shared" si="704"/>
        <v>117.7711397</v>
      </c>
      <c r="K704" s="5">
        <f t="shared" si="704"/>
        <v>163.8248162</v>
      </c>
      <c r="L704" s="7">
        <f t="shared" si="6"/>
        <v>0</v>
      </c>
    </row>
    <row r="705" ht="15.75" customHeight="1">
      <c r="A705" s="4">
        <f>IF(RETORNOS!A705="","",RETORNOS!A705)</f>
        <v>45434</v>
      </c>
      <c r="B705" s="7">
        <f>IF(RETORNOS!B705="","",OPTIMIZACION!$B$5*RETORNOS!B705+OPTIMIZACION!$B$6*RETORNOS!C705+OPTIMIZACION!$B$7*RETORNOS!D705+OPTIMIZACION!$B$8*RETORNOS!E705+OPTIMIZACION!$B$9*RETORNOS!F705+OPTIMIZACION!$B$10*RETORNOS!G705)</f>
        <v>-0.02112873363</v>
      </c>
      <c r="C705" s="7">
        <f>IF(RETORNOS!H705="","",RETORNOS!H705)</f>
        <v>-0.01917653058</v>
      </c>
      <c r="D705" s="7">
        <f>IF(RETORNOS!I705="","",RETORNOS!I705)</f>
        <v>-0.01180090132</v>
      </c>
      <c r="E705" s="7">
        <f t="shared" si="2"/>
        <v>-0.01548871595</v>
      </c>
      <c r="F705" s="7">
        <f t="shared" si="3"/>
        <v>-0.001952203047</v>
      </c>
      <c r="G705" s="7">
        <f t="shared" si="4"/>
        <v>-0.005640017678</v>
      </c>
      <c r="H705" s="5">
        <f t="shared" ref="H705:K705" si="705">IF(B705="","",H704*(1+B705))</f>
        <v>233.1989178</v>
      </c>
      <c r="I705" s="5">
        <f t="shared" si="705"/>
        <v>210.7784809</v>
      </c>
      <c r="J705" s="5">
        <f t="shared" si="705"/>
        <v>116.3813341</v>
      </c>
      <c r="K705" s="5">
        <f t="shared" si="705"/>
        <v>161.2873802</v>
      </c>
      <c r="L705" s="7">
        <f t="shared" si="6"/>
        <v>-0.02112873363</v>
      </c>
    </row>
    <row r="706" ht="15.75" customHeight="1">
      <c r="A706" s="4">
        <f>IF(RETORNOS!A706="","",RETORNOS!A706)</f>
        <v>45435</v>
      </c>
      <c r="B706" s="7">
        <f>IF(RETORNOS!B706="","",OPTIMIZACION!$B$5*RETORNOS!B706+OPTIMIZACION!$B$6*RETORNOS!C706+OPTIMIZACION!$B$7*RETORNOS!D706+OPTIMIZACION!$B$8*RETORNOS!E706+OPTIMIZACION!$B$9*RETORNOS!F706+OPTIMIZACION!$B$10*RETORNOS!G706)</f>
        <v>-0.01137984923</v>
      </c>
      <c r="C706" s="7">
        <f>IF(RETORNOS!H706="","",RETORNOS!H706)</f>
        <v>-0.009121254017</v>
      </c>
      <c r="D706" s="7">
        <f>IF(RETORNOS!I706="","",RETORNOS!I706)</f>
        <v>-0.01694365271</v>
      </c>
      <c r="E706" s="7">
        <f t="shared" si="2"/>
        <v>-0.01303245336</v>
      </c>
      <c r="F706" s="7">
        <f t="shared" si="3"/>
        <v>-0.00225859521</v>
      </c>
      <c r="G706" s="7">
        <f t="shared" si="4"/>
        <v>0.001652604135</v>
      </c>
      <c r="H706" s="5">
        <f t="shared" ref="H706:K706" si="706">IF(B706="","",H705*(1+B706))</f>
        <v>230.5451493</v>
      </c>
      <c r="I706" s="5">
        <f t="shared" si="706"/>
        <v>208.8559168</v>
      </c>
      <c r="J706" s="5">
        <f t="shared" si="706"/>
        <v>114.4094092</v>
      </c>
      <c r="K706" s="5">
        <f t="shared" si="706"/>
        <v>159.1854099</v>
      </c>
      <c r="L706" s="7">
        <f t="shared" si="6"/>
        <v>-0.03226814105</v>
      </c>
    </row>
    <row r="707" ht="15.75" customHeight="1">
      <c r="A707" s="4">
        <f>IF(RETORNOS!A707="","",RETORNOS!A707)</f>
        <v>45436</v>
      </c>
      <c r="B707" s="7">
        <f>IF(RETORNOS!B707="","",OPTIMIZACION!$B$5*RETORNOS!B707+OPTIMIZACION!$B$6*RETORNOS!C707+OPTIMIZACION!$B$7*RETORNOS!D707+OPTIMIZACION!$B$8*RETORNOS!E707+OPTIMIZACION!$B$9*RETORNOS!F707+OPTIMIZACION!$B$10*RETORNOS!G707)</f>
        <v>0.007128170455</v>
      </c>
      <c r="C707" s="7">
        <f>IF(RETORNOS!H707="","",RETORNOS!H707)</f>
        <v>0.001425473726</v>
      </c>
      <c r="D707" s="7">
        <f>IF(RETORNOS!I707="","",RETORNOS!I707)</f>
        <v>0.01003036169</v>
      </c>
      <c r="E707" s="7">
        <f t="shared" si="2"/>
        <v>0.00572791771</v>
      </c>
      <c r="F707" s="7">
        <f t="shared" si="3"/>
        <v>0.005702696729</v>
      </c>
      <c r="G707" s="7">
        <f t="shared" si="4"/>
        <v>0.001400252745</v>
      </c>
      <c r="H707" s="5">
        <f t="shared" ref="H707:K707" si="707">IF(B707="","",H706*(1+B707))</f>
        <v>232.1885144</v>
      </c>
      <c r="I707" s="5">
        <f t="shared" si="707"/>
        <v>209.1536354</v>
      </c>
      <c r="J707" s="5">
        <f t="shared" si="707"/>
        <v>115.5569769</v>
      </c>
      <c r="K707" s="5">
        <f t="shared" si="707"/>
        <v>160.0972109</v>
      </c>
      <c r="L707" s="7">
        <f t="shared" si="6"/>
        <v>-0.02536998341</v>
      </c>
    </row>
    <row r="708" ht="15.75" customHeight="1">
      <c r="A708" s="4">
        <f>IF(RETORNOS!A708="","",RETORNOS!A708)</f>
        <v>45440</v>
      </c>
      <c r="B708" s="7">
        <f>IF(RETORNOS!B708="","",OPTIMIZACION!$B$5*RETORNOS!B708+OPTIMIZACION!$B$6*RETORNOS!C708+OPTIMIZACION!$B$7*RETORNOS!D708+OPTIMIZACION!$B$8*RETORNOS!E708+OPTIMIZACION!$B$9*RETORNOS!F708+OPTIMIZACION!$B$10*RETORNOS!G708)</f>
        <v>0.01407215335</v>
      </c>
      <c r="C708" s="7">
        <f>IF(RETORNOS!H708="","",RETORNOS!H708)</f>
        <v>0.01028635811</v>
      </c>
      <c r="D708" s="7">
        <f>IF(RETORNOS!I708="","",RETORNOS!I708)</f>
        <v>-0.0009833594385</v>
      </c>
      <c r="E708" s="7">
        <f t="shared" si="2"/>
        <v>0.004651499338</v>
      </c>
      <c r="F708" s="7">
        <f t="shared" si="3"/>
        <v>0.003785795239</v>
      </c>
      <c r="G708" s="7">
        <f t="shared" si="4"/>
        <v>0.009420654016</v>
      </c>
      <c r="H708" s="5">
        <f t="shared" ref="H708:K708" si="708">IF(B708="","",H707*(1+B708))</f>
        <v>235.4559068</v>
      </c>
      <c r="I708" s="5">
        <f t="shared" si="708"/>
        <v>211.3050646</v>
      </c>
      <c r="J708" s="5">
        <f t="shared" si="708"/>
        <v>115.4433429</v>
      </c>
      <c r="K708" s="5">
        <f t="shared" si="708"/>
        <v>160.8419029</v>
      </c>
      <c r="L708" s="7">
        <f t="shared" si="6"/>
        <v>-0.01165484035</v>
      </c>
    </row>
    <row r="709" ht="15.75" customHeight="1">
      <c r="A709" s="4">
        <f>IF(RETORNOS!A709="","",RETORNOS!A709)</f>
        <v>45441</v>
      </c>
      <c r="B709" s="7">
        <f>IF(RETORNOS!B709="","",OPTIMIZACION!$B$5*RETORNOS!B709+OPTIMIZACION!$B$6*RETORNOS!C709+OPTIMIZACION!$B$7*RETORNOS!D709+OPTIMIZACION!$B$8*RETORNOS!E709+OPTIMIZACION!$B$9*RETORNOS!F709+OPTIMIZACION!$B$10*RETORNOS!G709)</f>
        <v>-0.009386981927</v>
      </c>
      <c r="C709" s="7">
        <f>IF(RETORNOS!H709="","",RETORNOS!H709)</f>
        <v>-0.01765549526</v>
      </c>
      <c r="D709" s="7">
        <f>IF(RETORNOS!I709="","",RETORNOS!I709)</f>
        <v>-0.01287582739</v>
      </c>
      <c r="E709" s="7">
        <f t="shared" si="2"/>
        <v>-0.01526566133</v>
      </c>
      <c r="F709" s="7">
        <f t="shared" si="3"/>
        <v>0.008268513329</v>
      </c>
      <c r="G709" s="7">
        <f t="shared" si="4"/>
        <v>0.005878679399</v>
      </c>
      <c r="H709" s="5">
        <f t="shared" ref="H709:K709" si="709">IF(B709="","",H708*(1+B709))</f>
        <v>233.2456865</v>
      </c>
      <c r="I709" s="5">
        <f t="shared" si="709"/>
        <v>207.574369</v>
      </c>
      <c r="J709" s="5">
        <f t="shared" si="709"/>
        <v>113.9569143</v>
      </c>
      <c r="K709" s="5">
        <f t="shared" si="709"/>
        <v>158.3865449</v>
      </c>
      <c r="L709" s="7">
        <f t="shared" si="6"/>
        <v>-0.0209324185</v>
      </c>
    </row>
    <row r="710" ht="15.75" customHeight="1">
      <c r="A710" s="4">
        <f>IF(RETORNOS!A710="","",RETORNOS!A710)</f>
        <v>45442</v>
      </c>
      <c r="B710" s="7">
        <f>IF(RETORNOS!B710="","",OPTIMIZACION!$B$5*RETORNOS!B710+OPTIMIZACION!$B$6*RETORNOS!C710+OPTIMIZACION!$B$7*RETORNOS!D710+OPTIMIZACION!$B$8*RETORNOS!E710+OPTIMIZACION!$B$9*RETORNOS!F710+OPTIMIZACION!$B$10*RETORNOS!G710)</f>
        <v>0.0148733603</v>
      </c>
      <c r="C710" s="7">
        <f>IF(RETORNOS!H710="","",RETORNOS!H710)</f>
        <v>0.002866213025</v>
      </c>
      <c r="D710" s="7">
        <f>IF(RETORNOS!I710="","",RETORNOS!I710)</f>
        <v>0.01347369301</v>
      </c>
      <c r="E710" s="7">
        <f t="shared" si="2"/>
        <v>0.008169953017</v>
      </c>
      <c r="F710" s="7">
        <f t="shared" si="3"/>
        <v>0.01200714727</v>
      </c>
      <c r="G710" s="7">
        <f t="shared" si="4"/>
        <v>0.006703407281</v>
      </c>
      <c r="H710" s="5">
        <f t="shared" ref="H710:K710" si="710">IF(B710="","",H709*(1+B710))</f>
        <v>236.7148336</v>
      </c>
      <c r="I710" s="5">
        <f t="shared" si="710"/>
        <v>208.1693214</v>
      </c>
      <c r="J710" s="5">
        <f t="shared" si="710"/>
        <v>115.4923348</v>
      </c>
      <c r="K710" s="5">
        <f t="shared" si="710"/>
        <v>159.6805555</v>
      </c>
      <c r="L710" s="7">
        <f t="shared" si="6"/>
        <v>-0.006370393603</v>
      </c>
    </row>
    <row r="711" ht="15.75" customHeight="1">
      <c r="A711" s="4">
        <f>IF(RETORNOS!A711="","",RETORNOS!A711)</f>
        <v>45443</v>
      </c>
      <c r="B711" s="7">
        <f>IF(RETORNOS!B711="","",OPTIMIZACION!$B$5*RETORNOS!B711+OPTIMIZACION!$B$6*RETORNOS!C711+OPTIMIZACION!$B$7*RETORNOS!D711+OPTIMIZACION!$B$8*RETORNOS!E711+OPTIMIZACION!$B$9*RETORNOS!F711+OPTIMIZACION!$B$10*RETORNOS!G711)</f>
        <v>0.008747940885</v>
      </c>
      <c r="C711" s="7">
        <f>IF(RETORNOS!H711="","",RETORNOS!H711)</f>
        <v>0.02484871354</v>
      </c>
      <c r="D711" s="7">
        <f>IF(RETORNOS!I711="","",RETORNOS!I711)</f>
        <v>0.01763083939</v>
      </c>
      <c r="E711" s="7">
        <f t="shared" si="2"/>
        <v>0.02123977646</v>
      </c>
      <c r="F711" s="7">
        <f t="shared" si="3"/>
        <v>-0.01610077266</v>
      </c>
      <c r="G711" s="7">
        <f t="shared" si="4"/>
        <v>-0.01249183558</v>
      </c>
      <c r="H711" s="5">
        <f t="shared" ref="H711:K711" si="711">IF(B711="","",H710*(1+B711))</f>
        <v>238.785601</v>
      </c>
      <c r="I711" s="5">
        <f t="shared" si="711"/>
        <v>213.3420612</v>
      </c>
      <c r="J711" s="5">
        <f t="shared" si="711"/>
        <v>117.5285616</v>
      </c>
      <c r="K711" s="5">
        <f t="shared" si="711"/>
        <v>163.0721348</v>
      </c>
      <c r="L711" s="7">
        <f t="shared" si="6"/>
        <v>0</v>
      </c>
    </row>
    <row r="712" ht="15.75" customHeight="1">
      <c r="A712" s="4">
        <f>IF(RETORNOS!A712="","",RETORNOS!A712)</f>
        <v>45446</v>
      </c>
      <c r="B712" s="7">
        <f>IF(RETORNOS!B712="","",OPTIMIZACION!$B$5*RETORNOS!B712+OPTIMIZACION!$B$6*RETORNOS!C712+OPTIMIZACION!$B$7*RETORNOS!D712+OPTIMIZACION!$B$8*RETORNOS!E712+OPTIMIZACION!$B$9*RETORNOS!F712+OPTIMIZACION!$B$10*RETORNOS!G712)</f>
        <v>-0.02095188695</v>
      </c>
      <c r="C712" s="7">
        <f>IF(RETORNOS!H712="","",RETORNOS!H712)</f>
        <v>-0.02618037847</v>
      </c>
      <c r="D712" s="7">
        <f>IF(RETORNOS!I712="","",RETORNOS!I712)</f>
        <v>-0.01141130188</v>
      </c>
      <c r="E712" s="7">
        <f t="shared" si="2"/>
        <v>-0.01879584017</v>
      </c>
      <c r="F712" s="7">
        <f t="shared" si="3"/>
        <v>0.005228491514</v>
      </c>
      <c r="G712" s="7">
        <f t="shared" si="4"/>
        <v>-0.002156046781</v>
      </c>
      <c r="H712" s="5">
        <f t="shared" ref="H712:K712" si="712">IF(B712="","",H711*(1+B712))</f>
        <v>233.7825921</v>
      </c>
      <c r="I712" s="5">
        <f t="shared" si="712"/>
        <v>207.7566853</v>
      </c>
      <c r="J712" s="5">
        <f t="shared" si="712"/>
        <v>116.1874077</v>
      </c>
      <c r="K712" s="5">
        <f t="shared" si="712"/>
        <v>160.0070571</v>
      </c>
      <c r="L712" s="7">
        <f t="shared" si="6"/>
        <v>-0.02095188695</v>
      </c>
    </row>
    <row r="713" ht="15.75" customHeight="1">
      <c r="A713" s="4">
        <f>IF(RETORNOS!A713="","",RETORNOS!A713)</f>
        <v>45447</v>
      </c>
      <c r="B713" s="7">
        <f>IF(RETORNOS!B713="","",OPTIMIZACION!$B$5*RETORNOS!B713+OPTIMIZACION!$B$6*RETORNOS!C713+OPTIMIZACION!$B$7*RETORNOS!D713+OPTIMIZACION!$B$8*RETORNOS!E713+OPTIMIZACION!$B$9*RETORNOS!F713+OPTIMIZACION!$B$10*RETORNOS!G713)</f>
        <v>-0.01599180312</v>
      </c>
      <c r="C713" s="7">
        <f>IF(RETORNOS!H713="","",RETORNOS!H713)</f>
        <v>-0.009585335627</v>
      </c>
      <c r="D713" s="7">
        <f>IF(RETORNOS!I713="","",RETORNOS!I713)</f>
        <v>-0.0004158065036</v>
      </c>
      <c r="E713" s="7">
        <f t="shared" si="2"/>
        <v>-0.005000571065</v>
      </c>
      <c r="F713" s="7">
        <f t="shared" si="3"/>
        <v>-0.006406467491</v>
      </c>
      <c r="G713" s="7">
        <f t="shared" si="4"/>
        <v>-0.01099123205</v>
      </c>
      <c r="H713" s="5">
        <f t="shared" ref="H713:K713" si="713">IF(B713="","",H712*(1+B713))</f>
        <v>230.0439869</v>
      </c>
      <c r="I713" s="5">
        <f t="shared" si="713"/>
        <v>205.7652678</v>
      </c>
      <c r="J713" s="5">
        <f t="shared" si="713"/>
        <v>116.1390962</v>
      </c>
      <c r="K713" s="5">
        <f t="shared" si="713"/>
        <v>159.2069304</v>
      </c>
      <c r="L713" s="7">
        <f t="shared" si="6"/>
        <v>-0.03660863162</v>
      </c>
    </row>
    <row r="714" ht="15.75" customHeight="1">
      <c r="A714" s="4">
        <f>IF(RETORNOS!A714="","",RETORNOS!A714)</f>
        <v>45448</v>
      </c>
      <c r="B714" s="7">
        <f>IF(RETORNOS!B714="","",OPTIMIZACION!$B$5*RETORNOS!B714+OPTIMIZACION!$B$6*RETORNOS!C714+OPTIMIZACION!$B$7*RETORNOS!D714+OPTIMIZACION!$B$8*RETORNOS!E714+OPTIMIZACION!$B$9*RETORNOS!F714+OPTIMIZACION!$B$10*RETORNOS!G714)</f>
        <v>0.00690618357</v>
      </c>
      <c r="C714" s="7">
        <f>IF(RETORNOS!H714="","",RETORNOS!H714)</f>
        <v>-0.0001107550193</v>
      </c>
      <c r="D714" s="7">
        <f>IF(RETORNOS!I714="","",RETORNOS!I714)</f>
        <v>-0.005712394138</v>
      </c>
      <c r="E714" s="7">
        <f t="shared" si="2"/>
        <v>-0.002911574578</v>
      </c>
      <c r="F714" s="7">
        <f t="shared" si="3"/>
        <v>0.007016938589</v>
      </c>
      <c r="G714" s="7">
        <f t="shared" si="4"/>
        <v>0.009817758148</v>
      </c>
      <c r="H714" s="5">
        <f t="shared" ref="H714:K714" si="714">IF(B714="","",H713*(1+B714))</f>
        <v>231.6327129</v>
      </c>
      <c r="I714" s="5">
        <f t="shared" si="714"/>
        <v>205.7424782</v>
      </c>
      <c r="J714" s="5">
        <f t="shared" si="714"/>
        <v>115.4756639</v>
      </c>
      <c r="K714" s="5">
        <f t="shared" si="714"/>
        <v>158.7433875</v>
      </c>
      <c r="L714" s="7">
        <f t="shared" si="6"/>
        <v>-0.02995527398</v>
      </c>
    </row>
    <row r="715" ht="15.75" customHeight="1">
      <c r="A715" s="4">
        <f>IF(RETORNOS!A715="","",RETORNOS!A715)</f>
        <v>45449</v>
      </c>
      <c r="B715" s="7">
        <f>IF(RETORNOS!B715="","",OPTIMIZACION!$B$5*RETORNOS!B715+OPTIMIZACION!$B$6*RETORNOS!C715+OPTIMIZACION!$B$7*RETORNOS!D715+OPTIMIZACION!$B$8*RETORNOS!E715+OPTIMIZACION!$B$9*RETORNOS!F715+OPTIMIZACION!$B$10*RETORNOS!G715)</f>
        <v>-0.01498617039</v>
      </c>
      <c r="C715" s="7">
        <f>IF(RETORNOS!H715="","",RETORNOS!H715)</f>
        <v>0.005229630014</v>
      </c>
      <c r="D715" s="7">
        <f>IF(RETORNOS!I715="","",RETORNOS!I715)</f>
        <v>-0.01035316856</v>
      </c>
      <c r="E715" s="7">
        <f t="shared" si="2"/>
        <v>-0.002561769272</v>
      </c>
      <c r="F715" s="7">
        <f t="shared" si="3"/>
        <v>-0.02021580041</v>
      </c>
      <c r="G715" s="7">
        <f t="shared" si="4"/>
        <v>-0.01242440112</v>
      </c>
      <c r="H715" s="5">
        <f t="shared" ref="H715:K715" si="715">IF(B715="","",H714*(1+B715))</f>
        <v>228.1614256</v>
      </c>
      <c r="I715" s="5">
        <f t="shared" si="715"/>
        <v>206.8184353</v>
      </c>
      <c r="J715" s="5">
        <f t="shared" si="715"/>
        <v>114.2801249</v>
      </c>
      <c r="K715" s="5">
        <f t="shared" si="715"/>
        <v>158.3367236</v>
      </c>
      <c r="L715" s="7">
        <f t="shared" si="6"/>
        <v>-0.04449252953</v>
      </c>
    </row>
    <row r="716" ht="15.75" customHeight="1">
      <c r="A716" s="4">
        <f>IF(RETORNOS!A716="","",RETORNOS!A716)</f>
        <v>45450</v>
      </c>
      <c r="B716" s="7">
        <f>IF(RETORNOS!B716="","",OPTIMIZACION!$B$5*RETORNOS!B716+OPTIMIZACION!$B$6*RETORNOS!C716+OPTIMIZACION!$B$7*RETORNOS!D716+OPTIMIZACION!$B$8*RETORNOS!E716+OPTIMIZACION!$B$9*RETORNOS!F716+OPTIMIZACION!$B$10*RETORNOS!G716)</f>
        <v>-0.009750061069</v>
      </c>
      <c r="C716" s="7">
        <f>IF(RETORNOS!H716="","",RETORNOS!H716)</f>
        <v>-0.003985632965</v>
      </c>
      <c r="D716" s="7">
        <f>IF(RETORNOS!I716="","",RETORNOS!I716)</f>
        <v>-0.0108901783</v>
      </c>
      <c r="E716" s="7">
        <f t="shared" si="2"/>
        <v>-0.007437905632</v>
      </c>
      <c r="F716" s="7">
        <f t="shared" si="3"/>
        <v>-0.005764428103</v>
      </c>
      <c r="G716" s="7">
        <f t="shared" si="4"/>
        <v>-0.002312155437</v>
      </c>
      <c r="H716" s="5">
        <f t="shared" ref="H716:K716" si="716">IF(B716="","",H715*(1+B716))</f>
        <v>225.9368377</v>
      </c>
      <c r="I716" s="5">
        <f t="shared" si="716"/>
        <v>205.9941329</v>
      </c>
      <c r="J716" s="5">
        <f t="shared" si="716"/>
        <v>113.035594</v>
      </c>
      <c r="K716" s="5">
        <f t="shared" si="716"/>
        <v>157.15903</v>
      </c>
      <c r="L716" s="7">
        <f t="shared" si="6"/>
        <v>-0.05380878572</v>
      </c>
    </row>
    <row r="717" ht="15.75" customHeight="1">
      <c r="A717" s="4">
        <f>IF(RETORNOS!A717="","",RETORNOS!A717)</f>
        <v>45453</v>
      </c>
      <c r="B717" s="7">
        <f>IF(RETORNOS!B717="","",OPTIMIZACION!$B$5*RETORNOS!B717+OPTIMIZACION!$B$6*RETORNOS!C717+OPTIMIZACION!$B$7*RETORNOS!D717+OPTIMIZACION!$B$8*RETORNOS!E717+OPTIMIZACION!$B$9*RETORNOS!F717+OPTIMIZACION!$B$10*RETORNOS!G717)</f>
        <v>0.01810766018</v>
      </c>
      <c r="C717" s="7">
        <f>IF(RETORNOS!H717="","",RETORNOS!H717)</f>
        <v>0.007558281862</v>
      </c>
      <c r="D717" s="7">
        <f>IF(RETORNOS!I717="","",RETORNOS!I717)</f>
        <v>0.01287017557</v>
      </c>
      <c r="E717" s="7">
        <f t="shared" si="2"/>
        <v>0.01021422871</v>
      </c>
      <c r="F717" s="7">
        <f t="shared" si="3"/>
        <v>0.01054937831</v>
      </c>
      <c r="G717" s="7">
        <f t="shared" si="4"/>
        <v>0.007893431462</v>
      </c>
      <c r="H717" s="5">
        <f t="shared" ref="H717:K717" si="717">IF(B717="","",H716*(1+B717))</f>
        <v>230.0280252</v>
      </c>
      <c r="I717" s="5">
        <f t="shared" si="717"/>
        <v>207.5510946</v>
      </c>
      <c r="J717" s="5">
        <f t="shared" si="717"/>
        <v>114.4903819</v>
      </c>
      <c r="K717" s="5">
        <f t="shared" si="717"/>
        <v>158.7642883</v>
      </c>
      <c r="L717" s="7">
        <f t="shared" si="6"/>
        <v>-0.03667547675</v>
      </c>
    </row>
    <row r="718" ht="15.75" customHeight="1">
      <c r="A718" s="4">
        <f>IF(RETORNOS!A718="","",RETORNOS!A718)</f>
        <v>45454</v>
      </c>
      <c r="B718" s="7">
        <f>IF(RETORNOS!B718="","",OPTIMIZACION!$B$5*RETORNOS!B718+OPTIMIZACION!$B$6*RETORNOS!C718+OPTIMIZACION!$B$7*RETORNOS!D718+OPTIMIZACION!$B$8*RETORNOS!E718+OPTIMIZACION!$B$9*RETORNOS!F718+OPTIMIZACION!$B$10*RETORNOS!G718)</f>
        <v>-0.004401390538</v>
      </c>
      <c r="C718" s="7">
        <f>IF(RETORNOS!H718="","",RETORNOS!H718)</f>
        <v>-0.001988118016</v>
      </c>
      <c r="D718" s="7">
        <f>IF(RETORNOS!I718="","",RETORNOS!I718)</f>
        <v>-0.006068044111</v>
      </c>
      <c r="E718" s="7">
        <f t="shared" si="2"/>
        <v>-0.004028081063</v>
      </c>
      <c r="F718" s="7">
        <f t="shared" si="3"/>
        <v>-0.002413272522</v>
      </c>
      <c r="G718" s="7">
        <f t="shared" si="4"/>
        <v>-0.0003733094747</v>
      </c>
      <c r="H718" s="5">
        <f t="shared" ref="H718:K718" si="718">IF(B718="","",H717*(1+B718))</f>
        <v>229.015582</v>
      </c>
      <c r="I718" s="5">
        <f t="shared" si="718"/>
        <v>207.1384586</v>
      </c>
      <c r="J718" s="5">
        <f t="shared" si="718"/>
        <v>113.7956492</v>
      </c>
      <c r="K718" s="5">
        <f t="shared" si="718"/>
        <v>158.1247729</v>
      </c>
      <c r="L718" s="7">
        <f t="shared" si="6"/>
        <v>-0.04091544419</v>
      </c>
    </row>
    <row r="719" ht="15.75" customHeight="1">
      <c r="A719" s="4">
        <f>IF(RETORNOS!A719="","",RETORNOS!A719)</f>
        <v>45455</v>
      </c>
      <c r="B719" s="7">
        <f>IF(RETORNOS!B719="","",OPTIMIZACION!$B$5*RETORNOS!B719+OPTIMIZACION!$B$6*RETORNOS!C719+OPTIMIZACION!$B$7*RETORNOS!D719+OPTIMIZACION!$B$8*RETORNOS!E719+OPTIMIZACION!$B$9*RETORNOS!F719+OPTIMIZACION!$B$10*RETORNOS!G719)</f>
        <v>0.001671786033</v>
      </c>
      <c r="C719" s="7">
        <f>IF(RETORNOS!H719="","",RETORNOS!H719)</f>
        <v>-0.01071883369</v>
      </c>
      <c r="D719" s="7">
        <f>IF(RETORNOS!I719="","",RETORNOS!I719)</f>
        <v>-0.006538605277</v>
      </c>
      <c r="E719" s="7">
        <f t="shared" si="2"/>
        <v>-0.008628719481</v>
      </c>
      <c r="F719" s="7">
        <f t="shared" si="3"/>
        <v>0.01239061972</v>
      </c>
      <c r="G719" s="7">
        <f t="shared" si="4"/>
        <v>0.01030050551</v>
      </c>
      <c r="H719" s="5">
        <f t="shared" ref="H719:K719" si="719">IF(B719="","",H718*(1+B719))</f>
        <v>229.3984471</v>
      </c>
      <c r="I719" s="5">
        <f t="shared" si="719"/>
        <v>204.9181759</v>
      </c>
      <c r="J719" s="5">
        <f t="shared" si="719"/>
        <v>113.0515844</v>
      </c>
      <c r="K719" s="5">
        <f t="shared" si="719"/>
        <v>156.7603586</v>
      </c>
      <c r="L719" s="7">
        <f t="shared" si="6"/>
        <v>-0.03931206003</v>
      </c>
    </row>
    <row r="720" ht="15.75" customHeight="1">
      <c r="A720" s="4">
        <f>IF(RETORNOS!A720="","",RETORNOS!A720)</f>
        <v>45456</v>
      </c>
      <c r="B720" s="7">
        <f>IF(RETORNOS!B720="","",OPTIMIZACION!$B$5*RETORNOS!B720+OPTIMIZACION!$B$6*RETORNOS!C720+OPTIMIZACION!$B$7*RETORNOS!D720+OPTIMIZACION!$B$8*RETORNOS!E720+OPTIMIZACION!$B$9*RETORNOS!F720+OPTIMIZACION!$B$10*RETORNOS!G720)</f>
        <v>-0.0009589119449</v>
      </c>
      <c r="C720" s="7">
        <f>IF(RETORNOS!H720="","",RETORNOS!H720)</f>
        <v>-0.00915968037</v>
      </c>
      <c r="D720" s="7">
        <f>IF(RETORNOS!I720="","",RETORNOS!I720)</f>
        <v>0.002290182011</v>
      </c>
      <c r="E720" s="7">
        <f t="shared" si="2"/>
        <v>-0.003434749179</v>
      </c>
      <c r="F720" s="7">
        <f t="shared" si="3"/>
        <v>0.008200768425</v>
      </c>
      <c r="G720" s="7">
        <f t="shared" si="4"/>
        <v>0.002475837234</v>
      </c>
      <c r="H720" s="5">
        <f t="shared" ref="H720:K720" si="720">IF(B720="","",H719*(1+B720))</f>
        <v>229.1784742</v>
      </c>
      <c r="I720" s="5">
        <f t="shared" si="720"/>
        <v>203.0411909</v>
      </c>
      <c r="J720" s="5">
        <f t="shared" si="720"/>
        <v>113.3104931</v>
      </c>
      <c r="K720" s="5">
        <f t="shared" si="720"/>
        <v>156.221926</v>
      </c>
      <c r="L720" s="7">
        <f t="shared" si="6"/>
        <v>-0.04023327517</v>
      </c>
    </row>
    <row r="721" ht="15.75" customHeight="1">
      <c r="A721" s="4">
        <f>IF(RETORNOS!A721="","",RETORNOS!A721)</f>
        <v>45457</v>
      </c>
      <c r="B721" s="7">
        <f>IF(RETORNOS!B721="","",OPTIMIZACION!$B$5*RETORNOS!B721+OPTIMIZACION!$B$6*RETORNOS!C721+OPTIMIZACION!$B$7*RETORNOS!D721+OPTIMIZACION!$B$8*RETORNOS!E721+OPTIMIZACION!$B$9*RETORNOS!F721+OPTIMIZACION!$B$10*RETORNOS!G721)</f>
        <v>-0.009053516222</v>
      </c>
      <c r="C721" s="7">
        <f>IF(RETORNOS!H721="","",RETORNOS!H721)</f>
        <v>-0.007438948087</v>
      </c>
      <c r="D721" s="7">
        <f>IF(RETORNOS!I721="","",RETORNOS!I721)</f>
        <v>-0.002426069437</v>
      </c>
      <c r="E721" s="7">
        <f t="shared" si="2"/>
        <v>-0.004932508762</v>
      </c>
      <c r="F721" s="7">
        <f t="shared" si="3"/>
        <v>-0.001614568135</v>
      </c>
      <c r="G721" s="7">
        <f t="shared" si="4"/>
        <v>-0.00412100746</v>
      </c>
      <c r="H721" s="5">
        <f t="shared" ref="H721:K721" si="721">IF(B721="","",H720*(1+B721))</f>
        <v>227.1036032</v>
      </c>
      <c r="I721" s="5">
        <f t="shared" si="721"/>
        <v>201.530778</v>
      </c>
      <c r="J721" s="5">
        <f t="shared" si="721"/>
        <v>113.035594</v>
      </c>
      <c r="K721" s="5">
        <f t="shared" si="721"/>
        <v>155.45136</v>
      </c>
      <c r="L721" s="7">
        <f t="shared" si="6"/>
        <v>-0.04892253878</v>
      </c>
    </row>
    <row r="722" ht="15.75" customHeight="1">
      <c r="A722" s="4">
        <f>IF(RETORNOS!A722="","",RETORNOS!A722)</f>
        <v>45460</v>
      </c>
      <c r="B722" s="7">
        <f>IF(RETORNOS!B722="","",OPTIMIZACION!$B$5*RETORNOS!B722+OPTIMIZACION!$B$6*RETORNOS!C722+OPTIMIZACION!$B$7*RETORNOS!D722+OPTIMIZACION!$B$8*RETORNOS!E722+OPTIMIZACION!$B$9*RETORNOS!F722+OPTIMIZACION!$B$10*RETORNOS!G722)</f>
        <v>-0.008546839425</v>
      </c>
      <c r="C722" s="7">
        <f>IF(RETORNOS!H722="","",RETORNOS!H722)</f>
        <v>0.002615325761</v>
      </c>
      <c r="D722" s="7">
        <f>IF(RETORNOS!I722="","",RETORNOS!I722)</f>
        <v>-0.01100707017</v>
      </c>
      <c r="E722" s="7">
        <f t="shared" si="2"/>
        <v>-0.004195872204</v>
      </c>
      <c r="F722" s="7">
        <f t="shared" si="3"/>
        <v>-0.01116216519</v>
      </c>
      <c r="G722" s="7">
        <f t="shared" si="4"/>
        <v>-0.004350967221</v>
      </c>
      <c r="H722" s="5">
        <f t="shared" ref="H722:K722" si="722">IF(B722="","",H721*(1+B722))</f>
        <v>225.1625851</v>
      </c>
      <c r="I722" s="5">
        <f t="shared" si="722"/>
        <v>202.0578466</v>
      </c>
      <c r="J722" s="5">
        <f t="shared" si="722"/>
        <v>111.7914033</v>
      </c>
      <c r="K722" s="5">
        <f t="shared" si="722"/>
        <v>154.799106</v>
      </c>
      <c r="L722" s="7">
        <f t="shared" si="6"/>
        <v>-0.05705124513</v>
      </c>
    </row>
    <row r="723" ht="15.75" customHeight="1">
      <c r="A723" s="4">
        <f>IF(RETORNOS!A723="","",RETORNOS!A723)</f>
        <v>45461</v>
      </c>
      <c r="B723" s="7">
        <f>IF(RETORNOS!B723="","",OPTIMIZACION!$B$5*RETORNOS!B723+OPTIMIZACION!$B$6*RETORNOS!C723+OPTIMIZACION!$B$7*RETORNOS!D723+OPTIMIZACION!$B$8*RETORNOS!E723+OPTIMIZACION!$B$9*RETORNOS!F723+OPTIMIZACION!$B$10*RETORNOS!G723)</f>
        <v>0.01355166229</v>
      </c>
      <c r="C723" s="7">
        <f>IF(RETORNOS!H723="","",RETORNOS!H723)</f>
        <v>0.004192323752</v>
      </c>
      <c r="D723" s="7">
        <f>IF(RETORNOS!I723="","",RETORNOS!I723)</f>
        <v>0.0004321573783</v>
      </c>
      <c r="E723" s="7">
        <f t="shared" si="2"/>
        <v>0.002312240565</v>
      </c>
      <c r="F723" s="7">
        <f t="shared" si="3"/>
        <v>0.009359338537</v>
      </c>
      <c r="G723" s="7">
        <f t="shared" si="4"/>
        <v>0.01123942172</v>
      </c>
      <c r="H723" s="5">
        <f t="shared" ref="H723:K723" si="723">IF(B723="","",H722*(1+B723))</f>
        <v>228.2139124</v>
      </c>
      <c r="I723" s="5">
        <f t="shared" si="723"/>
        <v>202.9049385</v>
      </c>
      <c r="J723" s="5">
        <f t="shared" si="723"/>
        <v>111.8397148</v>
      </c>
      <c r="K723" s="5">
        <f t="shared" si="723"/>
        <v>155.1570388</v>
      </c>
      <c r="L723" s="7">
        <f t="shared" si="6"/>
        <v>-0.04427272204</v>
      </c>
    </row>
    <row r="724" ht="15.75" customHeight="1">
      <c r="A724" s="4">
        <f>IF(RETORNOS!A724="","",RETORNOS!A724)</f>
        <v>45463</v>
      </c>
      <c r="B724" s="7">
        <f>IF(RETORNOS!B724="","",OPTIMIZACION!$B$5*RETORNOS!B724+OPTIMIZACION!$B$6*RETORNOS!C724+OPTIMIZACION!$B$7*RETORNOS!D724+OPTIMIZACION!$B$8*RETORNOS!E724+OPTIMIZACION!$B$9*RETORNOS!F724+OPTIMIZACION!$B$10*RETORNOS!G724)</f>
        <v>0.009378111466</v>
      </c>
      <c r="C724" s="7">
        <f>IF(RETORNOS!H724="","",RETORNOS!H724)</f>
        <v>0.01838403101</v>
      </c>
      <c r="D724" s="7">
        <f>IF(RETORNOS!I724="","",RETORNOS!I724)</f>
        <v>0.008669834452</v>
      </c>
      <c r="E724" s="7">
        <f t="shared" si="2"/>
        <v>0.01352693273</v>
      </c>
      <c r="F724" s="7">
        <f t="shared" si="3"/>
        <v>-0.009005919543</v>
      </c>
      <c r="G724" s="7">
        <f t="shared" si="4"/>
        <v>-0.004148821264</v>
      </c>
      <c r="H724" s="5">
        <f t="shared" ref="H724:K724" si="724">IF(B724="","",H723*(1+B724))</f>
        <v>230.3541279</v>
      </c>
      <c r="I724" s="5">
        <f t="shared" si="724"/>
        <v>206.6351492</v>
      </c>
      <c r="J724" s="5">
        <f t="shared" si="724"/>
        <v>112.8093466</v>
      </c>
      <c r="K724" s="5">
        <f t="shared" si="724"/>
        <v>157.2558376</v>
      </c>
      <c r="L724" s="7">
        <f t="shared" si="6"/>
        <v>-0.0353098051</v>
      </c>
    </row>
    <row r="725" ht="15.75" customHeight="1">
      <c r="A725" s="4">
        <f>IF(RETORNOS!A725="","",RETORNOS!A725)</f>
        <v>45464</v>
      </c>
      <c r="B725" s="7">
        <f>IF(RETORNOS!B725="","",OPTIMIZACION!$B$5*RETORNOS!B725+OPTIMIZACION!$B$6*RETORNOS!C725+OPTIMIZACION!$B$7*RETORNOS!D725+OPTIMIZACION!$B$8*RETORNOS!E725+OPTIMIZACION!$B$9*RETORNOS!F725+OPTIMIZACION!$B$10*RETORNOS!G725)</f>
        <v>-0.009803666719</v>
      </c>
      <c r="C725" s="7">
        <f>IF(RETORNOS!H725="","",RETORNOS!H725)</f>
        <v>-0.005758481676</v>
      </c>
      <c r="D725" s="7">
        <f>IF(RETORNOS!I725="","",RETORNOS!I725)</f>
        <v>-0.005871956957</v>
      </c>
      <c r="E725" s="7">
        <f t="shared" si="2"/>
        <v>-0.005815219316</v>
      </c>
      <c r="F725" s="7">
        <f t="shared" si="3"/>
        <v>-0.004045185043</v>
      </c>
      <c r="G725" s="7">
        <f t="shared" si="4"/>
        <v>-0.003988447402</v>
      </c>
      <c r="H725" s="5">
        <f t="shared" ref="H725:K725" si="725">IF(B725="","",H724*(1+B725))</f>
        <v>228.0958129</v>
      </c>
      <c r="I725" s="5">
        <f t="shared" si="725"/>
        <v>205.4452445</v>
      </c>
      <c r="J725" s="5">
        <f t="shared" si="725"/>
        <v>112.1469349</v>
      </c>
      <c r="K725" s="5">
        <f t="shared" si="725"/>
        <v>156.3413604</v>
      </c>
      <c r="L725" s="7">
        <f t="shared" si="6"/>
        <v>-0.04476730626</v>
      </c>
    </row>
    <row r="726" ht="15.75" customHeight="1">
      <c r="A726" s="4">
        <f>IF(RETORNOS!A726="","",RETORNOS!A726)</f>
        <v>45467</v>
      </c>
      <c r="B726" s="7">
        <f>IF(RETORNOS!B726="","",OPTIMIZACION!$B$5*RETORNOS!B726+OPTIMIZACION!$B$6*RETORNOS!C726+OPTIMIZACION!$B$7*RETORNOS!D726+OPTIMIZACION!$B$8*RETORNOS!E726+OPTIMIZACION!$B$9*RETORNOS!F726+OPTIMIZACION!$B$10*RETORNOS!G726)</f>
        <v>0.01974646328</v>
      </c>
      <c r="C726" s="7">
        <f>IF(RETORNOS!H726="","",RETORNOS!H726)</f>
        <v>0.02521123436</v>
      </c>
      <c r="D726" s="7">
        <f>IF(RETORNOS!I726="","",RETORNOS!I726)</f>
        <v>0.01314508129</v>
      </c>
      <c r="E726" s="7">
        <f t="shared" si="2"/>
        <v>0.01917815783</v>
      </c>
      <c r="F726" s="7">
        <f t="shared" si="3"/>
        <v>-0.005464771083</v>
      </c>
      <c r="G726" s="7">
        <f t="shared" si="4"/>
        <v>0.0005683054546</v>
      </c>
      <c r="H726" s="5">
        <f t="shared" ref="H726:K726" si="726">IF(B726="","",H725*(1+B726))</f>
        <v>232.5998984</v>
      </c>
      <c r="I726" s="5">
        <f t="shared" si="726"/>
        <v>210.6247727</v>
      </c>
      <c r="J726" s="5">
        <f t="shared" si="726"/>
        <v>113.6211155</v>
      </c>
      <c r="K726" s="5">
        <f t="shared" si="726"/>
        <v>159.3396997</v>
      </c>
      <c r="L726" s="7">
        <f t="shared" si="6"/>
        <v>-0.02590483895</v>
      </c>
    </row>
    <row r="727" ht="15.75" customHeight="1">
      <c r="A727" s="4">
        <f>IF(RETORNOS!A727="","",RETORNOS!A727)</f>
        <v>45468</v>
      </c>
      <c r="B727" s="7">
        <f>IF(RETORNOS!B727="","",OPTIMIZACION!$B$5*RETORNOS!B727+OPTIMIZACION!$B$6*RETORNOS!C727+OPTIMIZACION!$B$7*RETORNOS!D727+OPTIMIZACION!$B$8*RETORNOS!E727+OPTIMIZACION!$B$9*RETORNOS!F727+OPTIMIZACION!$B$10*RETORNOS!G727)</f>
        <v>-0.002689239398</v>
      </c>
      <c r="C727" s="7">
        <f>IF(RETORNOS!H727="","",RETORNOS!H727)</f>
        <v>0.002299819053</v>
      </c>
      <c r="D727" s="7">
        <f>IF(RETORNOS!I727="","",RETORNOS!I727)</f>
        <v>-0.009462154377</v>
      </c>
      <c r="E727" s="7">
        <f t="shared" si="2"/>
        <v>-0.003581167662</v>
      </c>
      <c r="F727" s="7">
        <f t="shared" si="3"/>
        <v>-0.004989058452</v>
      </c>
      <c r="G727" s="7">
        <f t="shared" si="4"/>
        <v>0.0008919282634</v>
      </c>
      <c r="H727" s="5">
        <f t="shared" ref="H727:K727" si="727">IF(B727="","",H726*(1+B727))</f>
        <v>231.9743816</v>
      </c>
      <c r="I727" s="5">
        <f t="shared" si="727"/>
        <v>211.1091716</v>
      </c>
      <c r="J727" s="5">
        <f t="shared" si="727"/>
        <v>112.546015</v>
      </c>
      <c r="K727" s="5">
        <f t="shared" si="727"/>
        <v>158.7690775</v>
      </c>
      <c r="L727" s="7">
        <f t="shared" si="6"/>
        <v>-0.02852441403</v>
      </c>
    </row>
    <row r="728" ht="15.75" customHeight="1">
      <c r="A728" s="4">
        <f>IF(RETORNOS!A728="","",RETORNOS!A728)</f>
        <v>45469</v>
      </c>
      <c r="B728" s="7">
        <f>IF(RETORNOS!B728="","",OPTIMIZACION!$B$5*RETORNOS!B728+OPTIMIZACION!$B$6*RETORNOS!C728+OPTIMIZACION!$B$7*RETORNOS!D728+OPTIMIZACION!$B$8*RETORNOS!E728+OPTIMIZACION!$B$9*RETORNOS!F728+OPTIMIZACION!$B$10*RETORNOS!G728)</f>
        <v>-0.01093042184</v>
      </c>
      <c r="C728" s="7">
        <f>IF(RETORNOS!H728="","",RETORNOS!H728)</f>
        <v>-0.00983736084</v>
      </c>
      <c r="D728" s="7">
        <f>IF(RETORNOS!I728="","",RETORNOS!I728)</f>
        <v>-0.004198886343</v>
      </c>
      <c r="E728" s="7">
        <f t="shared" si="2"/>
        <v>-0.007018123592</v>
      </c>
      <c r="F728" s="7">
        <f t="shared" si="3"/>
        <v>-0.001093060998</v>
      </c>
      <c r="G728" s="7">
        <f t="shared" si="4"/>
        <v>-0.003912298247</v>
      </c>
      <c r="H728" s="5">
        <f t="shared" ref="H728:K728" si="728">IF(B728="","",H727*(1+B728))</f>
        <v>229.4388038</v>
      </c>
      <c r="I728" s="5">
        <f t="shared" si="728"/>
        <v>209.0324145</v>
      </c>
      <c r="J728" s="5">
        <f t="shared" si="728"/>
        <v>112.0734471</v>
      </c>
      <c r="K728" s="5">
        <f t="shared" si="728"/>
        <v>157.6548165</v>
      </c>
      <c r="L728" s="7">
        <f t="shared" si="6"/>
        <v>-0.03914305199</v>
      </c>
    </row>
    <row r="729" ht="15.75" customHeight="1">
      <c r="A729" s="4">
        <f>IF(RETORNOS!A729="","",RETORNOS!A729)</f>
        <v>45470</v>
      </c>
      <c r="B729" s="7">
        <f>IF(RETORNOS!B729="","",OPTIMIZACION!$B$5*RETORNOS!B729+OPTIMIZACION!$B$6*RETORNOS!C729+OPTIMIZACION!$B$7*RETORNOS!D729+OPTIMIZACION!$B$8*RETORNOS!E729+OPTIMIZACION!$B$9*RETORNOS!F729+OPTIMIZACION!$B$10*RETORNOS!G729)</f>
        <v>0.003563455518</v>
      </c>
      <c r="C729" s="7">
        <f>IF(RETORNOS!H729="","",RETORNOS!H729)</f>
        <v>0.002319658175</v>
      </c>
      <c r="D729" s="7">
        <f>IF(RETORNOS!I729="","",RETORNOS!I729)</f>
        <v>0.001748564871</v>
      </c>
      <c r="E729" s="7">
        <f t="shared" si="2"/>
        <v>0.002034111523</v>
      </c>
      <c r="F729" s="7">
        <f t="shared" si="3"/>
        <v>0.001243797343</v>
      </c>
      <c r="G729" s="7">
        <f t="shared" si="4"/>
        <v>0.001529343995</v>
      </c>
      <c r="H729" s="5">
        <f t="shared" ref="H729:K729" si="729">IF(B729="","",H728*(1+B729))</f>
        <v>230.2563988</v>
      </c>
      <c r="I729" s="5">
        <f t="shared" si="729"/>
        <v>209.5172982</v>
      </c>
      <c r="J729" s="5">
        <f t="shared" si="729"/>
        <v>112.2694148</v>
      </c>
      <c r="K729" s="5">
        <f t="shared" si="729"/>
        <v>157.975504</v>
      </c>
      <c r="L729" s="7">
        <f t="shared" si="6"/>
        <v>-0.035719081</v>
      </c>
    </row>
    <row r="730" ht="15.75" customHeight="1">
      <c r="A730" s="4">
        <f>IF(RETORNOS!A730="","",RETORNOS!A730)</f>
        <v>45471</v>
      </c>
      <c r="B730" s="7">
        <f>IF(RETORNOS!B730="","",OPTIMIZACION!$B$5*RETORNOS!B730+OPTIMIZACION!$B$6*RETORNOS!C730+OPTIMIZACION!$B$7*RETORNOS!D730+OPTIMIZACION!$B$8*RETORNOS!E730+OPTIMIZACION!$B$9*RETORNOS!F730+OPTIMIZACION!$B$10*RETORNOS!G730)</f>
        <v>-0.004237573145</v>
      </c>
      <c r="C730" s="7">
        <f>IF(RETORNOS!H730="","",RETORNOS!H730)</f>
        <v>0.00385329254</v>
      </c>
      <c r="D730" s="7">
        <f>IF(RETORNOS!I730="","",RETORNOS!I730)</f>
        <v>-0.01117613011</v>
      </c>
      <c r="E730" s="7">
        <f t="shared" si="2"/>
        <v>-0.003661418787</v>
      </c>
      <c r="F730" s="7">
        <f t="shared" si="3"/>
        <v>-0.008090865685</v>
      </c>
      <c r="G730" s="7">
        <f t="shared" si="4"/>
        <v>-0.0005761543586</v>
      </c>
      <c r="H730" s="5">
        <f t="shared" ref="H730:K730" si="730">IF(B730="","",H729*(1+B730))</f>
        <v>229.2806704</v>
      </c>
      <c r="I730" s="5">
        <f t="shared" si="730"/>
        <v>210.3246297</v>
      </c>
      <c r="J730" s="5">
        <f t="shared" si="730"/>
        <v>111.0146772</v>
      </c>
      <c r="K730" s="5">
        <f t="shared" si="730"/>
        <v>157.3970895</v>
      </c>
      <c r="L730" s="7">
        <f t="shared" si="6"/>
        <v>-0.03980529192</v>
      </c>
    </row>
    <row r="731" ht="15.75" customHeight="1">
      <c r="A731" s="4">
        <f>IF(RETORNOS!A731="","",RETORNOS!A731)</f>
        <v>45474</v>
      </c>
      <c r="B731" s="7">
        <f>IF(RETORNOS!B731="","",OPTIMIZACION!$B$5*RETORNOS!B731+OPTIMIZACION!$B$6*RETORNOS!C731+OPTIMIZACION!$B$7*RETORNOS!D731+OPTIMIZACION!$B$8*RETORNOS!E731+OPTIMIZACION!$B$9*RETORNOS!F731+OPTIMIZACION!$B$10*RETORNOS!G731)</f>
        <v>-0.005373472856</v>
      </c>
      <c r="C731" s="7">
        <f>IF(RETORNOS!H731="","",RETORNOS!H731)</f>
        <v>0.0005486867252</v>
      </c>
      <c r="D731" s="7">
        <f>IF(RETORNOS!I731="","",RETORNOS!I731)</f>
        <v>-0.006895473811</v>
      </c>
      <c r="E731" s="7">
        <f t="shared" si="2"/>
        <v>-0.003173393543</v>
      </c>
      <c r="F731" s="7">
        <f t="shared" si="3"/>
        <v>-0.005922159581</v>
      </c>
      <c r="G731" s="7">
        <f t="shared" si="4"/>
        <v>-0.002200079313</v>
      </c>
      <c r="H731" s="5">
        <f t="shared" ref="H731:K731" si="731">IF(B731="","",H730*(1+B731))</f>
        <v>228.048637</v>
      </c>
      <c r="I731" s="5">
        <f t="shared" si="731"/>
        <v>210.440032</v>
      </c>
      <c r="J731" s="5">
        <f t="shared" si="731"/>
        <v>110.2491784</v>
      </c>
      <c r="K731" s="5">
        <f t="shared" si="731"/>
        <v>156.8976066</v>
      </c>
      <c r="L731" s="7">
        <f t="shared" si="6"/>
        <v>-0.04496487212</v>
      </c>
    </row>
    <row r="732" ht="15.75" customHeight="1">
      <c r="A732" s="4">
        <f>IF(RETORNOS!A732="","",RETORNOS!A732)</f>
        <v>45475</v>
      </c>
      <c r="B732" s="7">
        <f>IF(RETORNOS!B732="","",OPTIMIZACION!$B$5*RETORNOS!B732+OPTIMIZACION!$B$6*RETORNOS!C732+OPTIMIZACION!$B$7*RETORNOS!D732+OPTIMIZACION!$B$8*RETORNOS!E732+OPTIMIZACION!$B$9*RETORNOS!F732+OPTIMIZACION!$B$10*RETORNOS!G732)</f>
        <v>0.003832669778</v>
      </c>
      <c r="C732" s="7">
        <f>IF(RETORNOS!H732="","",RETORNOS!H732)</f>
        <v>-0.0007649751959</v>
      </c>
      <c r="D732" s="7">
        <f>IF(RETORNOS!I732="","",RETORNOS!I732)</f>
        <v>0.005168939457</v>
      </c>
      <c r="E732" s="7">
        <f t="shared" si="2"/>
        <v>0.002201982131</v>
      </c>
      <c r="F732" s="7">
        <f t="shared" si="3"/>
        <v>0.004597644973</v>
      </c>
      <c r="G732" s="7">
        <f t="shared" si="4"/>
        <v>0.001630687647</v>
      </c>
      <c r="H732" s="5">
        <f t="shared" ref="H732:K732" si="732">IF(B732="","",H731*(1+B732))</f>
        <v>228.9226721</v>
      </c>
      <c r="I732" s="5">
        <f t="shared" si="732"/>
        <v>210.2790506</v>
      </c>
      <c r="J732" s="5">
        <f t="shared" si="732"/>
        <v>110.8190497</v>
      </c>
      <c r="K732" s="5">
        <f t="shared" si="732"/>
        <v>157.2430923</v>
      </c>
      <c r="L732" s="7">
        <f t="shared" si="6"/>
        <v>-0.04130453785</v>
      </c>
    </row>
    <row r="733" ht="15.75" customHeight="1">
      <c r="A733" s="4">
        <f>IF(RETORNOS!A733="","",RETORNOS!A733)</f>
        <v>45476</v>
      </c>
      <c r="B733" s="7">
        <f>IF(RETORNOS!B733="","",OPTIMIZACION!$B$5*RETORNOS!B733+OPTIMIZACION!$B$6*RETORNOS!C733+OPTIMIZACION!$B$7*RETORNOS!D733+OPTIMIZACION!$B$8*RETORNOS!E733+OPTIMIZACION!$B$9*RETORNOS!F733+OPTIMIZACION!$B$10*RETORNOS!G733)</f>
        <v>0.01110618781</v>
      </c>
      <c r="C733" s="7">
        <f>IF(RETORNOS!H733="","",RETORNOS!H733)</f>
        <v>0.004388139341</v>
      </c>
      <c r="D733" s="7">
        <f>IF(RETORNOS!I733="","",RETORNOS!I733)</f>
        <v>0.006026537642</v>
      </c>
      <c r="E733" s="7">
        <f t="shared" si="2"/>
        <v>0.005207338492</v>
      </c>
      <c r="F733" s="7">
        <f t="shared" si="3"/>
        <v>0.006718048473</v>
      </c>
      <c r="G733" s="7">
        <f t="shared" si="4"/>
        <v>0.005898849323</v>
      </c>
      <c r="H733" s="5">
        <f t="shared" ref="H733:K733" si="733">IF(B733="","",H732*(1+B733))</f>
        <v>231.4651303</v>
      </c>
      <c r="I733" s="5">
        <f t="shared" si="733"/>
        <v>211.2017844</v>
      </c>
      <c r="J733" s="5">
        <f t="shared" si="733"/>
        <v>111.4869049</v>
      </c>
      <c r="K733" s="5">
        <f t="shared" si="733"/>
        <v>158.0619103</v>
      </c>
      <c r="L733" s="7">
        <f t="shared" si="6"/>
        <v>-0.03065708599</v>
      </c>
    </row>
    <row r="734" ht="15.75" customHeight="1">
      <c r="A734" s="4">
        <f>IF(RETORNOS!A734="","",RETORNOS!A734)</f>
        <v>45478</v>
      </c>
      <c r="B734" s="7">
        <f>IF(RETORNOS!B734="","",OPTIMIZACION!$B$5*RETORNOS!B734+OPTIMIZACION!$B$6*RETORNOS!C734+OPTIMIZACION!$B$7*RETORNOS!D734+OPTIMIZACION!$B$8*RETORNOS!E734+OPTIMIZACION!$B$9*RETORNOS!F734+OPTIMIZACION!$B$10*RETORNOS!G734)</f>
        <v>-0.006744245687</v>
      </c>
      <c r="C734" s="7">
        <f>IF(RETORNOS!H734="","",RETORNOS!H734)</f>
        <v>-0.01562313464</v>
      </c>
      <c r="D734" s="7">
        <f>IF(RETORNOS!I734="","",RETORNOS!I734)</f>
        <v>0.001757764222</v>
      </c>
      <c r="E734" s="7">
        <f t="shared" si="2"/>
        <v>-0.006932685208</v>
      </c>
      <c r="F734" s="7">
        <f t="shared" si="3"/>
        <v>0.00887888895</v>
      </c>
      <c r="G734" s="7">
        <f t="shared" si="4"/>
        <v>0.0001884395207</v>
      </c>
      <c r="H734" s="5">
        <f t="shared" ref="H734:K734" si="734">IF(B734="","",H733*(1+B734))</f>
        <v>229.9040726</v>
      </c>
      <c r="I734" s="5">
        <f t="shared" si="734"/>
        <v>207.9021505</v>
      </c>
      <c r="J734" s="5">
        <f t="shared" si="734"/>
        <v>111.6828726</v>
      </c>
      <c r="K734" s="5">
        <f t="shared" si="734"/>
        <v>156.9661168</v>
      </c>
      <c r="L734" s="7">
        <f t="shared" si="6"/>
        <v>-0.03719457276</v>
      </c>
    </row>
    <row r="735" ht="15.75" customHeight="1">
      <c r="A735" s="4">
        <f>IF(RETORNOS!A735="","",RETORNOS!A735)</f>
        <v>45481</v>
      </c>
      <c r="B735" s="7">
        <f>IF(RETORNOS!B735="","",OPTIMIZACION!$B$5*RETORNOS!B735+OPTIMIZACION!$B$6*RETORNOS!C735+OPTIMIZACION!$B$7*RETORNOS!D735+OPTIMIZACION!$B$8*RETORNOS!E735+OPTIMIZACION!$B$9*RETORNOS!F735+OPTIMIZACION!$B$10*RETORNOS!G735)</f>
        <v>0.002775712398</v>
      </c>
      <c r="C735" s="7">
        <f>IF(RETORNOS!H735="","",RETORNOS!H735)</f>
        <v>-0.00610588035</v>
      </c>
      <c r="D735" s="7">
        <f>IF(RETORNOS!I735="","",RETORNOS!I735)</f>
        <v>0.001017470641</v>
      </c>
      <c r="E735" s="7">
        <f t="shared" si="2"/>
        <v>-0.002544204854</v>
      </c>
      <c r="F735" s="7">
        <f t="shared" si="3"/>
        <v>0.008881592748</v>
      </c>
      <c r="G735" s="7">
        <f t="shared" si="4"/>
        <v>0.005319917252</v>
      </c>
      <c r="H735" s="5">
        <f t="shared" ref="H735:K735" si="735">IF(B735="","",H734*(1+B735))</f>
        <v>230.5422202</v>
      </c>
      <c r="I735" s="5">
        <f t="shared" si="735"/>
        <v>206.6327248</v>
      </c>
      <c r="J735" s="5">
        <f t="shared" si="735"/>
        <v>111.7965066</v>
      </c>
      <c r="K735" s="5">
        <f t="shared" si="735"/>
        <v>156.5667629</v>
      </c>
      <c r="L735" s="7">
        <f t="shared" si="6"/>
        <v>-0.0345221018</v>
      </c>
    </row>
    <row r="736" ht="15.75" customHeight="1">
      <c r="A736" s="4">
        <f>IF(RETORNOS!A736="","",RETORNOS!A736)</f>
        <v>45482</v>
      </c>
      <c r="B736" s="7">
        <f>IF(RETORNOS!B736="","",OPTIMIZACION!$B$5*RETORNOS!B736+OPTIMIZACION!$B$6*RETORNOS!C736+OPTIMIZACION!$B$7*RETORNOS!D736+OPTIMIZACION!$B$8*RETORNOS!E736+OPTIMIZACION!$B$9*RETORNOS!F736+OPTIMIZACION!$B$10*RETORNOS!G736)</f>
        <v>-0.002342157541</v>
      </c>
      <c r="C736" s="7">
        <f>IF(RETORNOS!H736="","",RETORNOS!H736)</f>
        <v>-0.008820858432</v>
      </c>
      <c r="D736" s="7">
        <f>IF(RETORNOS!I736="","",RETORNOS!I736)</f>
        <v>0.002915407533</v>
      </c>
      <c r="E736" s="7">
        <f t="shared" si="2"/>
        <v>-0.002952725449</v>
      </c>
      <c r="F736" s="7">
        <f t="shared" si="3"/>
        <v>0.006478700891</v>
      </c>
      <c r="G736" s="7">
        <f t="shared" si="4"/>
        <v>0.0006105679084</v>
      </c>
      <c r="H736" s="5">
        <f t="shared" ref="H736:K736" si="736">IF(B736="","",H735*(1+B736))</f>
        <v>230.002254</v>
      </c>
      <c r="I736" s="5">
        <f t="shared" si="736"/>
        <v>204.8100468</v>
      </c>
      <c r="J736" s="5">
        <f t="shared" si="736"/>
        <v>112.122439</v>
      </c>
      <c r="K736" s="5">
        <f t="shared" si="736"/>
        <v>156.1044642</v>
      </c>
      <c r="L736" s="7">
        <f t="shared" si="6"/>
        <v>-0.03678340314</v>
      </c>
    </row>
    <row r="737" ht="15.75" customHeight="1">
      <c r="A737" s="4">
        <f>IF(RETORNOS!A737="","",RETORNOS!A737)</f>
        <v>45483</v>
      </c>
      <c r="B737" s="7">
        <f>IF(RETORNOS!B737="","",OPTIMIZACION!$B$5*RETORNOS!B737+OPTIMIZACION!$B$6*RETORNOS!C737+OPTIMIZACION!$B$7*RETORNOS!D737+OPTIMIZACION!$B$8*RETORNOS!E737+OPTIMIZACION!$B$9*RETORNOS!F737+OPTIMIZACION!$B$10*RETORNOS!G737)</f>
        <v>0.008913811242</v>
      </c>
      <c r="C737" s="7">
        <f>IF(RETORNOS!H737="","",RETORNOS!H737)</f>
        <v>0.00675915623</v>
      </c>
      <c r="D737" s="7">
        <f>IF(RETORNOS!I737="","",RETORNOS!I737)</f>
        <v>0.009446013891</v>
      </c>
      <c r="E737" s="7">
        <f t="shared" si="2"/>
        <v>0.008102585061</v>
      </c>
      <c r="F737" s="7">
        <f t="shared" si="3"/>
        <v>0.002154655012</v>
      </c>
      <c r="G737" s="7">
        <f t="shared" si="4"/>
        <v>0.0008112261818</v>
      </c>
      <c r="H737" s="5">
        <f t="shared" ref="H737:K737" si="737">IF(B737="","",H736*(1+B737))</f>
        <v>232.0524506</v>
      </c>
      <c r="I737" s="5">
        <f t="shared" si="737"/>
        <v>206.1943899</v>
      </c>
      <c r="J737" s="5">
        <f t="shared" si="737"/>
        <v>113.1815491</v>
      </c>
      <c r="K737" s="5">
        <f t="shared" si="737"/>
        <v>157.3693139</v>
      </c>
      <c r="L737" s="7">
        <f t="shared" si="6"/>
        <v>-0.02819747221</v>
      </c>
    </row>
    <row r="738" ht="15.75" customHeight="1">
      <c r="A738" s="4">
        <f>IF(RETORNOS!A738="","",RETORNOS!A738)</f>
        <v>45484</v>
      </c>
      <c r="B738" s="7">
        <f>IF(RETORNOS!B738="","",OPTIMIZACION!$B$5*RETORNOS!B738+OPTIMIZACION!$B$6*RETORNOS!C738+OPTIMIZACION!$B$7*RETORNOS!D738+OPTIMIZACION!$B$8*RETORNOS!E738+OPTIMIZACION!$B$9*RETORNOS!F738+OPTIMIZACION!$B$10*RETORNOS!G738)</f>
        <v>0.008453411007</v>
      </c>
      <c r="C738" s="7">
        <f>IF(RETORNOS!H738="","",RETORNOS!H738)</f>
        <v>0.01040811767</v>
      </c>
      <c r="D738" s="7">
        <f>IF(RETORNOS!I738="","",RETORNOS!I738)</f>
        <v>0.01827937596</v>
      </c>
      <c r="E738" s="7">
        <f t="shared" si="2"/>
        <v>0.01434374682</v>
      </c>
      <c r="F738" s="7">
        <f t="shared" si="3"/>
        <v>-0.001954706666</v>
      </c>
      <c r="G738" s="7">
        <f t="shared" si="4"/>
        <v>-0.005890335808</v>
      </c>
      <c r="H738" s="5">
        <f t="shared" ref="H738:K738" si="738">IF(B738="","",H737*(1+B738))</f>
        <v>234.0140854</v>
      </c>
      <c r="I738" s="5">
        <f t="shared" si="738"/>
        <v>208.3404854</v>
      </c>
      <c r="J738" s="5">
        <f t="shared" si="738"/>
        <v>115.2504372</v>
      </c>
      <c r="K738" s="5">
        <f t="shared" si="738"/>
        <v>159.6265795</v>
      </c>
      <c r="L738" s="7">
        <f t="shared" si="6"/>
        <v>-0.01998242602</v>
      </c>
    </row>
    <row r="739" ht="15.75" customHeight="1">
      <c r="A739" s="4">
        <f>IF(RETORNOS!A739="","",RETORNOS!A739)</f>
        <v>45485</v>
      </c>
      <c r="B739" s="7">
        <f>IF(RETORNOS!B739="","",OPTIMIZACION!$B$5*RETORNOS!B739+OPTIMIZACION!$B$6*RETORNOS!C739+OPTIMIZACION!$B$7*RETORNOS!D739+OPTIMIZACION!$B$8*RETORNOS!E739+OPTIMIZACION!$B$9*RETORNOS!F739+OPTIMIZACION!$B$10*RETORNOS!G739)</f>
        <v>0.002860532988</v>
      </c>
      <c r="C739" s="7">
        <f>IF(RETORNOS!H739="","",RETORNOS!H739)</f>
        <v>0.002548461497</v>
      </c>
      <c r="D739" s="7">
        <f>IF(RETORNOS!I739="","",RETORNOS!I739)</f>
        <v>0.007350531807</v>
      </c>
      <c r="E739" s="7">
        <f t="shared" si="2"/>
        <v>0.004949496652</v>
      </c>
      <c r="F739" s="7">
        <f t="shared" si="3"/>
        <v>0.0003120714907</v>
      </c>
      <c r="G739" s="7">
        <f t="shared" si="4"/>
        <v>-0.002088963664</v>
      </c>
      <c r="H739" s="5">
        <f t="shared" ref="H739:K739" si="739">IF(B739="","",H738*(1+B739))</f>
        <v>234.6834904</v>
      </c>
      <c r="I739" s="5">
        <f t="shared" si="739"/>
        <v>208.8714331</v>
      </c>
      <c r="J739" s="5">
        <f t="shared" si="739"/>
        <v>116.0975892</v>
      </c>
      <c r="K739" s="5">
        <f t="shared" si="739"/>
        <v>160.4166507</v>
      </c>
      <c r="L739" s="7">
        <f t="shared" si="6"/>
        <v>-0.01717905342</v>
      </c>
    </row>
    <row r="740" ht="15.75" customHeight="1">
      <c r="A740" s="4">
        <f>IF(RETORNOS!A740="","",RETORNOS!A740)</f>
        <v>45488</v>
      </c>
      <c r="B740" s="7">
        <f>IF(RETORNOS!B740="","",OPTIMIZACION!$B$5*RETORNOS!B740+OPTIMIZACION!$B$6*RETORNOS!C740+OPTIMIZACION!$B$7*RETORNOS!D740+OPTIMIZACION!$B$8*RETORNOS!E740+OPTIMIZACION!$B$9*RETORNOS!F740+OPTIMIZACION!$B$10*RETORNOS!G740)</f>
        <v>-0.005566060394</v>
      </c>
      <c r="C740" s="7">
        <f>IF(RETORNOS!H740="","",RETORNOS!H740)</f>
        <v>0.01513118491</v>
      </c>
      <c r="D740" s="7">
        <f>IF(RETORNOS!I740="","",RETORNOS!I740)</f>
        <v>-0.02427316764</v>
      </c>
      <c r="E740" s="7">
        <f t="shared" si="2"/>
        <v>-0.004570991366</v>
      </c>
      <c r="F740" s="7">
        <f t="shared" si="3"/>
        <v>-0.02069724531</v>
      </c>
      <c r="G740" s="7">
        <f t="shared" si="4"/>
        <v>-0.000995069028</v>
      </c>
      <c r="H740" s="5">
        <f t="shared" ref="H740:K740" si="740">IF(B740="","",H739*(1+B740))</f>
        <v>233.3772279</v>
      </c>
      <c r="I740" s="5">
        <f t="shared" si="740"/>
        <v>212.0319054</v>
      </c>
      <c r="J740" s="5">
        <f t="shared" si="740"/>
        <v>113.2795329</v>
      </c>
      <c r="K740" s="5">
        <f t="shared" si="740"/>
        <v>159.6833876</v>
      </c>
      <c r="L740" s="7">
        <f t="shared" si="6"/>
        <v>-0.02264949417</v>
      </c>
    </row>
    <row r="741" ht="15.75" customHeight="1">
      <c r="A741" s="4">
        <f>IF(RETORNOS!A741="","",RETORNOS!A741)</f>
        <v>45489</v>
      </c>
      <c r="B741" s="7">
        <f>IF(RETORNOS!B741="","",OPTIMIZACION!$B$5*RETORNOS!B741+OPTIMIZACION!$B$6*RETORNOS!C741+OPTIMIZACION!$B$7*RETORNOS!D741+OPTIMIZACION!$B$8*RETORNOS!E741+OPTIMIZACION!$B$9*RETORNOS!F741+OPTIMIZACION!$B$10*RETORNOS!G741)</f>
        <v>0.003777542956</v>
      </c>
      <c r="C741" s="7">
        <f>IF(RETORNOS!H741="","",RETORNOS!H741)</f>
        <v>0.004466205029</v>
      </c>
      <c r="D741" s="7">
        <f>IF(RETORNOS!I741="","",RETORNOS!I741)</f>
        <v>0.007763741973</v>
      </c>
      <c r="E741" s="7">
        <f t="shared" si="2"/>
        <v>0.006114973501</v>
      </c>
      <c r="F741" s="7">
        <f t="shared" si="3"/>
        <v>-0.0006886620735</v>
      </c>
      <c r="G741" s="7">
        <f t="shared" si="4"/>
        <v>-0.002337430546</v>
      </c>
      <c r="H741" s="5">
        <f t="shared" ref="H741:K741" si="741">IF(B741="","",H740*(1+B741))</f>
        <v>234.2588204</v>
      </c>
      <c r="I741" s="5">
        <f t="shared" si="741"/>
        <v>212.9788833</v>
      </c>
      <c r="J741" s="5">
        <f t="shared" si="741"/>
        <v>114.159006</v>
      </c>
      <c r="K741" s="5">
        <f t="shared" si="741"/>
        <v>160.6598473</v>
      </c>
      <c r="L741" s="7">
        <f t="shared" si="6"/>
        <v>-0.01895751065</v>
      </c>
    </row>
    <row r="742" ht="15.75" customHeight="1">
      <c r="A742" s="4">
        <f>IF(RETORNOS!A742="","",RETORNOS!A742)</f>
        <v>45490</v>
      </c>
      <c r="B742" s="7">
        <f>IF(RETORNOS!B742="","",OPTIMIZACION!$B$5*RETORNOS!B742+OPTIMIZACION!$B$6*RETORNOS!C742+OPTIMIZACION!$B$7*RETORNOS!D742+OPTIMIZACION!$B$8*RETORNOS!E742+OPTIMIZACION!$B$9*RETORNOS!F742+OPTIMIZACION!$B$10*RETORNOS!G742)</f>
        <v>-0.01486074897</v>
      </c>
      <c r="C742" s="7">
        <f>IF(RETORNOS!H742="","",RETORNOS!H742)</f>
        <v>0.009965007502</v>
      </c>
      <c r="D742" s="7">
        <f>IF(RETORNOS!I742="","",RETORNOS!I742)</f>
        <v>0.0005722068409</v>
      </c>
      <c r="E742" s="7">
        <f t="shared" si="2"/>
        <v>0.005268607171</v>
      </c>
      <c r="F742" s="7">
        <f t="shared" si="3"/>
        <v>-0.02482575647</v>
      </c>
      <c r="G742" s="7">
        <f t="shared" si="4"/>
        <v>-0.02012935614</v>
      </c>
      <c r="H742" s="5">
        <f t="shared" ref="H742:K742" si="742">IF(B742="","",H741*(1+B742))</f>
        <v>230.7775589</v>
      </c>
      <c r="I742" s="5">
        <f t="shared" si="742"/>
        <v>215.1012195</v>
      </c>
      <c r="J742" s="5">
        <f t="shared" si="742"/>
        <v>114.2243286</v>
      </c>
      <c r="K742" s="5">
        <f t="shared" si="742"/>
        <v>161.5063009</v>
      </c>
      <c r="L742" s="7">
        <f t="shared" si="6"/>
        <v>-0.03353653681</v>
      </c>
    </row>
    <row r="743" ht="15.75" customHeight="1">
      <c r="A743" s="4">
        <f>IF(RETORNOS!A743="","",RETORNOS!A743)</f>
        <v>45491</v>
      </c>
      <c r="B743" s="7">
        <f>IF(RETORNOS!B743="","",OPTIMIZACION!$B$5*RETORNOS!B743+OPTIMIZACION!$B$6*RETORNOS!C743+OPTIMIZACION!$B$7*RETORNOS!D743+OPTIMIZACION!$B$8*RETORNOS!E743+OPTIMIZACION!$B$9*RETORNOS!F743+OPTIMIZACION!$B$10*RETORNOS!G743)</f>
        <v>0.004319924855</v>
      </c>
      <c r="C743" s="7">
        <f>IF(RETORNOS!H743="","",RETORNOS!H743)</f>
        <v>0.001823657504</v>
      </c>
      <c r="D743" s="7">
        <f>IF(RETORNOS!I743="","",RETORNOS!I743)</f>
        <v>-0.0008578194111</v>
      </c>
      <c r="E743" s="7">
        <f t="shared" si="2"/>
        <v>0.0004829190465</v>
      </c>
      <c r="F743" s="7">
        <f t="shared" si="3"/>
        <v>0.002496267351</v>
      </c>
      <c r="G743" s="7">
        <f t="shared" si="4"/>
        <v>0.003837005809</v>
      </c>
      <c r="H743" s="5">
        <f t="shared" ref="H743:K743" si="743">IF(B743="","",H742*(1+B743))</f>
        <v>231.7745006</v>
      </c>
      <c r="I743" s="5">
        <f t="shared" si="743"/>
        <v>215.4934904</v>
      </c>
      <c r="J743" s="5">
        <f t="shared" si="743"/>
        <v>114.1263447</v>
      </c>
      <c r="K743" s="5">
        <f t="shared" si="743"/>
        <v>161.5842954</v>
      </c>
      <c r="L743" s="7">
        <f t="shared" si="6"/>
        <v>-0.02936148728</v>
      </c>
    </row>
    <row r="744" ht="15.75" customHeight="1">
      <c r="A744" s="4">
        <f>IF(RETORNOS!A744="","",RETORNOS!A744)</f>
        <v>45492</v>
      </c>
      <c r="B744" s="7">
        <f>IF(RETORNOS!B744="","",OPTIMIZACION!$B$5*RETORNOS!B744+OPTIMIZACION!$B$6*RETORNOS!C744+OPTIMIZACION!$B$7*RETORNOS!D744+OPTIMIZACION!$B$8*RETORNOS!E744+OPTIMIZACION!$B$9*RETORNOS!F744+OPTIMIZACION!$B$10*RETORNOS!G744)</f>
        <v>0.00007317742295</v>
      </c>
      <c r="C744" s="7">
        <f>IF(RETORNOS!H744="","",RETORNOS!H744)</f>
        <v>-0.01091977688</v>
      </c>
      <c r="D744" s="7">
        <f>IF(RETORNOS!I744="","",RETORNOS!I744)</f>
        <v>0.001141760099</v>
      </c>
      <c r="E744" s="7">
        <f t="shared" si="2"/>
        <v>-0.00488900839</v>
      </c>
      <c r="F744" s="7">
        <f t="shared" si="3"/>
        <v>0.0109929543</v>
      </c>
      <c r="G744" s="7">
        <f t="shared" si="4"/>
        <v>0.004962185813</v>
      </c>
      <c r="H744" s="5">
        <f t="shared" ref="H744:K744" si="744">IF(B744="","",H743*(1+B744))</f>
        <v>231.7914613</v>
      </c>
      <c r="I744" s="5">
        <f t="shared" si="744"/>
        <v>213.1403496</v>
      </c>
      <c r="J744" s="5">
        <f t="shared" si="744"/>
        <v>114.2566496</v>
      </c>
      <c r="K744" s="5">
        <f t="shared" si="744"/>
        <v>160.7943084</v>
      </c>
      <c r="L744" s="7">
        <f t="shared" si="6"/>
        <v>-0.02929045845</v>
      </c>
    </row>
    <row r="745" ht="15.75" customHeight="1">
      <c r="A745" s="4">
        <f>IF(RETORNOS!A745="","",RETORNOS!A745)</f>
        <v>45495</v>
      </c>
      <c r="B745" s="7">
        <f>IF(RETORNOS!B745="","",OPTIMIZACION!$B$5*RETORNOS!B745+OPTIMIZACION!$B$6*RETORNOS!C745+OPTIMIZACION!$B$7*RETORNOS!D745+OPTIMIZACION!$B$8*RETORNOS!E745+OPTIMIZACION!$B$9*RETORNOS!F745+OPTIMIZACION!$B$10*RETORNOS!G745)</f>
        <v>0.009244049746</v>
      </c>
      <c r="C745" s="7">
        <f>IF(RETORNOS!H745="","",RETORNOS!H745)</f>
        <v>-0.006281138385</v>
      </c>
      <c r="D745" s="7">
        <f>IF(RETORNOS!I745="","",RETORNOS!I745)</f>
        <v>0.008411994164</v>
      </c>
      <c r="E745" s="7">
        <f t="shared" si="2"/>
        <v>0.001065427889</v>
      </c>
      <c r="F745" s="7">
        <f t="shared" si="3"/>
        <v>0.01552518813</v>
      </c>
      <c r="G745" s="7">
        <f t="shared" si="4"/>
        <v>0.008178621857</v>
      </c>
      <c r="H745" s="5">
        <f t="shared" ref="H745:K745" si="745">IF(B745="","",H744*(1+B745))</f>
        <v>233.9341531</v>
      </c>
      <c r="I745" s="5">
        <f t="shared" si="745"/>
        <v>211.8015856</v>
      </c>
      <c r="J745" s="5">
        <f t="shared" si="745"/>
        <v>115.2177759</v>
      </c>
      <c r="K745" s="5">
        <f t="shared" si="745"/>
        <v>160.9656232</v>
      </c>
      <c r="L745" s="7">
        <f t="shared" si="6"/>
        <v>-0.02031717116</v>
      </c>
    </row>
    <row r="746" ht="15.75" customHeight="1">
      <c r="A746" s="4">
        <f>IF(RETORNOS!A746="","",RETORNOS!A746)</f>
        <v>45496</v>
      </c>
      <c r="B746" s="7">
        <f>IF(RETORNOS!B746="","",OPTIMIZACION!$B$5*RETORNOS!B746+OPTIMIZACION!$B$6*RETORNOS!C746+OPTIMIZACION!$B$7*RETORNOS!D746+OPTIMIZACION!$B$8*RETORNOS!E746+OPTIMIZACION!$B$9*RETORNOS!F746+OPTIMIZACION!$B$10*RETORNOS!G746)</f>
        <v>-0.005463375342</v>
      </c>
      <c r="C746" s="7">
        <f>IF(RETORNOS!H746="","",RETORNOS!H746)</f>
        <v>-0.01590397634</v>
      </c>
      <c r="D746" s="7">
        <f>IF(RETORNOS!I746="","",RETORNOS!I746)</f>
        <v>-0.006221671022</v>
      </c>
      <c r="E746" s="7">
        <f t="shared" si="2"/>
        <v>-0.01106282368</v>
      </c>
      <c r="F746" s="7">
        <f t="shared" si="3"/>
        <v>0.010440601</v>
      </c>
      <c r="G746" s="7">
        <f t="shared" si="4"/>
        <v>0.005599448338</v>
      </c>
      <c r="H746" s="5">
        <f t="shared" ref="H746:K746" si="746">IF(B746="","",H745*(1+B746))</f>
        <v>232.656083</v>
      </c>
      <c r="I746" s="5">
        <f t="shared" si="746"/>
        <v>208.4330982</v>
      </c>
      <c r="J746" s="5">
        <f t="shared" si="746"/>
        <v>114.5009288</v>
      </c>
      <c r="K746" s="5">
        <f t="shared" si="746"/>
        <v>159.1848889</v>
      </c>
      <c r="L746" s="7">
        <f t="shared" si="6"/>
        <v>-0.02566954617</v>
      </c>
    </row>
    <row r="747" ht="15.75" customHeight="1">
      <c r="A747" s="4">
        <f>IF(RETORNOS!A747="","",RETORNOS!A747)</f>
        <v>45497</v>
      </c>
      <c r="B747" s="7">
        <f>IF(RETORNOS!B747="","",OPTIMIZACION!$B$5*RETORNOS!B747+OPTIMIZACION!$B$6*RETORNOS!C747+OPTIMIZACION!$B$7*RETORNOS!D747+OPTIMIZACION!$B$8*RETORNOS!E747+OPTIMIZACION!$B$9*RETORNOS!F747+OPTIMIZACION!$B$10*RETORNOS!G747)</f>
        <v>-0.01973453497</v>
      </c>
      <c r="C747" s="7">
        <f>IF(RETORNOS!H747="","",RETORNOS!H747)</f>
        <v>0.0001070110873</v>
      </c>
      <c r="D747" s="7">
        <f>IF(RETORNOS!I747="","",RETORNOS!I747)</f>
        <v>0.01124356704</v>
      </c>
      <c r="E747" s="7">
        <f t="shared" si="2"/>
        <v>0.005675289063</v>
      </c>
      <c r="F747" s="7">
        <f t="shared" si="3"/>
        <v>-0.01984154605</v>
      </c>
      <c r="G747" s="7">
        <f t="shared" si="4"/>
        <v>-0.02540982403</v>
      </c>
      <c r="H747" s="5">
        <f t="shared" ref="H747:K747" si="747">IF(B747="","",H746*(1+B747))</f>
        <v>228.0647234</v>
      </c>
      <c r="I747" s="5">
        <f t="shared" si="747"/>
        <v>208.4554028</v>
      </c>
      <c r="J747" s="5">
        <f t="shared" si="747"/>
        <v>115.7883277</v>
      </c>
      <c r="K747" s="5">
        <f t="shared" si="747"/>
        <v>160.0883091</v>
      </c>
      <c r="L747" s="7">
        <f t="shared" si="6"/>
        <v>-0.04489750458</v>
      </c>
    </row>
    <row r="748" ht="15.75" customHeight="1">
      <c r="A748" s="4">
        <f>IF(RETORNOS!A748="","",RETORNOS!A748)</f>
        <v>45498</v>
      </c>
      <c r="B748" s="7">
        <f>IF(RETORNOS!B748="","",OPTIMIZACION!$B$5*RETORNOS!B748+OPTIMIZACION!$B$6*RETORNOS!C748+OPTIMIZACION!$B$7*RETORNOS!D748+OPTIMIZACION!$B$8*RETORNOS!E748+OPTIMIZACION!$B$9*RETORNOS!F748+OPTIMIZACION!$B$10*RETORNOS!G748)</f>
        <v>-0.006272499318</v>
      </c>
      <c r="C748" s="7">
        <f>IF(RETORNOS!H748="","",RETORNOS!H748)</f>
        <v>0.01727113708</v>
      </c>
      <c r="D748" s="7">
        <f>IF(RETORNOS!I748="","",RETORNOS!I748)</f>
        <v>-0.008300718122</v>
      </c>
      <c r="E748" s="7">
        <f t="shared" si="2"/>
        <v>0.004485209479</v>
      </c>
      <c r="F748" s="7">
        <f t="shared" si="3"/>
        <v>-0.0235436364</v>
      </c>
      <c r="G748" s="7">
        <f t="shared" si="4"/>
        <v>-0.0107577088</v>
      </c>
      <c r="H748" s="5">
        <f t="shared" ref="H748:K748" si="748">IF(B748="","",H747*(1+B748))</f>
        <v>226.6341875</v>
      </c>
      <c r="I748" s="5">
        <f t="shared" si="748"/>
        <v>212.0556647</v>
      </c>
      <c r="J748" s="5">
        <f t="shared" si="748"/>
        <v>114.8272014</v>
      </c>
      <c r="K748" s="5">
        <f t="shared" si="748"/>
        <v>160.8063387</v>
      </c>
      <c r="L748" s="7">
        <f t="shared" si="6"/>
        <v>-0.05088838433</v>
      </c>
    </row>
    <row r="749" ht="15.75" customHeight="1">
      <c r="A749" s="4">
        <f>IF(RETORNOS!A749="","",RETORNOS!A749)</f>
        <v>45499</v>
      </c>
      <c r="B749" s="7">
        <f>IF(RETORNOS!B749="","",OPTIMIZACION!$B$5*RETORNOS!B749+OPTIMIZACION!$B$6*RETORNOS!C749+OPTIMIZACION!$B$7*RETORNOS!D749+OPTIMIZACION!$B$8*RETORNOS!E749+OPTIMIZACION!$B$9*RETORNOS!F749+OPTIMIZACION!$B$10*RETORNOS!G749)</f>
        <v>0.008948419527</v>
      </c>
      <c r="C749" s="7">
        <f>IF(RETORNOS!H749="","",RETORNOS!H749)</f>
        <v>0.003153203623</v>
      </c>
      <c r="D749" s="7">
        <f>IF(RETORNOS!I749="","",RETORNOS!I749)</f>
        <v>0.00978942659</v>
      </c>
      <c r="E749" s="7">
        <f t="shared" si="2"/>
        <v>0.006471315106</v>
      </c>
      <c r="F749" s="7">
        <f t="shared" si="3"/>
        <v>0.005795215904</v>
      </c>
      <c r="G749" s="7">
        <f t="shared" si="4"/>
        <v>0.002477104421</v>
      </c>
      <c r="H749" s="5">
        <f t="shared" ref="H749:K749" si="749">IF(B749="","",H748*(1+B749))</f>
        <v>228.6622053</v>
      </c>
      <c r="I749" s="5">
        <f t="shared" si="749"/>
        <v>212.7243193</v>
      </c>
      <c r="J749" s="5">
        <f t="shared" si="749"/>
        <v>115.9512939</v>
      </c>
      <c r="K749" s="5">
        <f t="shared" si="749"/>
        <v>161.8469672</v>
      </c>
      <c r="L749" s="7">
        <f t="shared" si="6"/>
        <v>-0.04239533542</v>
      </c>
    </row>
    <row r="750" ht="15.75" customHeight="1">
      <c r="A750" s="4">
        <f>IF(RETORNOS!A750="","",RETORNOS!A750)</f>
        <v>45502</v>
      </c>
      <c r="B750" s="7">
        <f>IF(RETORNOS!B750="","",OPTIMIZACION!$B$5*RETORNOS!B750+OPTIMIZACION!$B$6*RETORNOS!C750+OPTIMIZACION!$B$7*RETORNOS!D750+OPTIMIZACION!$B$8*RETORNOS!E750+OPTIMIZACION!$B$9*RETORNOS!F750+OPTIMIZACION!$B$10*RETORNOS!G750)</f>
        <v>-0.001645859574</v>
      </c>
      <c r="C750" s="7">
        <f>IF(RETORNOS!H750="","",RETORNOS!H750)</f>
        <v>-0.008565984062</v>
      </c>
      <c r="D750" s="7">
        <f>IF(RETORNOS!I750="","",RETORNOS!I750)</f>
        <v>0.004498094252</v>
      </c>
      <c r="E750" s="7">
        <f t="shared" si="2"/>
        <v>-0.002033944905</v>
      </c>
      <c r="F750" s="7">
        <f t="shared" si="3"/>
        <v>0.006920124489</v>
      </c>
      <c r="G750" s="7">
        <f t="shared" si="4"/>
        <v>0.0003880853316</v>
      </c>
      <c r="H750" s="5">
        <f t="shared" ref="H750:K750" si="750">IF(B750="","",H749*(1+B750))</f>
        <v>228.2858595</v>
      </c>
      <c r="I750" s="5">
        <f t="shared" si="750"/>
        <v>210.9021262</v>
      </c>
      <c r="J750" s="5">
        <f t="shared" si="750"/>
        <v>116.4728537</v>
      </c>
      <c r="K750" s="5">
        <f t="shared" si="750"/>
        <v>161.5177794</v>
      </c>
      <c r="L750" s="7">
        <f t="shared" si="6"/>
        <v>-0.04397141822</v>
      </c>
    </row>
    <row r="751" ht="15.75" customHeight="1">
      <c r="A751" s="4">
        <f>IF(RETORNOS!A751="","",RETORNOS!A751)</f>
        <v>45503</v>
      </c>
      <c r="B751" s="7">
        <f>IF(RETORNOS!B751="","",OPTIMIZACION!$B$5*RETORNOS!B751+OPTIMIZACION!$B$6*RETORNOS!C751+OPTIMIZACION!$B$7*RETORNOS!D751+OPTIMIZACION!$B$8*RETORNOS!E751+OPTIMIZACION!$B$9*RETORNOS!F751+OPTIMIZACION!$B$10*RETORNOS!G751)</f>
        <v>-0.002572886073</v>
      </c>
      <c r="C751" s="7">
        <f>IF(RETORNOS!H751="","",RETORNOS!H751)</f>
        <v>0.01553497611</v>
      </c>
      <c r="D751" s="7">
        <f>IF(RETORNOS!I751="","",RETORNOS!I751)</f>
        <v>0.005170238123</v>
      </c>
      <c r="E751" s="7">
        <f t="shared" si="2"/>
        <v>0.01035260712</v>
      </c>
      <c r="F751" s="7">
        <f t="shared" si="3"/>
        <v>-0.01810786219</v>
      </c>
      <c r="G751" s="7">
        <f t="shared" si="4"/>
        <v>-0.01292549319</v>
      </c>
      <c r="H751" s="5">
        <f t="shared" ref="H751:K751" si="751">IF(B751="","",H750*(1+B751))</f>
        <v>227.6985059</v>
      </c>
      <c r="I751" s="5">
        <f t="shared" si="751"/>
        <v>214.1784857</v>
      </c>
      <c r="J751" s="5">
        <f t="shared" si="751"/>
        <v>117.0750461</v>
      </c>
      <c r="K751" s="5">
        <f t="shared" si="751"/>
        <v>163.1899095</v>
      </c>
      <c r="L751" s="7">
        <f t="shared" si="6"/>
        <v>-0.04643117085</v>
      </c>
    </row>
    <row r="752" ht="15.75" customHeight="1">
      <c r="A752" s="4">
        <f>IF(RETORNOS!A752="","",RETORNOS!A752)</f>
        <v>45504</v>
      </c>
      <c r="B752" s="7">
        <f>IF(RETORNOS!B752="","",OPTIMIZACION!$B$5*RETORNOS!B752+OPTIMIZACION!$B$6*RETORNOS!C752+OPTIMIZACION!$B$7*RETORNOS!D752+OPTIMIZACION!$B$8*RETORNOS!E752+OPTIMIZACION!$B$9*RETORNOS!F752+OPTIMIZACION!$B$10*RETORNOS!G752)</f>
        <v>0.02740749144</v>
      </c>
      <c r="C752" s="7">
        <f>IF(RETORNOS!H752="","",RETORNOS!H752)</f>
        <v>0.004201842381</v>
      </c>
      <c r="D752" s="7">
        <f>IF(RETORNOS!I752="","",RETORNOS!I752)</f>
        <v>0.01294338504</v>
      </c>
      <c r="E752" s="7">
        <f t="shared" si="2"/>
        <v>0.008572613711</v>
      </c>
      <c r="F752" s="7">
        <f t="shared" si="3"/>
        <v>0.02320564906</v>
      </c>
      <c r="G752" s="7">
        <f t="shared" si="4"/>
        <v>0.01883487773</v>
      </c>
      <c r="H752" s="5">
        <f t="shared" ref="H752:K752" si="752">IF(B752="","",H751*(1+B752))</f>
        <v>233.9391508</v>
      </c>
      <c r="I752" s="5">
        <f t="shared" si="752"/>
        <v>215.0784299</v>
      </c>
      <c r="J752" s="5">
        <f t="shared" si="752"/>
        <v>118.5903935</v>
      </c>
      <c r="K752" s="5">
        <f t="shared" si="752"/>
        <v>164.5888736</v>
      </c>
      <c r="L752" s="7">
        <f t="shared" si="6"/>
        <v>-0.02029624133</v>
      </c>
    </row>
    <row r="753" ht="15.75" customHeight="1">
      <c r="A753" s="4">
        <f>IF(RETORNOS!A753="","",RETORNOS!A753)</f>
        <v>45505</v>
      </c>
      <c r="B753" s="7">
        <f>IF(RETORNOS!B753="","",OPTIMIZACION!$B$5*RETORNOS!B753+OPTIMIZACION!$B$6*RETORNOS!C753+OPTIMIZACION!$B$7*RETORNOS!D753+OPTIMIZACION!$B$8*RETORNOS!E753+OPTIMIZACION!$B$9*RETORNOS!F753+OPTIMIZACION!$B$10*RETORNOS!G753)</f>
        <v>0.000317509201</v>
      </c>
      <c r="C753" s="7">
        <f>IF(RETORNOS!H753="","",RETORNOS!H753)</f>
        <v>-0.02649881529</v>
      </c>
      <c r="D753" s="7">
        <f>IF(RETORNOS!I753="","",RETORNOS!I753)</f>
        <v>0.01799935737</v>
      </c>
      <c r="E753" s="7">
        <f t="shared" si="2"/>
        <v>-0.004249728958</v>
      </c>
      <c r="F753" s="7">
        <f t="shared" si="3"/>
        <v>0.02681632449</v>
      </c>
      <c r="G753" s="7">
        <f t="shared" si="4"/>
        <v>0.004567238159</v>
      </c>
      <c r="H753" s="5">
        <f t="shared" ref="H753:K753" si="753">IF(B753="","",H752*(1+B753))</f>
        <v>234.0134286</v>
      </c>
      <c r="I753" s="5">
        <f t="shared" si="753"/>
        <v>209.3791064</v>
      </c>
      <c r="J753" s="5">
        <f t="shared" si="753"/>
        <v>120.7249444</v>
      </c>
      <c r="K753" s="5">
        <f t="shared" si="753"/>
        <v>163.8894155</v>
      </c>
      <c r="L753" s="7">
        <f t="shared" si="6"/>
        <v>-0.01998517637</v>
      </c>
    </row>
    <row r="754" ht="15.75" customHeight="1">
      <c r="A754" s="4">
        <f>IF(RETORNOS!A754="","",RETORNOS!A754)</f>
        <v>45506</v>
      </c>
      <c r="B754" s="7">
        <f>IF(RETORNOS!B754="","",OPTIMIZACION!$B$5*RETORNOS!B754+OPTIMIZACION!$B$6*RETORNOS!C754+OPTIMIZACION!$B$7*RETORNOS!D754+OPTIMIZACION!$B$8*RETORNOS!E754+OPTIMIZACION!$B$9*RETORNOS!F754+OPTIMIZACION!$B$10*RETORNOS!G754)</f>
        <v>-0.01850064807</v>
      </c>
      <c r="C754" s="7">
        <f>IF(RETORNOS!H754="","",RETORNOS!H754)</f>
        <v>-0.02578662523</v>
      </c>
      <c r="D754" s="7">
        <f>IF(RETORNOS!I754="","",RETORNOS!I754)</f>
        <v>0.00162043952</v>
      </c>
      <c r="E754" s="7">
        <f t="shared" si="2"/>
        <v>-0.01208309285</v>
      </c>
      <c r="F754" s="7">
        <f t="shared" si="3"/>
        <v>0.00728597716</v>
      </c>
      <c r="G754" s="7">
        <f t="shared" si="4"/>
        <v>-0.006417555214</v>
      </c>
      <c r="H754" s="5">
        <f t="shared" ref="H754:K754" si="754">IF(B754="","",H753*(1+B754))</f>
        <v>229.6840285</v>
      </c>
      <c r="I754" s="5">
        <f t="shared" si="754"/>
        <v>203.9799258</v>
      </c>
      <c r="J754" s="5">
        <f t="shared" si="754"/>
        <v>120.9205718</v>
      </c>
      <c r="K754" s="5">
        <f t="shared" si="754"/>
        <v>161.9091244</v>
      </c>
      <c r="L754" s="7">
        <f t="shared" si="6"/>
        <v>-0.03811608572</v>
      </c>
    </row>
    <row r="755" ht="15.75" customHeight="1">
      <c r="A755" s="4">
        <f>IF(RETORNOS!A755="","",RETORNOS!A755)</f>
        <v>45509</v>
      </c>
      <c r="B755" s="7">
        <f>IF(RETORNOS!B755="","",OPTIMIZACION!$B$5*RETORNOS!B755+OPTIMIZACION!$B$6*RETORNOS!C755+OPTIMIZACION!$B$7*RETORNOS!D755+OPTIMIZACION!$B$8*RETORNOS!E755+OPTIMIZACION!$B$9*RETORNOS!F755+OPTIMIZACION!$B$10*RETORNOS!G755)</f>
        <v>-0.02101734738</v>
      </c>
      <c r="C755" s="7">
        <f>IF(RETORNOS!H755="","",RETORNOS!H755)</f>
        <v>-0.02206200467</v>
      </c>
      <c r="D755" s="7">
        <f>IF(RETORNOS!I755="","",RETORNOS!I755)</f>
        <v>-0.02641122963</v>
      </c>
      <c r="E755" s="7">
        <f t="shared" si="2"/>
        <v>-0.02423661715</v>
      </c>
      <c r="F755" s="7">
        <f t="shared" si="3"/>
        <v>0.001044657287</v>
      </c>
      <c r="G755" s="7">
        <f t="shared" si="4"/>
        <v>0.003219269766</v>
      </c>
      <c r="H755" s="5">
        <f t="shared" ref="H755:K755" si="755">IF(B755="","",H754*(1+B755))</f>
        <v>224.8566795</v>
      </c>
      <c r="I755" s="5">
        <f t="shared" si="755"/>
        <v>199.4797197</v>
      </c>
      <c r="J755" s="5">
        <f t="shared" si="755"/>
        <v>117.7269109</v>
      </c>
      <c r="K755" s="5">
        <f t="shared" si="755"/>
        <v>157.984995</v>
      </c>
      <c r="L755" s="7">
        <f t="shared" si="6"/>
        <v>-0.05833233409</v>
      </c>
    </row>
    <row r="756" ht="15.75" customHeight="1">
      <c r="A756" s="4">
        <f>IF(RETORNOS!A756="","",RETORNOS!A756)</f>
        <v>45510</v>
      </c>
      <c r="B756" s="7">
        <f>IF(RETORNOS!B756="","",OPTIMIZACION!$B$5*RETORNOS!B756+OPTIMIZACION!$B$6*RETORNOS!C756+OPTIMIZACION!$B$7*RETORNOS!D756+OPTIMIZACION!$B$8*RETORNOS!E756+OPTIMIZACION!$B$9*RETORNOS!F756+OPTIMIZACION!$B$10*RETORNOS!G756)</f>
        <v>0.01604623547</v>
      </c>
      <c r="C756" s="7">
        <f>IF(RETORNOS!H756="","",RETORNOS!H756)</f>
        <v>0.006130331529</v>
      </c>
      <c r="D756" s="7">
        <f>IF(RETORNOS!I756="","",RETORNOS!I756)</f>
        <v>0.008444354536</v>
      </c>
      <c r="E756" s="7">
        <f t="shared" si="2"/>
        <v>0.007287343032</v>
      </c>
      <c r="F756" s="7">
        <f t="shared" si="3"/>
        <v>0.009915903941</v>
      </c>
      <c r="G756" s="7">
        <f t="shared" si="4"/>
        <v>0.008758892438</v>
      </c>
      <c r="H756" s="5">
        <f t="shared" ref="H756:K756" si="756">IF(B756="","",H755*(1+B756))</f>
        <v>228.4647828</v>
      </c>
      <c r="I756" s="5">
        <f t="shared" si="756"/>
        <v>200.7025966</v>
      </c>
      <c r="J756" s="5">
        <f t="shared" si="756"/>
        <v>118.7210386</v>
      </c>
      <c r="K756" s="5">
        <f t="shared" si="756"/>
        <v>159.1362858</v>
      </c>
      <c r="L756" s="7">
        <f t="shared" si="6"/>
        <v>-0.04322211299</v>
      </c>
    </row>
    <row r="757" ht="15.75" customHeight="1">
      <c r="A757" s="4">
        <f>IF(RETORNOS!A757="","",RETORNOS!A757)</f>
        <v>45511</v>
      </c>
      <c r="B757" s="7">
        <f>IF(RETORNOS!B757="","",OPTIMIZACION!$B$5*RETORNOS!B757+OPTIMIZACION!$B$6*RETORNOS!C757+OPTIMIZACION!$B$7*RETORNOS!D757+OPTIMIZACION!$B$8*RETORNOS!E757+OPTIMIZACION!$B$9*RETORNOS!F757+OPTIMIZACION!$B$10*RETORNOS!G757)</f>
        <v>0.009114606479</v>
      </c>
      <c r="C757" s="7">
        <f>IF(RETORNOS!H757="","",RETORNOS!H757)</f>
        <v>0.004024942078</v>
      </c>
      <c r="D757" s="7">
        <f>IF(RETORNOS!I757="","",RETORNOS!I757)</f>
        <v>0.005622549806</v>
      </c>
      <c r="E757" s="7">
        <f t="shared" si="2"/>
        <v>0.004823745942</v>
      </c>
      <c r="F757" s="7">
        <f t="shared" si="3"/>
        <v>0.005089664401</v>
      </c>
      <c r="G757" s="7">
        <f t="shared" si="4"/>
        <v>0.004290860537</v>
      </c>
      <c r="H757" s="5">
        <f t="shared" ref="H757:K757" si="757">IF(B757="","",H756*(1+B757))</f>
        <v>230.5471493</v>
      </c>
      <c r="I757" s="5">
        <f t="shared" si="757"/>
        <v>201.5104129</v>
      </c>
      <c r="J757" s="5">
        <f t="shared" si="757"/>
        <v>119.3885536</v>
      </c>
      <c r="K757" s="5">
        <f t="shared" si="757"/>
        <v>159.9039188</v>
      </c>
      <c r="L757" s="7">
        <f t="shared" si="6"/>
        <v>-0.03450145906</v>
      </c>
    </row>
    <row r="758" ht="15.75" customHeight="1">
      <c r="A758" s="4">
        <f>IF(RETORNOS!A758="","",RETORNOS!A758)</f>
        <v>45512</v>
      </c>
      <c r="B758" s="7">
        <f>IF(RETORNOS!B758="","",OPTIMIZACION!$B$5*RETORNOS!B758+OPTIMIZACION!$B$6*RETORNOS!C758+OPTIMIZACION!$B$7*RETORNOS!D758+OPTIMIZACION!$B$8*RETORNOS!E758+OPTIMIZACION!$B$9*RETORNOS!F758+OPTIMIZACION!$B$10*RETORNOS!G758)</f>
        <v>0.02080648034</v>
      </c>
      <c r="C758" s="7">
        <f>IF(RETORNOS!H758="","",RETORNOS!H758)</f>
        <v>0.02152628223</v>
      </c>
      <c r="D758" s="7">
        <f>IF(RETORNOS!I758="","",RETORNOS!I758)</f>
        <v>0.001094285209</v>
      </c>
      <c r="E758" s="7">
        <f t="shared" si="2"/>
        <v>0.01131028372</v>
      </c>
      <c r="F758" s="7">
        <f t="shared" si="3"/>
        <v>-0.0007198018919</v>
      </c>
      <c r="G758" s="7">
        <f t="shared" si="4"/>
        <v>0.009496196618</v>
      </c>
      <c r="H758" s="5">
        <f t="shared" ref="H758:K758" si="758">IF(B758="","",H757*(1+B758))</f>
        <v>235.3440241</v>
      </c>
      <c r="I758" s="5">
        <f t="shared" si="758"/>
        <v>205.8481829</v>
      </c>
      <c r="J758" s="5">
        <f t="shared" si="758"/>
        <v>119.5191987</v>
      </c>
      <c r="K758" s="5">
        <f t="shared" si="758"/>
        <v>161.7124775</v>
      </c>
      <c r="L758" s="7">
        <f t="shared" si="6"/>
        <v>-0.01441283265</v>
      </c>
    </row>
    <row r="759" ht="15.75" customHeight="1">
      <c r="A759" s="4">
        <f>IF(RETORNOS!A759="","",RETORNOS!A759)</f>
        <v>45513</v>
      </c>
      <c r="B759" s="7">
        <f>IF(RETORNOS!B759="","",OPTIMIZACION!$B$5*RETORNOS!B759+OPTIMIZACION!$B$6*RETORNOS!C759+OPTIMIZACION!$B$7*RETORNOS!D759+OPTIMIZACION!$B$8*RETORNOS!E759+OPTIMIZACION!$B$9*RETORNOS!F759+OPTIMIZACION!$B$10*RETORNOS!G759)</f>
        <v>0.005218079534</v>
      </c>
      <c r="C759" s="7">
        <f>IF(RETORNOS!H759="","",RETORNOS!H759)</f>
        <v>0.002244830177</v>
      </c>
      <c r="D759" s="7">
        <f>IF(RETORNOS!I759="","",RETORNOS!I759)</f>
        <v>0.003407363549</v>
      </c>
      <c r="E759" s="7">
        <f t="shared" si="2"/>
        <v>0.002826096863</v>
      </c>
      <c r="F759" s="7">
        <f t="shared" si="3"/>
        <v>0.002973249356</v>
      </c>
      <c r="G759" s="7">
        <f t="shared" si="4"/>
        <v>0.00239198267</v>
      </c>
      <c r="H759" s="5">
        <f t="shared" ref="H759:K759" si="759">IF(B759="","",H758*(1+B759))</f>
        <v>236.5720679</v>
      </c>
      <c r="I759" s="5">
        <f t="shared" si="759"/>
        <v>206.3102771</v>
      </c>
      <c r="J759" s="5">
        <f t="shared" si="759"/>
        <v>119.9264441</v>
      </c>
      <c r="K759" s="5">
        <f t="shared" si="759"/>
        <v>162.1694926</v>
      </c>
      <c r="L759" s="7">
        <f t="shared" si="6"/>
        <v>-0.009269960426</v>
      </c>
    </row>
    <row r="760" ht="15.75" customHeight="1">
      <c r="A760" s="4">
        <f>IF(RETORNOS!A760="","",RETORNOS!A760)</f>
        <v>45516</v>
      </c>
      <c r="B760" s="7">
        <f>IF(RETORNOS!B760="","",OPTIMIZACION!$B$5*RETORNOS!B760+OPTIMIZACION!$B$6*RETORNOS!C760+OPTIMIZACION!$B$7*RETORNOS!D760+OPTIMIZACION!$B$8*RETORNOS!E760+OPTIMIZACION!$B$9*RETORNOS!F760+OPTIMIZACION!$B$10*RETORNOS!G760)</f>
        <v>0.003912200351</v>
      </c>
      <c r="C760" s="7">
        <f>IF(RETORNOS!H760="","",RETORNOS!H760)</f>
        <v>0.004919103891</v>
      </c>
      <c r="D760" s="7">
        <f>IF(RETORNOS!I760="","",RETORNOS!I760)</f>
        <v>0.001764564036</v>
      </c>
      <c r="E760" s="7">
        <f t="shared" si="2"/>
        <v>0.003341833964</v>
      </c>
      <c r="F760" s="7">
        <f t="shared" si="3"/>
        <v>-0.00100690354</v>
      </c>
      <c r="G760" s="7">
        <f t="shared" si="4"/>
        <v>0.000570366387</v>
      </c>
      <c r="H760" s="5">
        <f t="shared" ref="H760:K760" si="760">IF(B760="","",H759*(1+B760))</f>
        <v>237.4975852</v>
      </c>
      <c r="I760" s="5">
        <f t="shared" si="760"/>
        <v>207.3251388</v>
      </c>
      <c r="J760" s="5">
        <f t="shared" si="760"/>
        <v>120.138062</v>
      </c>
      <c r="K760" s="5">
        <f t="shared" si="760"/>
        <v>162.7114362</v>
      </c>
      <c r="L760" s="7">
        <f t="shared" si="6"/>
        <v>-0.005394026018</v>
      </c>
    </row>
    <row r="761" ht="15.75" customHeight="1">
      <c r="A761" s="4">
        <f>IF(RETORNOS!A761="","",RETORNOS!A761)</f>
        <v>45517</v>
      </c>
      <c r="B761" s="7">
        <f>IF(RETORNOS!B761="","",OPTIMIZACION!$B$5*RETORNOS!B761+OPTIMIZACION!$B$6*RETORNOS!C761+OPTIMIZACION!$B$7*RETORNOS!D761+OPTIMIZACION!$B$8*RETORNOS!E761+OPTIMIZACION!$B$9*RETORNOS!F761+OPTIMIZACION!$B$10*RETORNOS!G761)</f>
        <v>0.003034282803</v>
      </c>
      <c r="C761" s="7">
        <f>IF(RETORNOS!H761="","",RETORNOS!H761)</f>
        <v>-0.00968480531</v>
      </c>
      <c r="D761" s="7">
        <f>IF(RETORNOS!I761="","",RETORNOS!I761)</f>
        <v>0.005830928559</v>
      </c>
      <c r="E761" s="7">
        <f t="shared" si="2"/>
        <v>-0.001926938375</v>
      </c>
      <c r="F761" s="7">
        <f t="shared" si="3"/>
        <v>0.01271908811</v>
      </c>
      <c r="G761" s="7">
        <f t="shared" si="4"/>
        <v>0.004961221179</v>
      </c>
      <c r="H761" s="5">
        <f t="shared" ref="H761:K761" si="761">IF(B761="","",H760*(1+B761))</f>
        <v>238.2182201</v>
      </c>
      <c r="I761" s="5">
        <f t="shared" si="761"/>
        <v>205.3172352</v>
      </c>
      <c r="J761" s="5">
        <f t="shared" si="761"/>
        <v>120.8385784</v>
      </c>
      <c r="K761" s="5">
        <f t="shared" si="761"/>
        <v>162.3979013</v>
      </c>
      <c r="L761" s="7">
        <f t="shared" si="6"/>
        <v>-0.002376110215</v>
      </c>
    </row>
    <row r="762" ht="15.75" customHeight="1">
      <c r="A762" s="4">
        <f>IF(RETORNOS!A762="","",RETORNOS!A762)</f>
        <v>45518</v>
      </c>
      <c r="B762" s="7">
        <f>IF(RETORNOS!B762="","",OPTIMIZACION!$B$5*RETORNOS!B762+OPTIMIZACION!$B$6*RETORNOS!C762+OPTIMIZACION!$B$7*RETORNOS!D762+OPTIMIZACION!$B$8*RETORNOS!E762+OPTIMIZACION!$B$9*RETORNOS!F762+OPTIMIZACION!$B$10*RETORNOS!G762)</f>
        <v>0.003075560883</v>
      </c>
      <c r="C762" s="7">
        <f>IF(RETORNOS!H762="","",RETORNOS!H762)</f>
        <v>0.005845039156</v>
      </c>
      <c r="D762" s="7">
        <f>IF(RETORNOS!I762="","",RETORNOS!I762)</f>
        <v>-0.000672905827</v>
      </c>
      <c r="E762" s="7">
        <f t="shared" si="2"/>
        <v>0.002586066664</v>
      </c>
      <c r="F762" s="7">
        <f t="shared" si="3"/>
        <v>-0.002769478273</v>
      </c>
      <c r="G762" s="7">
        <f t="shared" si="4"/>
        <v>0.0004894942183</v>
      </c>
      <c r="H762" s="5">
        <f t="shared" ref="H762:K762" si="762">IF(B762="","",H761*(1+B762))</f>
        <v>238.9508747</v>
      </c>
      <c r="I762" s="5">
        <f t="shared" si="762"/>
        <v>206.5173225</v>
      </c>
      <c r="J762" s="5">
        <f t="shared" si="762"/>
        <v>120.7572654</v>
      </c>
      <c r="K762" s="5">
        <f t="shared" si="762"/>
        <v>162.8178731</v>
      </c>
      <c r="L762" s="7">
        <f t="shared" si="6"/>
        <v>0</v>
      </c>
    </row>
    <row r="763" ht="15.75" customHeight="1">
      <c r="A763" s="4">
        <f>IF(RETORNOS!A763="","",RETORNOS!A763)</f>
        <v>45519</v>
      </c>
      <c r="B763" s="7">
        <f>IF(RETORNOS!B763="","",OPTIMIZACION!$B$5*RETORNOS!B763+OPTIMIZACION!$B$6*RETORNOS!C763+OPTIMIZACION!$B$7*RETORNOS!D763+OPTIMIZACION!$B$8*RETORNOS!E763+OPTIMIZACION!$B$9*RETORNOS!F763+OPTIMIZACION!$B$10*RETORNOS!G763)</f>
        <v>0.006284019339</v>
      </c>
      <c r="C763" s="7">
        <f>IF(RETORNOS!H763="","",RETORNOS!H763)</f>
        <v>0.01195789731</v>
      </c>
      <c r="D763" s="7">
        <f>IF(RETORNOS!I763="","",RETORNOS!I763)</f>
        <v>-0.0001352352671</v>
      </c>
      <c r="E763" s="7">
        <f t="shared" si="2"/>
        <v>0.00591133102</v>
      </c>
      <c r="F763" s="7">
        <f t="shared" si="3"/>
        <v>-0.005673877968</v>
      </c>
      <c r="G763" s="7">
        <f t="shared" si="4"/>
        <v>0.0003726883187</v>
      </c>
      <c r="H763" s="5">
        <f t="shared" ref="H763:K763" si="763">IF(B763="","",H762*(1+B763))</f>
        <v>240.4524466</v>
      </c>
      <c r="I763" s="5">
        <f t="shared" si="763"/>
        <v>208.9868354</v>
      </c>
      <c r="J763" s="5">
        <f t="shared" si="763"/>
        <v>120.7409348</v>
      </c>
      <c r="K763" s="5">
        <f t="shared" si="763"/>
        <v>163.7803434</v>
      </c>
      <c r="L763" s="7">
        <f t="shared" si="6"/>
        <v>0</v>
      </c>
    </row>
    <row r="764" ht="15.75" customHeight="1">
      <c r="A764" s="4">
        <f>IF(RETORNOS!A764="","",RETORNOS!A764)</f>
        <v>45520</v>
      </c>
      <c r="B764" s="7">
        <f>IF(RETORNOS!B764="","",OPTIMIZACION!$B$5*RETORNOS!B764+OPTIMIZACION!$B$6*RETORNOS!C764+OPTIMIZACION!$B$7*RETORNOS!D764+OPTIMIZACION!$B$8*RETORNOS!E764+OPTIMIZACION!$B$9*RETORNOS!F764+OPTIMIZACION!$B$10*RETORNOS!G764)</f>
        <v>-0.004028359017</v>
      </c>
      <c r="C764" s="7">
        <f>IF(RETORNOS!H764="","",RETORNOS!H764)</f>
        <v>-0.001104398103</v>
      </c>
      <c r="D764" s="7">
        <f>IF(RETORNOS!I764="","",RETORNOS!I764)</f>
        <v>0.004454914072</v>
      </c>
      <c r="E764" s="7">
        <f t="shared" si="2"/>
        <v>0.001675257984</v>
      </c>
      <c r="F764" s="7">
        <f t="shared" si="3"/>
        <v>-0.002923960914</v>
      </c>
      <c r="G764" s="7">
        <f t="shared" si="4"/>
        <v>-0.005703617001</v>
      </c>
      <c r="H764" s="5">
        <f t="shared" ref="H764:K764" si="764">IF(B764="","",H763*(1+B764))</f>
        <v>239.4838179</v>
      </c>
      <c r="I764" s="5">
        <f t="shared" si="764"/>
        <v>208.7560307</v>
      </c>
      <c r="J764" s="5">
        <f t="shared" si="764"/>
        <v>121.2788253</v>
      </c>
      <c r="K764" s="5">
        <f t="shared" si="764"/>
        <v>164.0547177</v>
      </c>
      <c r="L764" s="7">
        <f t="shared" si="6"/>
        <v>-0.004028359017</v>
      </c>
    </row>
    <row r="765" ht="15.75" customHeight="1">
      <c r="A765" s="4">
        <f>IF(RETORNOS!A765="","",RETORNOS!A765)</f>
        <v>45523</v>
      </c>
      <c r="B765" s="7">
        <f>IF(RETORNOS!B765="","",OPTIMIZACION!$B$5*RETORNOS!B765+OPTIMIZACION!$B$6*RETORNOS!C765+OPTIMIZACION!$B$7*RETORNOS!D765+OPTIMIZACION!$B$8*RETORNOS!E765+OPTIMIZACION!$B$9*RETORNOS!F765+OPTIMIZACION!$B$10*RETORNOS!G765)</f>
        <v>0.006023436107</v>
      </c>
      <c r="C765" s="7">
        <f>IF(RETORNOS!H765="","",RETORNOS!H765)</f>
        <v>0.006742883157</v>
      </c>
      <c r="D765" s="7">
        <f>IF(RETORNOS!I765="","",RETORNOS!I765)</f>
        <v>0.006581198979</v>
      </c>
      <c r="E765" s="7">
        <f t="shared" si="2"/>
        <v>0.006662041068</v>
      </c>
      <c r="F765" s="7">
        <f t="shared" si="3"/>
        <v>-0.00071944705</v>
      </c>
      <c r="G765" s="7">
        <f t="shared" si="4"/>
        <v>-0.0006386049607</v>
      </c>
      <c r="H765" s="5">
        <f t="shared" ref="H765:K765" si="765">IF(B765="","",H764*(1+B765))</f>
        <v>240.9263333</v>
      </c>
      <c r="I765" s="5">
        <f t="shared" si="765"/>
        <v>210.1636483</v>
      </c>
      <c r="J765" s="5">
        <f t="shared" si="765"/>
        <v>122.0769854</v>
      </c>
      <c r="K765" s="5">
        <f t="shared" si="765"/>
        <v>165.147657</v>
      </c>
      <c r="L765" s="7">
        <f t="shared" si="6"/>
        <v>0</v>
      </c>
    </row>
    <row r="766" ht="15.75" customHeight="1">
      <c r="A766" s="4">
        <f>IF(RETORNOS!A766="","",RETORNOS!A766)</f>
        <v>45524</v>
      </c>
      <c r="B766" s="7">
        <f>IF(RETORNOS!B766="","",OPTIMIZACION!$B$5*RETORNOS!B766+OPTIMIZACION!$B$6*RETORNOS!C766+OPTIMIZACION!$B$7*RETORNOS!D766+OPTIMIZACION!$B$8*RETORNOS!E766+OPTIMIZACION!$B$9*RETORNOS!F766+OPTIMIZACION!$B$10*RETORNOS!G766)</f>
        <v>-0.01416699802</v>
      </c>
      <c r="C766" s="7">
        <f>IF(RETORNOS!H766="","",RETORNOS!H766)</f>
        <v>-0.02635021491</v>
      </c>
      <c r="D766" s="7">
        <f>IF(RETORNOS!I766="","",RETORNOS!I766)</f>
        <v>-0.002134798894</v>
      </c>
      <c r="E766" s="7">
        <f t="shared" si="2"/>
        <v>-0.0142425069</v>
      </c>
      <c r="F766" s="7">
        <f t="shared" si="3"/>
        <v>0.0121832169</v>
      </c>
      <c r="G766" s="7">
        <f t="shared" si="4"/>
        <v>0.00007550888582</v>
      </c>
      <c r="H766" s="5">
        <f t="shared" ref="H766:K766" si="766">IF(B766="","",H765*(1+B766))</f>
        <v>237.5131304</v>
      </c>
      <c r="I766" s="5">
        <f t="shared" si="766"/>
        <v>204.625791</v>
      </c>
      <c r="J766" s="5">
        <f t="shared" si="766"/>
        <v>121.8163756</v>
      </c>
      <c r="K766" s="5">
        <f t="shared" si="766"/>
        <v>162.7955403</v>
      </c>
      <c r="L766" s="7">
        <f t="shared" si="6"/>
        <v>-0.01416699802</v>
      </c>
    </row>
    <row r="767" ht="15.75" customHeight="1">
      <c r="A767" s="4">
        <f>IF(RETORNOS!A767="","",RETORNOS!A767)</f>
        <v>45525</v>
      </c>
      <c r="B767" s="7">
        <f>IF(RETORNOS!B767="","",OPTIMIZACION!$B$5*RETORNOS!B767+OPTIMIZACION!$B$6*RETORNOS!C767+OPTIMIZACION!$B$7*RETORNOS!D767+OPTIMIZACION!$B$8*RETORNOS!E767+OPTIMIZACION!$B$9*RETORNOS!F767+OPTIMIZACION!$B$10*RETORNOS!G767)</f>
        <v>0.00351379861</v>
      </c>
      <c r="C767" s="7">
        <f>IF(RETORNOS!H767="","",RETORNOS!H767)</f>
        <v>0.001687163811</v>
      </c>
      <c r="D767" s="7">
        <f>IF(RETORNOS!I767="","",RETORNOS!I767)</f>
        <v>0.007091188382</v>
      </c>
      <c r="E767" s="7">
        <f t="shared" si="2"/>
        <v>0.004389176096</v>
      </c>
      <c r="F767" s="7">
        <f t="shared" si="3"/>
        <v>0.001826634799</v>
      </c>
      <c r="G767" s="7">
        <f t="shared" si="4"/>
        <v>-0.0008753774864</v>
      </c>
      <c r="H767" s="5">
        <f t="shared" ref="H767:K767" si="767">IF(B767="","",H766*(1+B767))</f>
        <v>238.3477037</v>
      </c>
      <c r="I767" s="5">
        <f t="shared" si="767"/>
        <v>204.9710282</v>
      </c>
      <c r="J767" s="5">
        <f t="shared" si="767"/>
        <v>122.6801984</v>
      </c>
      <c r="K767" s="5">
        <f t="shared" si="767"/>
        <v>163.5100786</v>
      </c>
      <c r="L767" s="7">
        <f t="shared" si="6"/>
        <v>-0.01070297939</v>
      </c>
    </row>
    <row r="768" ht="15.75" customHeight="1">
      <c r="A768" s="4">
        <f>IF(RETORNOS!A768="","",RETORNOS!A768)</f>
        <v>45526</v>
      </c>
      <c r="B768" s="7">
        <f>IF(RETORNOS!B768="","",OPTIMIZACION!$B$5*RETORNOS!B768+OPTIMIZACION!$B$6*RETORNOS!C768+OPTIMIZACION!$B$7*RETORNOS!D768+OPTIMIZACION!$B$8*RETORNOS!E768+OPTIMIZACION!$B$9*RETORNOS!F768+OPTIMIZACION!$B$10*RETORNOS!G768)</f>
        <v>-0.002126244492</v>
      </c>
      <c r="C768" s="7">
        <f>IF(RETORNOS!H768="","",RETORNOS!H768)</f>
        <v>0.002592720511</v>
      </c>
      <c r="D768" s="7">
        <f>IF(RETORNOS!I768="","",RETORNOS!I768)</f>
        <v>-0.001198039874</v>
      </c>
      <c r="E768" s="7">
        <f t="shared" si="2"/>
        <v>0.0006973403189</v>
      </c>
      <c r="F768" s="7">
        <f t="shared" si="3"/>
        <v>-0.004718965003</v>
      </c>
      <c r="G768" s="7">
        <f t="shared" si="4"/>
        <v>-0.00282358481</v>
      </c>
      <c r="H768" s="5">
        <f t="shared" ref="H768:K768" si="768">IF(B768="","",H767*(1+B768))</f>
        <v>237.8409183</v>
      </c>
      <c r="I768" s="5">
        <f t="shared" si="768"/>
        <v>205.5024608</v>
      </c>
      <c r="J768" s="5">
        <f t="shared" si="768"/>
        <v>122.5332226</v>
      </c>
      <c r="K768" s="5">
        <f t="shared" si="768"/>
        <v>163.6241008</v>
      </c>
      <c r="L768" s="7">
        <f t="shared" si="6"/>
        <v>-0.01280646673</v>
      </c>
    </row>
    <row r="769" ht="15.75" customHeight="1">
      <c r="A769" s="4">
        <f>IF(RETORNOS!A769="","",RETORNOS!A769)</f>
        <v>45527</v>
      </c>
      <c r="B769" s="7">
        <f>IF(RETORNOS!B769="","",OPTIMIZACION!$B$5*RETORNOS!B769+OPTIMIZACION!$B$6*RETORNOS!C769+OPTIMIZACION!$B$7*RETORNOS!D769+OPTIMIZACION!$B$8*RETORNOS!E769+OPTIMIZACION!$B$9*RETORNOS!F769+OPTIMIZACION!$B$10*RETORNOS!G769)</f>
        <v>0.01102858629</v>
      </c>
      <c r="C769" s="7">
        <f>IF(RETORNOS!H769="","",RETORNOS!H769)</f>
        <v>0.01493329684</v>
      </c>
      <c r="D769" s="7">
        <f>IF(RETORNOS!I769="","",RETORNOS!I769)</f>
        <v>0.002790449721</v>
      </c>
      <c r="E769" s="7">
        <f t="shared" si="2"/>
        <v>0.00886187328</v>
      </c>
      <c r="F769" s="7">
        <f t="shared" si="3"/>
        <v>-0.003904710547</v>
      </c>
      <c r="G769" s="7">
        <f t="shared" si="4"/>
        <v>0.002166713013</v>
      </c>
      <c r="H769" s="5">
        <f t="shared" ref="H769:K769" si="769">IF(B769="","",H768*(1+B769))</f>
        <v>240.4639673</v>
      </c>
      <c r="I769" s="5">
        <f t="shared" si="769"/>
        <v>208.57129</v>
      </c>
      <c r="J769" s="5">
        <f t="shared" si="769"/>
        <v>122.8751454</v>
      </c>
      <c r="K769" s="5">
        <f t="shared" si="769"/>
        <v>165.0741169</v>
      </c>
      <c r="L769" s="7">
        <f t="shared" si="6"/>
        <v>-0.001919117657</v>
      </c>
    </row>
    <row r="770" ht="15.75" customHeight="1">
      <c r="A770" s="4">
        <f>IF(RETORNOS!A770="","",RETORNOS!A770)</f>
        <v>45530</v>
      </c>
      <c r="B770" s="7">
        <f>IF(RETORNOS!B770="","",OPTIMIZACION!$B$5*RETORNOS!B770+OPTIMIZACION!$B$6*RETORNOS!C770+OPTIMIZACION!$B$7*RETORNOS!D770+OPTIMIZACION!$B$8*RETORNOS!E770+OPTIMIZACION!$B$9*RETORNOS!F770+OPTIMIZACION!$B$10*RETORNOS!G770)</f>
        <v>0.006427758345</v>
      </c>
      <c r="C770" s="7">
        <f>IF(RETORNOS!H770="","",RETORNOS!H770)</f>
        <v>0.008959727721</v>
      </c>
      <c r="D770" s="7">
        <f>IF(RETORNOS!I770="","",RETORNOS!I770)</f>
        <v>0.006498468831</v>
      </c>
      <c r="E770" s="7">
        <f t="shared" si="2"/>
        <v>0.007729098276</v>
      </c>
      <c r="F770" s="7">
        <f t="shared" si="3"/>
        <v>-0.002531969376</v>
      </c>
      <c r="G770" s="7">
        <f t="shared" si="4"/>
        <v>-0.001301339931</v>
      </c>
      <c r="H770" s="5">
        <f t="shared" ref="H770:K770" si="770">IF(B770="","",H769*(1+B770))</f>
        <v>242.0096116</v>
      </c>
      <c r="I770" s="5">
        <f t="shared" si="770"/>
        <v>210.440032</v>
      </c>
      <c r="J770" s="5">
        <f t="shared" si="770"/>
        <v>123.6736457</v>
      </c>
      <c r="K770" s="5">
        <f t="shared" si="770"/>
        <v>166.3499909</v>
      </c>
      <c r="L770" s="7">
        <f t="shared" si="6"/>
        <v>0</v>
      </c>
    </row>
    <row r="771" ht="15.75" customHeight="1">
      <c r="A771" s="4">
        <f>IF(RETORNOS!A771="","",RETORNOS!A771)</f>
        <v>45531</v>
      </c>
      <c r="B771" s="7">
        <f>IF(RETORNOS!B771="","",OPTIMIZACION!$B$5*RETORNOS!B771+OPTIMIZACION!$B$6*RETORNOS!C771+OPTIMIZACION!$B$7*RETORNOS!D771+OPTIMIZACION!$B$8*RETORNOS!E771+OPTIMIZACION!$B$9*RETORNOS!F771+OPTIMIZACION!$B$10*RETORNOS!G771)</f>
        <v>-0.004400877847</v>
      </c>
      <c r="C771" s="7">
        <f>IF(RETORNOS!H771="","",RETORNOS!H771)</f>
        <v>-0.00931795088</v>
      </c>
      <c r="D771" s="7">
        <f>IF(RETORNOS!I771="","",RETORNOS!I771)</f>
        <v>-0.007906269171</v>
      </c>
      <c r="E771" s="7">
        <f t="shared" si="2"/>
        <v>-0.008612110026</v>
      </c>
      <c r="F771" s="7">
        <f t="shared" si="3"/>
        <v>0.004917073033</v>
      </c>
      <c r="G771" s="7">
        <f t="shared" si="4"/>
        <v>0.004211232178</v>
      </c>
      <c r="H771" s="5">
        <f t="shared" ref="H771:K771" si="771">IF(B771="","",H770*(1+B771))</f>
        <v>240.9445569</v>
      </c>
      <c r="I771" s="5">
        <f t="shared" si="771"/>
        <v>208.4791621</v>
      </c>
      <c r="J771" s="5">
        <f t="shared" si="771"/>
        <v>122.6958486</v>
      </c>
      <c r="K771" s="5">
        <f t="shared" si="771"/>
        <v>164.9173665</v>
      </c>
      <c r="L771" s="7">
        <f t="shared" si="6"/>
        <v>-0.004400877847</v>
      </c>
    </row>
    <row r="772" ht="15.75" customHeight="1">
      <c r="A772" s="4">
        <f>IF(RETORNOS!A772="","",RETORNOS!A772)</f>
        <v>45532</v>
      </c>
      <c r="B772" s="7">
        <f>IF(RETORNOS!B772="","",OPTIMIZACION!$B$5*RETORNOS!B772+OPTIMIZACION!$B$6*RETORNOS!C772+OPTIMIZACION!$B$7*RETORNOS!D772+OPTIMIZACION!$B$8*RETORNOS!E772+OPTIMIZACION!$B$9*RETORNOS!F772+OPTIMIZACION!$B$10*RETORNOS!G772)</f>
        <v>-0.007061560225</v>
      </c>
      <c r="C772" s="7">
        <f>IF(RETORNOS!H772="","",RETORNOS!H772)</f>
        <v>-0.00642157239</v>
      </c>
      <c r="D772" s="7">
        <f>IF(RETORNOS!I772="","",RETORNOS!I772)</f>
        <v>0</v>
      </c>
      <c r="E772" s="7">
        <f t="shared" si="2"/>
        <v>-0.003210786195</v>
      </c>
      <c r="F772" s="7">
        <f t="shared" si="3"/>
        <v>-0.0006399878353</v>
      </c>
      <c r="G772" s="7">
        <f t="shared" si="4"/>
        <v>-0.00385077403</v>
      </c>
      <c r="H772" s="5">
        <f t="shared" ref="H772:K772" si="772">IF(B772="","",H771*(1+B772))</f>
        <v>239.2431124</v>
      </c>
      <c r="I772" s="5">
        <f t="shared" si="772"/>
        <v>207.1403981</v>
      </c>
      <c r="J772" s="5">
        <f t="shared" si="772"/>
        <v>122.6958486</v>
      </c>
      <c r="K772" s="5">
        <f t="shared" si="772"/>
        <v>164.3878521</v>
      </c>
      <c r="L772" s="7">
        <f t="shared" si="6"/>
        <v>-0.01143136101</v>
      </c>
    </row>
    <row r="773" ht="15.75" customHeight="1">
      <c r="A773" s="4">
        <f>IF(RETORNOS!A773="","",RETORNOS!A773)</f>
        <v>45533</v>
      </c>
      <c r="B773" s="7">
        <f>IF(RETORNOS!B773="","",OPTIMIZACION!$B$5*RETORNOS!B773+OPTIMIZACION!$B$6*RETORNOS!C773+OPTIMIZACION!$B$7*RETORNOS!D773+OPTIMIZACION!$B$8*RETORNOS!E773+OPTIMIZACION!$B$9*RETORNOS!F773+OPTIMIZACION!$B$10*RETORNOS!G773)</f>
        <v>0.01454164697</v>
      </c>
      <c r="C773" s="7">
        <f>IF(RETORNOS!H773="","",RETORNOS!H773)</f>
        <v>0.01303617075</v>
      </c>
      <c r="D773" s="7">
        <f>IF(RETORNOS!I773="","",RETORNOS!I773)</f>
        <v>0.005445949506</v>
      </c>
      <c r="E773" s="7">
        <f t="shared" si="2"/>
        <v>0.009241060128</v>
      </c>
      <c r="F773" s="7">
        <f t="shared" si="3"/>
        <v>0.001505476217</v>
      </c>
      <c r="G773" s="7">
        <f t="shared" si="4"/>
        <v>0.005300586839</v>
      </c>
      <c r="H773" s="5">
        <f t="shared" ref="H773:K773" si="773">IF(B773="","",H772*(1+B773))</f>
        <v>242.7221013</v>
      </c>
      <c r="I773" s="5">
        <f t="shared" si="773"/>
        <v>209.8407157</v>
      </c>
      <c r="J773" s="5">
        <f t="shared" si="773"/>
        <v>123.364044</v>
      </c>
      <c r="K773" s="5">
        <f t="shared" si="773"/>
        <v>165.9069701</v>
      </c>
      <c r="L773" s="7">
        <f t="shared" si="6"/>
        <v>0</v>
      </c>
    </row>
    <row r="774" ht="15.75" customHeight="1">
      <c r="A774" s="4">
        <f>IF(RETORNOS!A774="","",RETORNOS!A774)</f>
        <v>45534</v>
      </c>
      <c r="B774" s="7">
        <f>IF(RETORNOS!B774="","",OPTIMIZACION!$B$5*RETORNOS!B774+OPTIMIZACION!$B$6*RETORNOS!C774+OPTIMIZACION!$B$7*RETORNOS!D774+OPTIMIZACION!$B$8*RETORNOS!E774+OPTIMIZACION!$B$9*RETORNOS!F774+OPTIMIZACION!$B$10*RETORNOS!G774)</f>
        <v>0.01102938726</v>
      </c>
      <c r="C774" s="7">
        <f>IF(RETORNOS!H774="","",RETORNOS!H774)</f>
        <v>0.003736438945</v>
      </c>
      <c r="D774" s="7">
        <f>IF(RETORNOS!I774="","",RETORNOS!I774)</f>
        <v>0.007526220425</v>
      </c>
      <c r="E774" s="7">
        <f t="shared" si="2"/>
        <v>0.005631329685</v>
      </c>
      <c r="F774" s="7">
        <f t="shared" si="3"/>
        <v>0.007292948312</v>
      </c>
      <c r="G774" s="7">
        <f t="shared" si="4"/>
        <v>0.005398057572</v>
      </c>
      <c r="H774" s="5">
        <f t="shared" ref="H774:K774" si="774">IF(B774="","",H773*(1+B774))</f>
        <v>245.3991773</v>
      </c>
      <c r="I774" s="5">
        <f t="shared" si="774"/>
        <v>210.6247727</v>
      </c>
      <c r="J774" s="5">
        <f t="shared" si="774"/>
        <v>124.292509</v>
      </c>
      <c r="K774" s="5">
        <f t="shared" si="774"/>
        <v>166.841247</v>
      </c>
      <c r="L774" s="7">
        <f t="shared" si="6"/>
        <v>0</v>
      </c>
    </row>
    <row r="775" ht="15.75" customHeight="1">
      <c r="A775" s="4">
        <f>IF(RETORNOS!A775="","",RETORNOS!A775)</f>
        <v>45538</v>
      </c>
      <c r="B775" s="7">
        <f>IF(RETORNOS!B775="","",OPTIMIZACION!$B$5*RETORNOS!B775+OPTIMIZACION!$B$6*RETORNOS!C775+OPTIMIZACION!$B$7*RETORNOS!D775+OPTIMIZACION!$B$8*RETORNOS!E775+OPTIMIZACION!$B$9*RETORNOS!F775+OPTIMIZACION!$B$10*RETORNOS!G775)</f>
        <v>-0.01777954746</v>
      </c>
      <c r="C775" s="7">
        <f>IF(RETORNOS!H775="","",RETORNOS!H775)</f>
        <v>-0.02486521081</v>
      </c>
      <c r="D775" s="7">
        <f>IF(RETORNOS!I775="","",RETORNOS!I775)</f>
        <v>-0.001439802041</v>
      </c>
      <c r="E775" s="7">
        <f t="shared" si="2"/>
        <v>-0.01315250642</v>
      </c>
      <c r="F775" s="7">
        <f t="shared" si="3"/>
        <v>0.007085663344</v>
      </c>
      <c r="G775" s="7">
        <f t="shared" si="4"/>
        <v>-0.004627041038</v>
      </c>
      <c r="H775" s="5">
        <f t="shared" ref="H775:K775" si="775">IF(B775="","",H774*(1+B775))</f>
        <v>241.036091</v>
      </c>
      <c r="I775" s="5">
        <f t="shared" si="775"/>
        <v>205.3875433</v>
      </c>
      <c r="J775" s="5">
        <f t="shared" si="775"/>
        <v>124.1135524</v>
      </c>
      <c r="K775" s="5">
        <f t="shared" si="775"/>
        <v>164.6468664</v>
      </c>
      <c r="L775" s="7">
        <f t="shared" si="6"/>
        <v>-0.01777954746</v>
      </c>
    </row>
    <row r="776" ht="15.75" customHeight="1">
      <c r="A776" s="4">
        <f>IF(RETORNOS!A776="","",RETORNOS!A776)</f>
        <v>45539</v>
      </c>
      <c r="B776" s="7">
        <f>IF(RETORNOS!B776="","",OPTIMIZACION!$B$5*RETORNOS!B776+OPTIMIZACION!$B$6*RETORNOS!C776+OPTIMIZACION!$B$7*RETORNOS!D776+OPTIMIZACION!$B$8*RETORNOS!E776+OPTIMIZACION!$B$9*RETORNOS!F776+OPTIMIZACION!$B$10*RETORNOS!G776)</f>
        <v>-0.002956400769</v>
      </c>
      <c r="C776" s="7">
        <f>IF(RETORNOS!H776="","",RETORNOS!H776)</f>
        <v>-0.01382262188</v>
      </c>
      <c r="D776" s="7">
        <f>IF(RETORNOS!I776="","",RETORNOS!I776)</f>
        <v>0.008530654985</v>
      </c>
      <c r="E776" s="7">
        <f t="shared" si="2"/>
        <v>-0.002645983449</v>
      </c>
      <c r="F776" s="7">
        <f t="shared" si="3"/>
        <v>0.01086622111</v>
      </c>
      <c r="G776" s="7">
        <f t="shared" si="4"/>
        <v>-0.0003104173203</v>
      </c>
      <c r="H776" s="5">
        <f t="shared" ref="H776:K776" si="776">IF(B776="","",H775*(1+B776))</f>
        <v>240.3234917</v>
      </c>
      <c r="I776" s="5">
        <f t="shared" si="776"/>
        <v>202.548549</v>
      </c>
      <c r="J776" s="5">
        <f t="shared" si="776"/>
        <v>125.1723223</v>
      </c>
      <c r="K776" s="5">
        <f t="shared" si="776"/>
        <v>164.2112135</v>
      </c>
      <c r="L776" s="7">
        <f t="shared" si="6"/>
        <v>-0.02068338476</v>
      </c>
    </row>
    <row r="777" ht="15.75" customHeight="1">
      <c r="A777" s="4">
        <f>IF(RETORNOS!A777="","",RETORNOS!A777)</f>
        <v>45540</v>
      </c>
      <c r="B777" s="7">
        <f>IF(RETORNOS!B777="","",OPTIMIZACION!$B$5*RETORNOS!B777+OPTIMIZACION!$B$6*RETORNOS!C777+OPTIMIZACION!$B$7*RETORNOS!D777+OPTIMIZACION!$B$8*RETORNOS!E777+OPTIMIZACION!$B$9*RETORNOS!F777+OPTIMIZACION!$B$10*RETORNOS!G777)</f>
        <v>-0.001838957374</v>
      </c>
      <c r="C777" s="7">
        <f>IF(RETORNOS!H777="","",RETORNOS!H777)</f>
        <v>-0.007746704778</v>
      </c>
      <c r="D777" s="7">
        <f>IF(RETORNOS!I777="","",RETORNOS!I777)</f>
        <v>-0.002470686084</v>
      </c>
      <c r="E777" s="7">
        <f t="shared" si="2"/>
        <v>-0.005108695431</v>
      </c>
      <c r="F777" s="7">
        <f t="shared" si="3"/>
        <v>0.005907747404</v>
      </c>
      <c r="G777" s="7">
        <f t="shared" si="4"/>
        <v>0.003269738057</v>
      </c>
      <c r="H777" s="5">
        <f t="shared" ref="H777:K777" si="777">IF(B777="","",H776*(1+B777))</f>
        <v>239.881547</v>
      </c>
      <c r="I777" s="5">
        <f t="shared" si="777"/>
        <v>200.9794652</v>
      </c>
      <c r="J777" s="5">
        <f t="shared" si="777"/>
        <v>124.8630608</v>
      </c>
      <c r="K777" s="5">
        <f t="shared" si="777"/>
        <v>163.3723084</v>
      </c>
      <c r="L777" s="7">
        <f t="shared" si="6"/>
        <v>-0.02248430627</v>
      </c>
    </row>
    <row r="778" ht="15.75" customHeight="1">
      <c r="A778" s="4">
        <f>IF(RETORNOS!A778="","",RETORNOS!A778)</f>
        <v>45541</v>
      </c>
      <c r="B778" s="7">
        <f>IF(RETORNOS!B778="","",OPTIMIZACION!$B$5*RETORNOS!B778+OPTIMIZACION!$B$6*RETORNOS!C778+OPTIMIZACION!$B$7*RETORNOS!D778+OPTIMIZACION!$B$8*RETORNOS!E778+OPTIMIZACION!$B$9*RETORNOS!F778+OPTIMIZACION!$B$10*RETORNOS!G778)</f>
        <v>-0.01224037998</v>
      </c>
      <c r="C778" s="7">
        <f>IF(RETORNOS!H778="","",RETORNOS!H778)</f>
        <v>-0.01251417405</v>
      </c>
      <c r="D778" s="7">
        <f>IF(RETORNOS!I778="","",RETORNOS!I778)</f>
        <v>-0.00952575578</v>
      </c>
      <c r="E778" s="7">
        <f t="shared" si="2"/>
        <v>-0.01101996491</v>
      </c>
      <c r="F778" s="7">
        <f t="shared" si="3"/>
        <v>0.000273794068</v>
      </c>
      <c r="G778" s="7">
        <f t="shared" si="4"/>
        <v>-0.001220415065</v>
      </c>
      <c r="H778" s="5">
        <f t="shared" ref="H778:K778" si="778">IF(B778="","",H777*(1+B778))</f>
        <v>236.9453058</v>
      </c>
      <c r="I778" s="5">
        <f t="shared" si="778"/>
        <v>198.4643732</v>
      </c>
      <c r="J778" s="5">
        <f t="shared" si="778"/>
        <v>123.6736457</v>
      </c>
      <c r="K778" s="5">
        <f t="shared" si="778"/>
        <v>161.5719513</v>
      </c>
      <c r="L778" s="7">
        <f t="shared" si="6"/>
        <v>-0.0344494698</v>
      </c>
    </row>
    <row r="779" ht="15.75" customHeight="1">
      <c r="A779" s="4">
        <f>IF(RETORNOS!A779="","",RETORNOS!A779)</f>
        <v>45544</v>
      </c>
      <c r="B779" s="7">
        <f>IF(RETORNOS!B779="","",OPTIMIZACION!$B$5*RETORNOS!B779+OPTIMIZACION!$B$6*RETORNOS!C779+OPTIMIZACION!$B$7*RETORNOS!D779+OPTIMIZACION!$B$8*RETORNOS!E779+OPTIMIZACION!$B$9*RETORNOS!F779+OPTIMIZACION!$B$10*RETORNOS!G779)</f>
        <v>0.01190921882</v>
      </c>
      <c r="C779" s="7">
        <f>IF(RETORNOS!H779="","",RETORNOS!H779)</f>
        <v>0.007209817666</v>
      </c>
      <c r="D779" s="7">
        <f>IF(RETORNOS!I779="","",RETORNOS!I779)</f>
        <v>0.01014005155</v>
      </c>
      <c r="E779" s="7">
        <f t="shared" si="2"/>
        <v>0.008674934609</v>
      </c>
      <c r="F779" s="7">
        <f t="shared" si="3"/>
        <v>0.004699401157</v>
      </c>
      <c r="G779" s="7">
        <f t="shared" si="4"/>
        <v>0.003234284213</v>
      </c>
      <c r="H779" s="5">
        <f t="shared" ref="H779:K779" si="779">IF(B779="","",H778*(1+B779))</f>
        <v>239.7671393</v>
      </c>
      <c r="I779" s="5">
        <f t="shared" si="779"/>
        <v>199.8952651</v>
      </c>
      <c r="J779" s="5">
        <f t="shared" si="779"/>
        <v>124.9277029</v>
      </c>
      <c r="K779" s="5">
        <f t="shared" si="779"/>
        <v>162.9735774</v>
      </c>
      <c r="L779" s="7">
        <f t="shared" si="6"/>
        <v>-0.02295051725</v>
      </c>
    </row>
    <row r="780" ht="15.75" customHeight="1">
      <c r="A780" s="4">
        <f>IF(RETORNOS!A780="","",RETORNOS!A780)</f>
        <v>45545</v>
      </c>
      <c r="B780" s="7">
        <f>IF(RETORNOS!B780="","",OPTIMIZACION!$B$5*RETORNOS!B780+OPTIMIZACION!$B$6*RETORNOS!C780+OPTIMIZACION!$B$7*RETORNOS!D780+OPTIMIZACION!$B$8*RETORNOS!E780+OPTIMIZACION!$B$9*RETORNOS!F780+OPTIMIZACION!$B$10*RETORNOS!G780)</f>
        <v>-0.008228407729</v>
      </c>
      <c r="C780" s="7">
        <f>IF(RETORNOS!H780="","",RETORNOS!H780)</f>
        <v>-0.01719813513</v>
      </c>
      <c r="D780" s="7">
        <f>IF(RETORNOS!I780="","",RETORNOS!I780)</f>
        <v>0.004697776386</v>
      </c>
      <c r="E780" s="7">
        <f t="shared" si="2"/>
        <v>-0.006250179372</v>
      </c>
      <c r="F780" s="7">
        <f t="shared" si="3"/>
        <v>0.008969727401</v>
      </c>
      <c r="G780" s="7">
        <f t="shared" si="4"/>
        <v>-0.001978228357</v>
      </c>
      <c r="H780" s="5">
        <f t="shared" ref="H780:K780" si="780">IF(B780="","",H779*(1+B780))</f>
        <v>237.7942375</v>
      </c>
      <c r="I780" s="5">
        <f t="shared" si="780"/>
        <v>196.4574393</v>
      </c>
      <c r="J780" s="5">
        <f t="shared" si="780"/>
        <v>125.5145853</v>
      </c>
      <c r="K780" s="5">
        <f t="shared" si="780"/>
        <v>161.9549634</v>
      </c>
      <c r="L780" s="7">
        <f t="shared" si="6"/>
        <v>-0.03099007877</v>
      </c>
    </row>
    <row r="781" ht="15.75" customHeight="1">
      <c r="A781" s="4">
        <f>IF(RETORNOS!A781="","",RETORNOS!A781)</f>
        <v>45546</v>
      </c>
      <c r="B781" s="7">
        <f>IF(RETORNOS!B781="","",OPTIMIZACION!$B$5*RETORNOS!B781+OPTIMIZACION!$B$6*RETORNOS!C781+OPTIMIZACION!$B$7*RETORNOS!D781+OPTIMIZACION!$B$8*RETORNOS!E781+OPTIMIZACION!$B$9*RETORNOS!F781+OPTIMIZACION!$B$10*RETORNOS!G781)</f>
        <v>0.002892143716</v>
      </c>
      <c r="C781" s="7">
        <f>IF(RETORNOS!H781="","",RETORNOS!H781)</f>
        <v>-0.009280192712</v>
      </c>
      <c r="D781" s="7">
        <f>IF(RETORNOS!I781="","",RETORNOS!I781)</f>
        <v>0.003117206983</v>
      </c>
      <c r="E781" s="7">
        <f t="shared" si="2"/>
        <v>-0.003081492865</v>
      </c>
      <c r="F781" s="7">
        <f t="shared" si="3"/>
        <v>0.01217233643</v>
      </c>
      <c r="G781" s="7">
        <f t="shared" si="4"/>
        <v>0.00597363658</v>
      </c>
      <c r="H781" s="5">
        <f t="shared" ref="H781:K781" si="781">IF(B781="","",H780*(1+B781))</f>
        <v>238.4819726</v>
      </c>
      <c r="I781" s="5">
        <f t="shared" si="781"/>
        <v>194.6342764</v>
      </c>
      <c r="J781" s="5">
        <f t="shared" si="781"/>
        <v>125.9058402</v>
      </c>
      <c r="K781" s="5">
        <f t="shared" si="781"/>
        <v>161.4559003</v>
      </c>
      <c r="L781" s="7">
        <f t="shared" si="6"/>
        <v>-0.02818756281</v>
      </c>
    </row>
    <row r="782" ht="15.75" customHeight="1">
      <c r="A782" s="4">
        <f>IF(RETORNOS!A782="","",RETORNOS!A782)</f>
        <v>45547</v>
      </c>
      <c r="B782" s="7">
        <f>IF(RETORNOS!B782="","",OPTIMIZACION!$B$5*RETORNOS!B782+OPTIMIZACION!$B$6*RETORNOS!C782+OPTIMIZACION!$B$7*RETORNOS!D782+OPTIMIZACION!$B$8*RETORNOS!E782+OPTIMIZACION!$B$9*RETORNOS!F782+OPTIMIZACION!$B$10*RETORNOS!G782)</f>
        <v>0.008822994034</v>
      </c>
      <c r="C782" s="7">
        <f>IF(RETORNOS!H782="","",RETORNOS!H782)</f>
        <v>0.00901087184</v>
      </c>
      <c r="D782" s="7">
        <f>IF(RETORNOS!I782="","",RETORNOS!I782)</f>
        <v>0.002199583863</v>
      </c>
      <c r="E782" s="7">
        <f t="shared" si="2"/>
        <v>0.005605227851</v>
      </c>
      <c r="F782" s="7">
        <f t="shared" si="3"/>
        <v>-0.0001878778057</v>
      </c>
      <c r="G782" s="7">
        <f t="shared" si="4"/>
        <v>0.003217766183</v>
      </c>
      <c r="H782" s="5">
        <f t="shared" ref="H782:K782" si="782">IF(B782="","",H781*(1+B782))</f>
        <v>240.5860976</v>
      </c>
      <c r="I782" s="5">
        <f t="shared" si="782"/>
        <v>196.388101</v>
      </c>
      <c r="J782" s="5">
        <f t="shared" si="782"/>
        <v>126.1827807</v>
      </c>
      <c r="K782" s="5">
        <f t="shared" si="782"/>
        <v>162.3608974</v>
      </c>
      <c r="L782" s="7">
        <f t="shared" si="6"/>
        <v>-0.01961326748</v>
      </c>
    </row>
    <row r="783" ht="15.75" customHeight="1">
      <c r="A783" s="4">
        <f>IF(RETORNOS!A783="","",RETORNOS!A783)</f>
        <v>45548</v>
      </c>
      <c r="B783" s="7">
        <f>IF(RETORNOS!B783="","",OPTIMIZACION!$B$5*RETORNOS!B783+OPTIMIZACION!$B$6*RETORNOS!C783+OPTIMIZACION!$B$7*RETORNOS!D783+OPTIMIZACION!$B$8*RETORNOS!E783+OPTIMIZACION!$B$9*RETORNOS!F783+OPTIMIZACION!$B$10*RETORNOS!G783)</f>
        <v>0.01021399443</v>
      </c>
      <c r="C783" s="7">
        <f>IF(RETORNOS!H783="","",RETORNOS!H783)</f>
        <v>0.005639213769</v>
      </c>
      <c r="D783" s="7">
        <f>IF(RETORNOS!I783="","",RETORNOS!I783)</f>
        <v>0.01406908899</v>
      </c>
      <c r="E783" s="7">
        <f t="shared" si="2"/>
        <v>0.009854151378</v>
      </c>
      <c r="F783" s="7">
        <f t="shared" si="3"/>
        <v>0.004574780658</v>
      </c>
      <c r="G783" s="7">
        <f t="shared" si="4"/>
        <v>0.0003598430493</v>
      </c>
      <c r="H783" s="5">
        <f t="shared" ref="H783:K783" si="783">IF(B783="","",H782*(1+B783))</f>
        <v>243.0434427</v>
      </c>
      <c r="I783" s="5">
        <f t="shared" si="783"/>
        <v>197.4955754</v>
      </c>
      <c r="J783" s="5">
        <f t="shared" si="783"/>
        <v>127.9580575</v>
      </c>
      <c r="K783" s="5">
        <f t="shared" si="783"/>
        <v>163.9608263</v>
      </c>
      <c r="L783" s="7">
        <f t="shared" si="6"/>
        <v>-0.009599602854</v>
      </c>
    </row>
    <row r="784" ht="15.75" customHeight="1">
      <c r="A784" s="4">
        <f>IF(RETORNOS!A784="","",RETORNOS!A784)</f>
        <v>45551</v>
      </c>
      <c r="B784" s="7">
        <f>IF(RETORNOS!B784="","",OPTIMIZACION!$B$5*RETORNOS!B784+OPTIMIZACION!$B$6*RETORNOS!C784+OPTIMIZACION!$B$7*RETORNOS!D784+OPTIMIZACION!$B$8*RETORNOS!E784+OPTIMIZACION!$B$9*RETORNOS!F784+OPTIMIZACION!$B$10*RETORNOS!G784)</f>
        <v>0.01373555959</v>
      </c>
      <c r="C784" s="7">
        <f>IF(RETORNOS!H784="","",RETORNOS!H784)</f>
        <v>0.01144842317</v>
      </c>
      <c r="D784" s="7">
        <f>IF(RETORNOS!I784="","",RETORNOS!I784)</f>
        <v>0.007638885196</v>
      </c>
      <c r="E784" s="7">
        <f t="shared" si="2"/>
        <v>0.009543654184</v>
      </c>
      <c r="F784" s="7">
        <f t="shared" si="3"/>
        <v>0.002287136419</v>
      </c>
      <c r="G784" s="7">
        <f t="shared" si="4"/>
        <v>0.004191905406</v>
      </c>
      <c r="H784" s="5">
        <f t="shared" ref="H784:K784" si="784">IF(B784="","",H783*(1+B784))</f>
        <v>246.3817804</v>
      </c>
      <c r="I784" s="5">
        <f t="shared" si="784"/>
        <v>199.7565884</v>
      </c>
      <c r="J784" s="5">
        <f t="shared" si="784"/>
        <v>128.9355144</v>
      </c>
      <c r="K784" s="5">
        <f t="shared" si="784"/>
        <v>165.5256117</v>
      </c>
      <c r="L784" s="7">
        <f t="shared" si="6"/>
        <v>0</v>
      </c>
    </row>
    <row r="785" ht="15.75" customHeight="1">
      <c r="A785" s="4">
        <f>IF(RETORNOS!A785="","",RETORNOS!A785)</f>
        <v>45552</v>
      </c>
      <c r="B785" s="7">
        <f>IF(RETORNOS!B785="","",OPTIMIZACION!$B$5*RETORNOS!B785+OPTIMIZACION!$B$6*RETORNOS!C785+OPTIMIZACION!$B$7*RETORNOS!D785+OPTIMIZACION!$B$8*RETORNOS!E785+OPTIMIZACION!$B$9*RETORNOS!F785+OPTIMIZACION!$B$10*RETORNOS!G785)</f>
        <v>0.005714833236</v>
      </c>
      <c r="C785" s="7">
        <f>IF(RETORNOS!H785="","",RETORNOS!H785)</f>
        <v>0.01351804024</v>
      </c>
      <c r="D785" s="7">
        <f>IF(RETORNOS!I785="","",RETORNOS!I785)</f>
        <v>-0.0007573058909</v>
      </c>
      <c r="E785" s="7">
        <f t="shared" si="2"/>
        <v>0.006380367173</v>
      </c>
      <c r="F785" s="7">
        <f t="shared" si="3"/>
        <v>-0.007803207</v>
      </c>
      <c r="G785" s="7">
        <f t="shared" si="4"/>
        <v>-0.0006655339361</v>
      </c>
      <c r="H785" s="5">
        <f t="shared" ref="H785:K785" si="785">IF(B785="","",H784*(1+B785))</f>
        <v>247.7898111</v>
      </c>
      <c r="I785" s="5">
        <f t="shared" si="785"/>
        <v>202.456906</v>
      </c>
      <c r="J785" s="5">
        <f t="shared" si="785"/>
        <v>128.8378708</v>
      </c>
      <c r="K785" s="5">
        <f t="shared" si="785"/>
        <v>166.5817259</v>
      </c>
      <c r="L785" s="7">
        <f t="shared" si="6"/>
        <v>0</v>
      </c>
    </row>
    <row r="786" ht="15.75" customHeight="1">
      <c r="A786" s="4">
        <f>IF(RETORNOS!A786="","",RETORNOS!A786)</f>
        <v>45553</v>
      </c>
      <c r="B786" s="7">
        <f>IF(RETORNOS!B786="","",OPTIMIZACION!$B$5*RETORNOS!B786+OPTIMIZACION!$B$6*RETORNOS!C786+OPTIMIZACION!$B$7*RETORNOS!D786+OPTIMIZACION!$B$8*RETORNOS!E786+OPTIMIZACION!$B$9*RETORNOS!F786+OPTIMIZACION!$B$10*RETORNOS!G786)</f>
        <v>-0.001846313987</v>
      </c>
      <c r="C786" s="7">
        <f>IF(RETORNOS!H786="","",RETORNOS!H786)</f>
        <v>0.00193755284</v>
      </c>
      <c r="D786" s="7">
        <f>IF(RETORNOS!I786="","",RETORNOS!I786)</f>
        <v>-0.00758407977</v>
      </c>
      <c r="E786" s="7">
        <f t="shared" si="2"/>
        <v>-0.002823263465</v>
      </c>
      <c r="F786" s="7">
        <f t="shared" si="3"/>
        <v>-0.003783866827</v>
      </c>
      <c r="G786" s="7">
        <f t="shared" si="4"/>
        <v>0.0009769494778</v>
      </c>
      <c r="H786" s="5">
        <f t="shared" ref="H786:K786" si="786">IF(B786="","",H785*(1+B786))</f>
        <v>247.3323134</v>
      </c>
      <c r="I786" s="5">
        <f t="shared" si="786"/>
        <v>202.8491769</v>
      </c>
      <c r="J786" s="5">
        <f t="shared" si="786"/>
        <v>127.8607541</v>
      </c>
      <c r="K786" s="5">
        <f t="shared" si="786"/>
        <v>166.1114218</v>
      </c>
      <c r="L786" s="7">
        <f t="shared" si="6"/>
        <v>-0.001846313987</v>
      </c>
    </row>
    <row r="787" ht="15.75" customHeight="1">
      <c r="A787" s="4">
        <f>IF(RETORNOS!A787="","",RETORNOS!A787)</f>
        <v>45554</v>
      </c>
      <c r="B787" s="7">
        <f>IF(RETORNOS!B787="","",OPTIMIZACION!$B$5*RETORNOS!B787+OPTIMIZACION!$B$6*RETORNOS!C787+OPTIMIZACION!$B$7*RETORNOS!D787+OPTIMIZACION!$B$8*RETORNOS!E787+OPTIMIZACION!$B$9*RETORNOS!F787+OPTIMIZACION!$B$10*RETORNOS!G787)</f>
        <v>0.01059930024</v>
      </c>
      <c r="C787" s="7">
        <f>IF(RETORNOS!H787="","",RETORNOS!H787)</f>
        <v>0.01194465825</v>
      </c>
      <c r="D787" s="7">
        <f>IF(RETORNOS!I787="","",RETORNOS!I787)</f>
        <v>-0.005861911148</v>
      </c>
      <c r="E787" s="7">
        <f t="shared" si="2"/>
        <v>0.003041373551</v>
      </c>
      <c r="F787" s="7">
        <f t="shared" si="3"/>
        <v>-0.001345358011</v>
      </c>
      <c r="G787" s="7">
        <f t="shared" si="4"/>
        <v>0.007557926688</v>
      </c>
      <c r="H787" s="5">
        <f t="shared" ref="H787:K787" si="787">IF(B787="","",H786*(1+B787))</f>
        <v>249.9538628</v>
      </c>
      <c r="I787" s="5">
        <f t="shared" si="787"/>
        <v>205.272141</v>
      </c>
      <c r="J787" s="5">
        <f t="shared" si="787"/>
        <v>127.1112457</v>
      </c>
      <c r="K787" s="5">
        <f t="shared" si="787"/>
        <v>166.6166287</v>
      </c>
      <c r="L787" s="7">
        <f t="shared" si="6"/>
        <v>0</v>
      </c>
    </row>
    <row r="788" ht="15.75" customHeight="1">
      <c r="A788" s="4">
        <f>IF(RETORNOS!A788="","",RETORNOS!A788)</f>
        <v>45555</v>
      </c>
      <c r="B788" s="7">
        <f>IF(RETORNOS!B788="","",OPTIMIZACION!$B$5*RETORNOS!B788+OPTIMIZACION!$B$6*RETORNOS!C788+OPTIMIZACION!$B$7*RETORNOS!D788+OPTIMIZACION!$B$8*RETORNOS!E788+OPTIMIZACION!$B$9*RETORNOS!F788+OPTIMIZACION!$B$10*RETORNOS!G788)</f>
        <v>0.0172946522</v>
      </c>
      <c r="C788" s="7">
        <f>IF(RETORNOS!H788="","",RETORNOS!H788)</f>
        <v>-0.002251129699</v>
      </c>
      <c r="D788" s="7">
        <f>IF(RETORNOS!I788="","",RETORNOS!I788)</f>
        <v>0.02640165091</v>
      </c>
      <c r="E788" s="7">
        <f t="shared" si="2"/>
        <v>0.0120752606</v>
      </c>
      <c r="F788" s="7">
        <f t="shared" si="3"/>
        <v>0.0195457819</v>
      </c>
      <c r="G788" s="7">
        <f t="shared" si="4"/>
        <v>0.005219391596</v>
      </c>
      <c r="H788" s="5">
        <f t="shared" ref="H788:K788" si="788">IF(B788="","",H787*(1+B788))</f>
        <v>254.2767279</v>
      </c>
      <c r="I788" s="5">
        <f t="shared" si="788"/>
        <v>204.8100468</v>
      </c>
      <c r="J788" s="5">
        <f t="shared" si="788"/>
        <v>130.4671924</v>
      </c>
      <c r="K788" s="5">
        <f t="shared" si="788"/>
        <v>168.6285679</v>
      </c>
      <c r="L788" s="7">
        <f t="shared" si="6"/>
        <v>0</v>
      </c>
    </row>
    <row r="789" ht="15.75" customHeight="1">
      <c r="A789" s="4">
        <f>IF(RETORNOS!A789="","",RETORNOS!A789)</f>
        <v>45558</v>
      </c>
      <c r="B789" s="7">
        <f>IF(RETORNOS!B789="","",OPTIMIZACION!$B$5*RETORNOS!B789+OPTIMIZACION!$B$6*RETORNOS!C789+OPTIMIZACION!$B$7*RETORNOS!D789+OPTIMIZACION!$B$8*RETORNOS!E789+OPTIMIZACION!$B$9*RETORNOS!F789+OPTIMIZACION!$B$10*RETORNOS!G789)</f>
        <v>0.01049556462</v>
      </c>
      <c r="C789" s="7">
        <f>IF(RETORNOS!H789="","",RETORNOS!H789)</f>
        <v>0.01235351216</v>
      </c>
      <c r="D789" s="7">
        <f>IF(RETORNOS!I789="","",RETORNOS!I789)</f>
        <v>0.00993019138</v>
      </c>
      <c r="E789" s="7">
        <f t="shared" si="2"/>
        <v>0.01114185177</v>
      </c>
      <c r="F789" s="7">
        <f t="shared" si="3"/>
        <v>-0.001857947535</v>
      </c>
      <c r="G789" s="7">
        <f t="shared" si="4"/>
        <v>-0.0006462871471</v>
      </c>
      <c r="H789" s="5">
        <f t="shared" ref="H789:K789" si="789">IF(B789="","",H788*(1+B789))</f>
        <v>256.9455058</v>
      </c>
      <c r="I789" s="5">
        <f t="shared" si="789"/>
        <v>207.3401702</v>
      </c>
      <c r="J789" s="5">
        <f t="shared" si="789"/>
        <v>131.7627566</v>
      </c>
      <c r="K789" s="5">
        <f t="shared" si="789"/>
        <v>170.5074024</v>
      </c>
      <c r="L789" s="7">
        <f t="shared" si="6"/>
        <v>0</v>
      </c>
    </row>
    <row r="790" ht="15.75" customHeight="1">
      <c r="A790" s="4">
        <f>IF(RETORNOS!A790="","",RETORNOS!A790)</f>
        <v>45559</v>
      </c>
      <c r="B790" s="7">
        <f>IF(RETORNOS!B790="","",OPTIMIZACION!$B$5*RETORNOS!B790+OPTIMIZACION!$B$6*RETORNOS!C790+OPTIMIZACION!$B$7*RETORNOS!D790+OPTIMIZACION!$B$8*RETORNOS!E790+OPTIMIZACION!$B$9*RETORNOS!F790+OPTIMIZACION!$B$10*RETORNOS!G790)</f>
        <v>-0.004270493377</v>
      </c>
      <c r="C790" s="7">
        <f>IF(RETORNOS!H790="","",RETORNOS!H790)</f>
        <v>-0.002469551552</v>
      </c>
      <c r="D790" s="7">
        <f>IF(RETORNOS!I790="","",RETORNOS!I790)</f>
        <v>-0.007100713945</v>
      </c>
      <c r="E790" s="7">
        <f t="shared" si="2"/>
        <v>-0.004785132748</v>
      </c>
      <c r="F790" s="7">
        <f t="shared" si="3"/>
        <v>-0.001800941825</v>
      </c>
      <c r="G790" s="7">
        <f t="shared" si="4"/>
        <v>0.0005146393708</v>
      </c>
      <c r="H790" s="5">
        <f t="shared" ref="H790:K790" si="790">IF(B790="","",H789*(1+B790))</f>
        <v>255.8482217</v>
      </c>
      <c r="I790" s="5">
        <f t="shared" si="790"/>
        <v>206.828133</v>
      </c>
      <c r="J790" s="5">
        <f t="shared" si="790"/>
        <v>130.827147</v>
      </c>
      <c r="K790" s="5">
        <f t="shared" si="790"/>
        <v>169.6915018</v>
      </c>
      <c r="L790" s="7">
        <f t="shared" si="6"/>
        <v>-0.004270493377</v>
      </c>
    </row>
    <row r="791" ht="15.75" customHeight="1">
      <c r="A791" s="4">
        <f>IF(RETORNOS!A791="","",RETORNOS!A791)</f>
        <v>45560</v>
      </c>
      <c r="B791" s="7">
        <f>IF(RETORNOS!B791="","",OPTIMIZACION!$B$5*RETORNOS!B791+OPTIMIZACION!$B$6*RETORNOS!C791+OPTIMIZACION!$B$7*RETORNOS!D791+OPTIMIZACION!$B$8*RETORNOS!E791+OPTIMIZACION!$B$9*RETORNOS!F791+OPTIMIZACION!$B$10*RETORNOS!G791)</f>
        <v>-0.003692155298</v>
      </c>
      <c r="C791" s="7">
        <f>IF(RETORNOS!H791="","",RETORNOS!H791)</f>
        <v>-0.01957088468</v>
      </c>
      <c r="D791" s="7">
        <f>IF(RETORNOS!I791="","",RETORNOS!I791)</f>
        <v>0.005268701159</v>
      </c>
      <c r="E791" s="7">
        <f t="shared" si="2"/>
        <v>-0.007151091758</v>
      </c>
      <c r="F791" s="7">
        <f t="shared" si="3"/>
        <v>0.01587872938</v>
      </c>
      <c r="G791" s="7">
        <f t="shared" si="4"/>
        <v>0.003458936461</v>
      </c>
      <c r="H791" s="5">
        <f t="shared" ref="H791:K791" si="791">IF(B791="","",H790*(1+B791))</f>
        <v>254.9035903</v>
      </c>
      <c r="I791" s="5">
        <f t="shared" si="791"/>
        <v>202.7803234</v>
      </c>
      <c r="J791" s="5">
        <f t="shared" si="791"/>
        <v>131.5164361</v>
      </c>
      <c r="K791" s="5">
        <f t="shared" si="791"/>
        <v>168.4780223</v>
      </c>
      <c r="L791" s="7">
        <f t="shared" si="6"/>
        <v>-0.00794688135</v>
      </c>
    </row>
    <row r="792" ht="15.75" customHeight="1">
      <c r="A792" s="4">
        <f>IF(RETORNOS!A792="","",RETORNOS!A792)</f>
        <v>45561</v>
      </c>
      <c r="B792" s="7">
        <f>IF(RETORNOS!B792="","",OPTIMIZACION!$B$5*RETORNOS!B792+OPTIMIZACION!$B$6*RETORNOS!C792+OPTIMIZACION!$B$7*RETORNOS!D792+OPTIMIZACION!$B$8*RETORNOS!E792+OPTIMIZACION!$B$9*RETORNOS!F792+OPTIMIZACION!$B$10*RETORNOS!G792)</f>
        <v>-0.01281973642</v>
      </c>
      <c r="C792" s="7">
        <f>IF(RETORNOS!H792="","",RETORNOS!H792)</f>
        <v>-0.01961961148</v>
      </c>
      <c r="D792" s="7">
        <f>IF(RETORNOS!I792="","",RETORNOS!I792)</f>
        <v>-0.006857908584</v>
      </c>
      <c r="E792" s="7">
        <f t="shared" si="2"/>
        <v>-0.01323876003</v>
      </c>
      <c r="F792" s="7">
        <f t="shared" si="3"/>
        <v>0.006799875061</v>
      </c>
      <c r="G792" s="7">
        <f t="shared" si="4"/>
        <v>0.0004190236123</v>
      </c>
      <c r="H792" s="5">
        <f t="shared" ref="H792:K792" si="792">IF(B792="","",H791*(1+B792))</f>
        <v>251.6357935</v>
      </c>
      <c r="I792" s="5">
        <f t="shared" si="792"/>
        <v>198.8018523</v>
      </c>
      <c r="J792" s="5">
        <f t="shared" si="792"/>
        <v>130.6145084</v>
      </c>
      <c r="K792" s="5">
        <f t="shared" si="792"/>
        <v>166.2475822</v>
      </c>
      <c r="L792" s="7">
        <f t="shared" si="6"/>
        <v>-0.02066474085</v>
      </c>
    </row>
    <row r="793" ht="15.75" customHeight="1">
      <c r="A793" s="4">
        <f>IF(RETORNOS!A793="","",RETORNOS!A793)</f>
        <v>45562</v>
      </c>
      <c r="B793" s="7">
        <f>IF(RETORNOS!B793="","",OPTIMIZACION!$B$5*RETORNOS!B793+OPTIMIZACION!$B$6*RETORNOS!C793+OPTIMIZACION!$B$7*RETORNOS!D793+OPTIMIZACION!$B$8*RETORNOS!E793+OPTIMIZACION!$B$9*RETORNOS!F793+OPTIMIZACION!$B$10*RETORNOS!G793)</f>
        <v>0.01182649536</v>
      </c>
      <c r="C793" s="7">
        <f>IF(RETORNOS!H793="","",RETORNOS!H793)</f>
        <v>0.0203634643</v>
      </c>
      <c r="D793" s="7">
        <f>IF(RETORNOS!I793="","",RETORNOS!I793)</f>
        <v>0.009916386653</v>
      </c>
      <c r="E793" s="7">
        <f t="shared" si="2"/>
        <v>0.01513992548</v>
      </c>
      <c r="F793" s="7">
        <f t="shared" si="3"/>
        <v>-0.008536968942</v>
      </c>
      <c r="G793" s="7">
        <f t="shared" si="4"/>
        <v>-0.003313430118</v>
      </c>
      <c r="H793" s="5">
        <f t="shared" ref="H793:K793" si="793">IF(B793="","",H792*(1+B793))</f>
        <v>254.611763</v>
      </c>
      <c r="I793" s="5">
        <f t="shared" si="793"/>
        <v>202.8501467</v>
      </c>
      <c r="J793" s="5">
        <f t="shared" si="793"/>
        <v>131.9097324</v>
      </c>
      <c r="K793" s="5">
        <f t="shared" si="793"/>
        <v>168.7645582</v>
      </c>
      <c r="L793" s="7">
        <f t="shared" si="6"/>
        <v>-0.009082636949</v>
      </c>
    </row>
    <row r="794" ht="15.75" customHeight="1">
      <c r="A794" s="4">
        <f>IF(RETORNOS!A794="","",RETORNOS!A794)</f>
        <v>45565</v>
      </c>
      <c r="B794" s="7">
        <f>IF(RETORNOS!B794="","",OPTIMIZACION!$B$5*RETORNOS!B794+OPTIMIZACION!$B$6*RETORNOS!C794+OPTIMIZACION!$B$7*RETORNOS!D794+OPTIMIZACION!$B$8*RETORNOS!E794+OPTIMIZACION!$B$9*RETORNOS!F794+OPTIMIZACION!$B$10*RETORNOS!G794)</f>
        <v>0.004852976044</v>
      </c>
      <c r="C794" s="7">
        <f>IF(RETORNOS!H794="","",RETORNOS!H794)</f>
        <v>0.006996567451</v>
      </c>
      <c r="D794" s="7">
        <f>IF(RETORNOS!I794="","",RETORNOS!I794)</f>
        <v>0.004477492604</v>
      </c>
      <c r="E794" s="7">
        <f t="shared" si="2"/>
        <v>0.005737030028</v>
      </c>
      <c r="F794" s="7">
        <f t="shared" si="3"/>
        <v>-0.002143591407</v>
      </c>
      <c r="G794" s="7">
        <f t="shared" si="4"/>
        <v>-0.0008840539837</v>
      </c>
      <c r="H794" s="5">
        <f t="shared" ref="H794:K794" si="794">IF(B794="","",H793*(1+B794))</f>
        <v>255.8473878</v>
      </c>
      <c r="I794" s="5">
        <f t="shared" si="794"/>
        <v>204.2694014</v>
      </c>
      <c r="J794" s="5">
        <f t="shared" si="794"/>
        <v>132.5003572</v>
      </c>
      <c r="K794" s="5">
        <f t="shared" si="794"/>
        <v>169.7327655</v>
      </c>
      <c r="L794" s="7">
        <f t="shared" si="6"/>
        <v>-0.004273738724</v>
      </c>
    </row>
    <row r="795" ht="15.75" customHeight="1">
      <c r="A795" s="4">
        <f>IF(RETORNOS!A795="","",RETORNOS!A795)</f>
        <v>45566</v>
      </c>
      <c r="B795" s="7">
        <f>IF(RETORNOS!B795="","",OPTIMIZACION!$B$5*RETORNOS!B795+OPTIMIZACION!$B$6*RETORNOS!C795+OPTIMIZACION!$B$7*RETORNOS!D795+OPTIMIZACION!$B$8*RETORNOS!E795+OPTIMIZACION!$B$9*RETORNOS!F795+OPTIMIZACION!$B$10*RETORNOS!G795)</f>
        <v>0.01521791571</v>
      </c>
      <c r="C795" s="7">
        <f>IF(RETORNOS!H795="","",RETORNOS!H795)</f>
        <v>0.02277847012</v>
      </c>
      <c r="D795" s="7">
        <f>IF(RETORNOS!I795="","",RETORNOS!I795)</f>
        <v>0.008047184127</v>
      </c>
      <c r="E795" s="7">
        <f t="shared" si="2"/>
        <v>0.01541282712</v>
      </c>
      <c r="F795" s="7">
        <f t="shared" si="3"/>
        <v>-0.007560554409</v>
      </c>
      <c r="G795" s="7">
        <f t="shared" si="4"/>
        <v>-0.0001949114121</v>
      </c>
      <c r="H795" s="5">
        <f t="shared" ref="H795:K795" si="795">IF(B795="","",H794*(1+B795))</f>
        <v>259.7408518</v>
      </c>
      <c r="I795" s="5">
        <f t="shared" si="795"/>
        <v>208.9223459</v>
      </c>
      <c r="J795" s="5">
        <f t="shared" si="795"/>
        <v>133.566612</v>
      </c>
      <c r="K795" s="5">
        <f t="shared" si="795"/>
        <v>172.3488273</v>
      </c>
      <c r="L795" s="7">
        <f t="shared" si="6"/>
        <v>0</v>
      </c>
    </row>
    <row r="796" ht="15.75" customHeight="1">
      <c r="A796" s="4">
        <f>IF(RETORNOS!A796="","",RETORNOS!A796)</f>
        <v>45567</v>
      </c>
      <c r="B796" s="7">
        <f>IF(RETORNOS!B796="","",OPTIMIZACION!$B$5*RETORNOS!B796+OPTIMIZACION!$B$6*RETORNOS!C796+OPTIMIZACION!$B$7*RETORNOS!D796+OPTIMIZACION!$B$8*RETORNOS!E796+OPTIMIZACION!$B$9*RETORNOS!F796+OPTIMIZACION!$B$10*RETORNOS!G796)</f>
        <v>0.0133081155</v>
      </c>
      <c r="C796" s="7">
        <f>IF(RETORNOS!H796="","",RETORNOS!H796)</f>
        <v>0.01024436548</v>
      </c>
      <c r="D796" s="7">
        <f>IF(RETORNOS!I796="","",RETORNOS!I796)</f>
        <v>0.0004916107767</v>
      </c>
      <c r="E796" s="7">
        <f t="shared" si="2"/>
        <v>0.00536798813</v>
      </c>
      <c r="F796" s="7">
        <f t="shared" si="3"/>
        <v>0.003063750013</v>
      </c>
      <c r="G796" s="7">
        <f t="shared" si="4"/>
        <v>0.007940127366</v>
      </c>
      <c r="H796" s="5">
        <f t="shared" ref="H796:K796" si="796">IF(B796="","",H795*(1+B796))</f>
        <v>263.197513</v>
      </c>
      <c r="I796" s="5">
        <f t="shared" si="796"/>
        <v>211.0626227</v>
      </c>
      <c r="J796" s="5">
        <f t="shared" si="796"/>
        <v>133.6322748</v>
      </c>
      <c r="K796" s="5">
        <f t="shared" si="796"/>
        <v>173.2739938</v>
      </c>
      <c r="L796" s="7">
        <f t="shared" si="6"/>
        <v>0</v>
      </c>
    </row>
    <row r="797" ht="15.75" customHeight="1">
      <c r="A797" s="4">
        <f>IF(RETORNOS!A797="","",RETORNOS!A797)</f>
        <v>45568</v>
      </c>
      <c r="B797" s="7">
        <f>IF(RETORNOS!B797="","",OPTIMIZACION!$B$5*RETORNOS!B797+OPTIMIZACION!$B$6*RETORNOS!C797+OPTIMIZACION!$B$7*RETORNOS!D797+OPTIMIZACION!$B$8*RETORNOS!E797+OPTIMIZACION!$B$9*RETORNOS!F797+OPTIMIZACION!$B$10*RETORNOS!G797)</f>
        <v>0.01056658476</v>
      </c>
      <c r="C797" s="7">
        <f>IF(RETORNOS!H797="","",RETORNOS!H797)</f>
        <v>0.01763672077</v>
      </c>
      <c r="D797" s="7">
        <f>IF(RETORNOS!I797="","",RETORNOS!I797)</f>
        <v>-0.0003691633994</v>
      </c>
      <c r="E797" s="7">
        <f t="shared" si="2"/>
        <v>0.008633778685</v>
      </c>
      <c r="F797" s="7">
        <f t="shared" si="3"/>
        <v>-0.007070136009</v>
      </c>
      <c r="G797" s="7">
        <f t="shared" si="4"/>
        <v>0.001932806075</v>
      </c>
      <c r="H797" s="5">
        <f t="shared" ref="H797:K797" si="797">IF(B797="","",H796*(1+B797))</f>
        <v>265.9786119</v>
      </c>
      <c r="I797" s="5">
        <f t="shared" si="797"/>
        <v>214.7850753</v>
      </c>
      <c r="J797" s="5">
        <f t="shared" si="797"/>
        <v>133.5829426</v>
      </c>
      <c r="K797" s="5">
        <f t="shared" si="797"/>
        <v>174.7700031</v>
      </c>
      <c r="L797" s="7">
        <f t="shared" si="6"/>
        <v>0</v>
      </c>
    </row>
    <row r="798" ht="15.75" customHeight="1">
      <c r="A798" s="4">
        <f>IF(RETORNOS!A798="","",RETORNOS!A798)</f>
        <v>45569</v>
      </c>
      <c r="B798" s="7">
        <f>IF(RETORNOS!B798="","",OPTIMIZACION!$B$5*RETORNOS!B798+OPTIMIZACION!$B$6*RETORNOS!C798+OPTIMIZACION!$B$7*RETORNOS!D798+OPTIMIZACION!$B$8*RETORNOS!E798+OPTIMIZACION!$B$9*RETORNOS!F798+OPTIMIZACION!$B$10*RETORNOS!G798)</f>
        <v>0.01523051329</v>
      </c>
      <c r="C798" s="7">
        <f>IF(RETORNOS!H798="","",RETORNOS!H798)</f>
        <v>0.009316826274</v>
      </c>
      <c r="D798" s="7">
        <f>IF(RETORNOS!I798="","",RETORNOS!I798)</f>
        <v>-0.001594356081</v>
      </c>
      <c r="E798" s="7">
        <f t="shared" si="2"/>
        <v>0.003861235096</v>
      </c>
      <c r="F798" s="7">
        <f t="shared" si="3"/>
        <v>0.00591368702</v>
      </c>
      <c r="G798" s="7">
        <f t="shared" si="4"/>
        <v>0.0113692782</v>
      </c>
      <c r="H798" s="5">
        <f t="shared" ref="H798:K798" si="798">IF(B798="","",H797*(1+B798))</f>
        <v>270.0296026</v>
      </c>
      <c r="I798" s="5">
        <f t="shared" si="798"/>
        <v>216.7861905</v>
      </c>
      <c r="J798" s="5">
        <f t="shared" si="798"/>
        <v>133.3699639</v>
      </c>
      <c r="K798" s="5">
        <f t="shared" si="798"/>
        <v>175.4448312</v>
      </c>
      <c r="L798" s="7">
        <f t="shared" si="6"/>
        <v>0</v>
      </c>
    </row>
    <row r="799" ht="15.75" customHeight="1">
      <c r="A799" s="4">
        <f>IF(RETORNOS!A799="","",RETORNOS!A799)</f>
        <v>45572</v>
      </c>
      <c r="B799" s="7">
        <f>IF(RETORNOS!B799="","",OPTIMIZACION!$B$5*RETORNOS!B799+OPTIMIZACION!$B$6*RETORNOS!C799+OPTIMIZACION!$B$7*RETORNOS!D799+OPTIMIZACION!$B$8*RETORNOS!E799+OPTIMIZACION!$B$9*RETORNOS!F799+OPTIMIZACION!$B$10*RETORNOS!G799)</f>
        <v>-0.008501191141</v>
      </c>
      <c r="C799" s="7">
        <f>IF(RETORNOS!H799="","",RETORNOS!H799)</f>
        <v>0.003538445365</v>
      </c>
      <c r="D799" s="7">
        <f>IF(RETORNOS!I799="","",RETORNOS!I799)</f>
        <v>-0.02299947195</v>
      </c>
      <c r="E799" s="7">
        <f t="shared" si="2"/>
        <v>-0.009730513293</v>
      </c>
      <c r="F799" s="7">
        <f t="shared" si="3"/>
        <v>-0.01203963651</v>
      </c>
      <c r="G799" s="7">
        <f t="shared" si="4"/>
        <v>0.001229322152</v>
      </c>
      <c r="H799" s="5">
        <f t="shared" ref="H799:K799" si="799">IF(B799="","",H798*(1+B799))</f>
        <v>267.7340294</v>
      </c>
      <c r="I799" s="5">
        <f t="shared" si="799"/>
        <v>217.5532766</v>
      </c>
      <c r="J799" s="5">
        <f t="shared" si="799"/>
        <v>130.3025251</v>
      </c>
      <c r="K799" s="5">
        <f t="shared" si="799"/>
        <v>173.7376629</v>
      </c>
      <c r="L799" s="7">
        <f t="shared" si="6"/>
        <v>-0.008501191141</v>
      </c>
    </row>
    <row r="800" ht="15.75" customHeight="1">
      <c r="A800" s="4">
        <f>IF(RETORNOS!A800="","",RETORNOS!A800)</f>
        <v>45573</v>
      </c>
      <c r="B800" s="7">
        <f>IF(RETORNOS!B800="","",OPTIMIZACION!$B$5*RETORNOS!B800+OPTIMIZACION!$B$6*RETORNOS!C800+OPTIMIZACION!$B$7*RETORNOS!D800+OPTIMIZACION!$B$8*RETORNOS!E800+OPTIMIZACION!$B$9*RETORNOS!F800+OPTIMIZACION!$B$10*RETORNOS!G800)</f>
        <v>-0.01018609868</v>
      </c>
      <c r="C800" s="7">
        <f>IF(RETORNOS!H800="","",RETORNOS!H800)</f>
        <v>-0.02609038694</v>
      </c>
      <c r="D800" s="7">
        <f>IF(RETORNOS!I800="","",RETORNOS!I800)</f>
        <v>0.0005013146454</v>
      </c>
      <c r="E800" s="7">
        <f t="shared" si="2"/>
        <v>-0.01279453615</v>
      </c>
      <c r="F800" s="7">
        <f t="shared" si="3"/>
        <v>0.01590428826</v>
      </c>
      <c r="G800" s="7">
        <f t="shared" si="4"/>
        <v>0.002608437464</v>
      </c>
      <c r="H800" s="5">
        <f t="shared" ref="H800:K800" si="800">IF(B800="","",H799*(1+B800))</f>
        <v>265.0068641</v>
      </c>
      <c r="I800" s="5">
        <f t="shared" si="800"/>
        <v>211.8772274</v>
      </c>
      <c r="J800" s="5">
        <f t="shared" si="800"/>
        <v>130.3678477</v>
      </c>
      <c r="K800" s="5">
        <f t="shared" si="800"/>
        <v>171.5147701</v>
      </c>
      <c r="L800" s="7">
        <f t="shared" si="6"/>
        <v>-0.01860069585</v>
      </c>
    </row>
    <row r="801" ht="15.75" customHeight="1">
      <c r="A801" s="4">
        <f>IF(RETORNOS!A801="","",RETORNOS!A801)</f>
        <v>45574</v>
      </c>
      <c r="B801" s="7">
        <f>IF(RETORNOS!B801="","",OPTIMIZACION!$B$5*RETORNOS!B801+OPTIMIZACION!$B$6*RETORNOS!C801+OPTIMIZACION!$B$7*RETORNOS!D801+OPTIMIZACION!$B$8*RETORNOS!E801+OPTIMIZACION!$B$9*RETORNOS!F801+OPTIMIZACION!$B$10*RETORNOS!G801)</f>
        <v>0.006293592014</v>
      </c>
      <c r="C801" s="7">
        <f>IF(RETORNOS!H801="","",RETORNOS!H801)</f>
        <v>0.006037096793</v>
      </c>
      <c r="D801" s="7">
        <f>IF(RETORNOS!I801="","",RETORNOS!I801)</f>
        <v>-0.008552004906</v>
      </c>
      <c r="E801" s="7">
        <f t="shared" si="2"/>
        <v>-0.001257454057</v>
      </c>
      <c r="F801" s="7">
        <f t="shared" si="3"/>
        <v>0.0002564952218</v>
      </c>
      <c r="G801" s="7">
        <f t="shared" si="4"/>
        <v>0.007551046071</v>
      </c>
      <c r="H801" s="5">
        <f t="shared" ref="H801:K801" si="801">IF(B801="","",H800*(1+B801))</f>
        <v>266.6747092</v>
      </c>
      <c r="I801" s="5">
        <f t="shared" si="801"/>
        <v>213.1563508</v>
      </c>
      <c r="J801" s="5">
        <f t="shared" si="801"/>
        <v>129.2529412</v>
      </c>
      <c r="K801" s="5">
        <f t="shared" si="801"/>
        <v>171.2990982</v>
      </c>
      <c r="L801" s="7">
        <f t="shared" si="6"/>
        <v>-0.01242416903</v>
      </c>
    </row>
    <row r="802" ht="15.75" customHeight="1">
      <c r="A802" s="4">
        <f>IF(RETORNOS!A802="","",RETORNOS!A802)</f>
        <v>45575</v>
      </c>
      <c r="B802" s="7">
        <f>IF(RETORNOS!B802="","",OPTIMIZACION!$B$5*RETORNOS!B802+OPTIMIZACION!$B$6*RETORNOS!C802+OPTIMIZACION!$B$7*RETORNOS!D802+OPTIMIZACION!$B$8*RETORNOS!E802+OPTIMIZACION!$B$9*RETORNOS!F802+OPTIMIZACION!$B$10*RETORNOS!G802)</f>
        <v>0.002176960432</v>
      </c>
      <c r="C802" s="7">
        <f>IF(RETORNOS!H802="","",RETORNOS!H802)</f>
        <v>0.00676746974</v>
      </c>
      <c r="D802" s="7">
        <f>IF(RETORNOS!I802="","",RETORNOS!I802)</f>
        <v>-0.003045474167</v>
      </c>
      <c r="E802" s="7">
        <f t="shared" si="2"/>
        <v>0.001860997786</v>
      </c>
      <c r="F802" s="7">
        <f t="shared" si="3"/>
        <v>-0.004590509308</v>
      </c>
      <c r="G802" s="7">
        <f t="shared" si="4"/>
        <v>0.0003159626455</v>
      </c>
      <c r="H802" s="5">
        <f t="shared" ref="H802:K802" si="802">IF(B802="","",H801*(1+B802))</f>
        <v>267.2552495</v>
      </c>
      <c r="I802" s="5">
        <f t="shared" si="802"/>
        <v>214.5988799</v>
      </c>
      <c r="J802" s="5">
        <f t="shared" si="802"/>
        <v>128.8593047</v>
      </c>
      <c r="K802" s="5">
        <f t="shared" si="802"/>
        <v>171.6178854</v>
      </c>
      <c r="L802" s="7">
        <f t="shared" si="6"/>
        <v>-0.01027425552</v>
      </c>
    </row>
    <row r="803" ht="15.75" customHeight="1">
      <c r="A803" s="4">
        <f>IF(RETORNOS!A803="","",RETORNOS!A803)</f>
        <v>45576</v>
      </c>
      <c r="B803" s="7">
        <f>IF(RETORNOS!B803="","",OPTIMIZACION!$B$5*RETORNOS!B803+OPTIMIZACION!$B$6*RETORNOS!C803+OPTIMIZACION!$B$7*RETORNOS!D803+OPTIMIZACION!$B$8*RETORNOS!E803+OPTIMIZACION!$B$9*RETORNOS!F803+OPTIMIZACION!$B$10*RETORNOS!G803)</f>
        <v>0.01188967697</v>
      </c>
      <c r="C803" s="7">
        <f>IF(RETORNOS!H803="","",RETORNOS!H803)</f>
        <v>0.006181961146</v>
      </c>
      <c r="D803" s="7">
        <f>IF(RETORNOS!I803="","",RETORNOS!I803)</f>
        <v>0.008781494966</v>
      </c>
      <c r="E803" s="7">
        <f t="shared" si="2"/>
        <v>0.007481728056</v>
      </c>
      <c r="F803" s="7">
        <f t="shared" si="3"/>
        <v>0.005707715822</v>
      </c>
      <c r="G803" s="7">
        <f t="shared" si="4"/>
        <v>0.004407948912</v>
      </c>
      <c r="H803" s="5">
        <f t="shared" ref="H803:K803" si="803">IF(B803="","",H802*(1+B803))</f>
        <v>270.4328281</v>
      </c>
      <c r="I803" s="5">
        <f t="shared" si="803"/>
        <v>215.9255219</v>
      </c>
      <c r="J803" s="5">
        <f t="shared" si="803"/>
        <v>129.9908821</v>
      </c>
      <c r="K803" s="5">
        <f t="shared" si="803"/>
        <v>172.9018837</v>
      </c>
      <c r="L803" s="7">
        <f t="shared" si="6"/>
        <v>0</v>
      </c>
    </row>
    <row r="804" ht="15.75" customHeight="1">
      <c r="A804" s="4">
        <f>IF(RETORNOS!A804="","",RETORNOS!A804)</f>
        <v>45579</v>
      </c>
      <c r="B804" s="7">
        <f>IF(RETORNOS!B804="","",OPTIMIZACION!$B$5*RETORNOS!B804+OPTIMIZACION!$B$6*RETORNOS!C804+OPTIMIZACION!$B$7*RETORNOS!D804+OPTIMIZACION!$B$8*RETORNOS!E804+OPTIMIZACION!$B$9*RETORNOS!F804+OPTIMIZACION!$B$10*RETORNOS!G804)</f>
        <v>0.01384940789</v>
      </c>
      <c r="C804" s="7">
        <f>IF(RETORNOS!H804="","",RETORNOS!H804)</f>
        <v>-0.0004334020489</v>
      </c>
      <c r="D804" s="7">
        <f>IF(RETORNOS!I804="","",RETORNOS!I804)</f>
        <v>0.01261787545</v>
      </c>
      <c r="E804" s="7">
        <f t="shared" si="2"/>
        <v>0.006092236703</v>
      </c>
      <c r="F804" s="7">
        <f t="shared" si="3"/>
        <v>0.01428280994</v>
      </c>
      <c r="G804" s="7">
        <f t="shared" si="4"/>
        <v>0.007757171191</v>
      </c>
      <c r="H804" s="5">
        <f t="shared" ref="H804:K804" si="804">IF(B804="","",H803*(1+B804))</f>
        <v>274.1781626</v>
      </c>
      <c r="I804" s="5">
        <f t="shared" si="804"/>
        <v>215.8319393</v>
      </c>
      <c r="J804" s="5">
        <f t="shared" si="804"/>
        <v>131.6310908</v>
      </c>
      <c r="K804" s="5">
        <f t="shared" si="804"/>
        <v>173.9552429</v>
      </c>
      <c r="L804" s="7">
        <f t="shared" si="6"/>
        <v>0</v>
      </c>
    </row>
    <row r="805" ht="15.75" customHeight="1">
      <c r="A805" s="4">
        <f>IF(RETORNOS!A805="","",RETORNOS!A805)</f>
        <v>45580</v>
      </c>
      <c r="B805" s="7">
        <f>IF(RETORNOS!B805="","",OPTIMIZACION!$B$5*RETORNOS!B805+OPTIMIZACION!$B$6*RETORNOS!C805+OPTIMIZACION!$B$7*RETORNOS!D805+OPTIMIZACION!$B$8*RETORNOS!E805+OPTIMIZACION!$B$9*RETORNOS!F805+OPTIMIZACION!$B$10*RETORNOS!G805)</f>
        <v>-0.008816145322</v>
      </c>
      <c r="C805" s="7">
        <f>IF(RETORNOS!H805="","",RETORNOS!H805)</f>
        <v>-0.03222719216</v>
      </c>
      <c r="D805" s="7">
        <f>IF(RETORNOS!I805="","",RETORNOS!I805)</f>
        <v>0.004484386066</v>
      </c>
      <c r="E805" s="7">
        <f t="shared" si="2"/>
        <v>-0.01387140305</v>
      </c>
      <c r="F805" s="7">
        <f t="shared" si="3"/>
        <v>0.02341104683</v>
      </c>
      <c r="G805" s="7">
        <f t="shared" si="4"/>
        <v>0.005055257723</v>
      </c>
      <c r="H805" s="5">
        <f t="shared" ref="H805:K805" si="805">IF(B805="","",H804*(1+B805))</f>
        <v>271.7609681</v>
      </c>
      <c r="I805" s="5">
        <f t="shared" si="805"/>
        <v>208.8762819</v>
      </c>
      <c r="J805" s="5">
        <f t="shared" si="805"/>
        <v>132.2213754</v>
      </c>
      <c r="K805" s="5">
        <f t="shared" si="805"/>
        <v>171.5422397</v>
      </c>
      <c r="L805" s="7">
        <f t="shared" si="6"/>
        <v>-0.008816145322</v>
      </c>
    </row>
    <row r="806" ht="15.75" customHeight="1">
      <c r="A806" s="4">
        <f>IF(RETORNOS!A806="","",RETORNOS!A806)</f>
        <v>45581</v>
      </c>
      <c r="B806" s="7">
        <f>IF(RETORNOS!B806="","",OPTIMIZACION!$B$5*RETORNOS!B806+OPTIMIZACION!$B$6*RETORNOS!C806+OPTIMIZACION!$B$7*RETORNOS!D806+OPTIMIZACION!$B$8*RETORNOS!E806+OPTIMIZACION!$B$9*RETORNOS!F806+OPTIMIZACION!$B$10*RETORNOS!G806)</f>
        <v>0.01017754636</v>
      </c>
      <c r="C806" s="7">
        <f>IF(RETORNOS!H806="","",RETORNOS!H806)</f>
        <v>0.004786710495</v>
      </c>
      <c r="D806" s="7">
        <f>IF(RETORNOS!I806="","",RETORNOS!I806)</f>
        <v>0.0198516338</v>
      </c>
      <c r="E806" s="7">
        <f t="shared" si="2"/>
        <v>0.01231917215</v>
      </c>
      <c r="F806" s="7">
        <f t="shared" si="3"/>
        <v>0.005390835861</v>
      </c>
      <c r="G806" s="7">
        <f t="shared" si="4"/>
        <v>-0.002141625794</v>
      </c>
      <c r="H806" s="5">
        <f t="shared" ref="H806:K806" si="806">IF(B806="","",H805*(1+B806))</f>
        <v>274.526828</v>
      </c>
      <c r="I806" s="5">
        <f t="shared" si="806"/>
        <v>209.8761122</v>
      </c>
      <c r="J806" s="5">
        <f t="shared" si="806"/>
        <v>134.8461858</v>
      </c>
      <c r="K806" s="5">
        <f t="shared" si="806"/>
        <v>173.655498</v>
      </c>
      <c r="L806" s="7">
        <f t="shared" si="6"/>
        <v>0</v>
      </c>
    </row>
    <row r="807" ht="15.75" customHeight="1">
      <c r="A807" s="4">
        <f>IF(RETORNOS!A807="","",RETORNOS!A807)</f>
        <v>45582</v>
      </c>
      <c r="B807" s="7">
        <f>IF(RETORNOS!B807="","",OPTIMIZACION!$B$5*RETORNOS!B807+OPTIMIZACION!$B$6*RETORNOS!C807+OPTIMIZACION!$B$7*RETORNOS!D807+OPTIMIZACION!$B$8*RETORNOS!E807+OPTIMIZACION!$B$9*RETORNOS!F807+OPTIMIZACION!$B$10*RETORNOS!G807)</f>
        <v>-0.002345906146</v>
      </c>
      <c r="C807" s="7">
        <f>IF(RETORNOS!H807="","",RETORNOS!H807)</f>
        <v>0.004766217384</v>
      </c>
      <c r="D807" s="7">
        <f>IF(RETORNOS!I807="","",RETORNOS!I807)</f>
        <v>-0.0088810843</v>
      </c>
      <c r="E807" s="7">
        <f t="shared" si="2"/>
        <v>-0.002057433458</v>
      </c>
      <c r="F807" s="7">
        <f t="shared" si="3"/>
        <v>-0.00711212353</v>
      </c>
      <c r="G807" s="7">
        <f t="shared" si="4"/>
        <v>-0.0002884726881</v>
      </c>
      <c r="H807" s="5">
        <f t="shared" ref="H807:K807" si="807">IF(B807="","",H806*(1+B807))</f>
        <v>273.8828138</v>
      </c>
      <c r="I807" s="5">
        <f t="shared" si="807"/>
        <v>210.8764274</v>
      </c>
      <c r="J807" s="5">
        <f t="shared" si="807"/>
        <v>133.6486054</v>
      </c>
      <c r="K807" s="5">
        <f t="shared" si="807"/>
        <v>173.2982134</v>
      </c>
      <c r="L807" s="7">
        <f t="shared" si="6"/>
        <v>-0.002345906146</v>
      </c>
    </row>
    <row r="808" ht="15.75" customHeight="1">
      <c r="A808" s="4">
        <f>IF(RETORNOS!A808="","",RETORNOS!A808)</f>
        <v>45583</v>
      </c>
      <c r="B808" s="7">
        <f>IF(RETORNOS!B808="","",OPTIMIZACION!$B$5*RETORNOS!B808+OPTIMIZACION!$B$6*RETORNOS!C808+OPTIMIZACION!$B$7*RETORNOS!D808+OPTIMIZACION!$B$8*RETORNOS!E808+OPTIMIZACION!$B$9*RETORNOS!F808+OPTIMIZACION!$B$10*RETORNOS!G808)</f>
        <v>0.006819634687</v>
      </c>
      <c r="C808" s="7">
        <f>IF(RETORNOS!H808="","",RETORNOS!H808)</f>
        <v>-0.003308799014</v>
      </c>
      <c r="D808" s="7">
        <f>IF(RETORNOS!I808="","",RETORNOS!I808)</f>
        <v>0.005768427912</v>
      </c>
      <c r="E808" s="7">
        <f t="shared" si="2"/>
        <v>0.001229814449</v>
      </c>
      <c r="F808" s="7">
        <f t="shared" si="3"/>
        <v>0.0101284337</v>
      </c>
      <c r="G808" s="7">
        <f t="shared" si="4"/>
        <v>0.005589820238</v>
      </c>
      <c r="H808" s="5">
        <f t="shared" ref="H808:K808" si="808">IF(B808="","",H807*(1+B808))</f>
        <v>275.7505945</v>
      </c>
      <c r="I808" s="5">
        <f t="shared" si="808"/>
        <v>210.1786797</v>
      </c>
      <c r="J808" s="5">
        <f t="shared" si="808"/>
        <v>134.4195478</v>
      </c>
      <c r="K808" s="5">
        <f t="shared" si="808"/>
        <v>173.5113381</v>
      </c>
      <c r="L808" s="7">
        <f t="shared" si="6"/>
        <v>0</v>
      </c>
    </row>
    <row r="809" ht="15.75" customHeight="1">
      <c r="A809" s="4">
        <f>IF(RETORNOS!A809="","",RETORNOS!A809)</f>
        <v>45586</v>
      </c>
      <c r="B809" s="7">
        <f>IF(RETORNOS!B809="","",OPTIMIZACION!$B$5*RETORNOS!B809+OPTIMIZACION!$B$6*RETORNOS!C809+OPTIMIZACION!$B$7*RETORNOS!D809+OPTIMIZACION!$B$8*RETORNOS!E809+OPTIMIZACION!$B$9*RETORNOS!F809+OPTIMIZACION!$B$10*RETORNOS!G809)</f>
        <v>-0.004030207303</v>
      </c>
      <c r="C809" s="7">
        <f>IF(RETORNOS!H809="","",RETORNOS!H809)</f>
        <v>-0.002989881466</v>
      </c>
      <c r="D809" s="7">
        <f>IF(RETORNOS!I809="","",RETORNOS!I809)</f>
        <v>-0.003902868684</v>
      </c>
      <c r="E809" s="7">
        <f t="shared" si="2"/>
        <v>-0.003446375075</v>
      </c>
      <c r="F809" s="7">
        <f t="shared" si="3"/>
        <v>-0.001040325837</v>
      </c>
      <c r="G809" s="7">
        <f t="shared" si="4"/>
        <v>-0.0005838322279</v>
      </c>
      <c r="H809" s="5">
        <f t="shared" ref="H809:K809" si="809">IF(B809="","",H808*(1+B809))</f>
        <v>274.6392625</v>
      </c>
      <c r="I809" s="5">
        <f t="shared" si="809"/>
        <v>209.5502703</v>
      </c>
      <c r="J809" s="5">
        <f t="shared" si="809"/>
        <v>133.8949259</v>
      </c>
      <c r="K809" s="5">
        <f t="shared" si="809"/>
        <v>172.9133529</v>
      </c>
      <c r="L809" s="7">
        <f t="shared" si="6"/>
        <v>-0.004030207303</v>
      </c>
    </row>
    <row r="810" ht="15.75" customHeight="1">
      <c r="A810" s="4">
        <f>IF(RETORNOS!A810="","",RETORNOS!A810)</f>
        <v>45587</v>
      </c>
      <c r="B810" s="7">
        <f>IF(RETORNOS!B810="","",OPTIMIZACION!$B$5*RETORNOS!B810+OPTIMIZACION!$B$6*RETORNOS!C810+OPTIMIZACION!$B$7*RETORNOS!D810+OPTIMIZACION!$B$8*RETORNOS!E810+OPTIMIZACION!$B$9*RETORNOS!F810+OPTIMIZACION!$B$10*RETORNOS!G810)</f>
        <v>-0.001922718285</v>
      </c>
      <c r="C810" s="7">
        <f>IF(RETORNOS!H810="","",RETORNOS!H810)</f>
        <v>0.002330123147</v>
      </c>
      <c r="D810" s="7">
        <f>IF(RETORNOS!I810="","",RETORNOS!I810)</f>
        <v>-0.003552262471</v>
      </c>
      <c r="E810" s="7">
        <f t="shared" si="2"/>
        <v>-0.000611069662</v>
      </c>
      <c r="F810" s="7">
        <f t="shared" si="3"/>
        <v>-0.004252841432</v>
      </c>
      <c r="G810" s="7">
        <f t="shared" si="4"/>
        <v>-0.001311648623</v>
      </c>
      <c r="H810" s="5">
        <f t="shared" ref="H810:K810" si="810">IF(B810="","",H809*(1+B810))</f>
        <v>274.1112085</v>
      </c>
      <c r="I810" s="5">
        <f t="shared" si="810"/>
        <v>210.0385483</v>
      </c>
      <c r="J810" s="5">
        <f t="shared" si="810"/>
        <v>133.419296</v>
      </c>
      <c r="K810" s="5">
        <f t="shared" si="810"/>
        <v>172.8076908</v>
      </c>
      <c r="L810" s="7">
        <f t="shared" si="6"/>
        <v>-0.005945176635</v>
      </c>
    </row>
    <row r="811" ht="15.75" customHeight="1">
      <c r="A811" s="4">
        <f>IF(RETORNOS!A811="","",RETORNOS!A811)</f>
        <v>45588</v>
      </c>
      <c r="B811" s="7">
        <f>IF(RETORNOS!B811="","",OPTIMIZACION!$B$5*RETORNOS!B811+OPTIMIZACION!$B$6*RETORNOS!C811+OPTIMIZACION!$B$7*RETORNOS!D811+OPTIMIZACION!$B$8*RETORNOS!E811+OPTIMIZACION!$B$9*RETORNOS!F811+OPTIMIZACION!$B$10*RETORNOS!G811)</f>
        <v>0.0009630915707</v>
      </c>
      <c r="C811" s="7">
        <f>IF(RETORNOS!H811="","",RETORNOS!H811)</f>
        <v>-0.005203463743</v>
      </c>
      <c r="D811" s="7">
        <f>IF(RETORNOS!I811="","",RETORNOS!I811)</f>
        <v>0.009588069993</v>
      </c>
      <c r="E811" s="7">
        <f t="shared" si="2"/>
        <v>0.002192303125</v>
      </c>
      <c r="F811" s="7">
        <f t="shared" si="3"/>
        <v>0.006166555314</v>
      </c>
      <c r="G811" s="7">
        <f t="shared" si="4"/>
        <v>-0.001229211554</v>
      </c>
      <c r="H811" s="5">
        <f t="shared" ref="H811:K811" si="811">IF(B811="","",H810*(1+B811))</f>
        <v>274.3752027</v>
      </c>
      <c r="I811" s="5">
        <f t="shared" si="811"/>
        <v>208.9456203</v>
      </c>
      <c r="J811" s="5">
        <f t="shared" si="811"/>
        <v>134.6985296</v>
      </c>
      <c r="K811" s="5">
        <f t="shared" si="811"/>
        <v>173.1865376</v>
      </c>
      <c r="L811" s="7">
        <f t="shared" si="6"/>
        <v>-0.004987810814</v>
      </c>
    </row>
    <row r="812" ht="15.75" customHeight="1">
      <c r="A812" s="4">
        <f>IF(RETORNOS!A812="","",RETORNOS!A812)</f>
        <v>45589</v>
      </c>
      <c r="B812" s="7">
        <f>IF(RETORNOS!B812="","",OPTIMIZACION!$B$5*RETORNOS!B812+OPTIMIZACION!$B$6*RETORNOS!C812+OPTIMIZACION!$B$7*RETORNOS!D812+OPTIMIZACION!$B$8*RETORNOS!E812+OPTIMIZACION!$B$9*RETORNOS!F812+OPTIMIZACION!$B$10*RETORNOS!G812)</f>
        <v>0.001577628096</v>
      </c>
      <c r="C812" s="7">
        <f>IF(RETORNOS!H812="","",RETORNOS!H812)</f>
        <v>-0.0001113898436</v>
      </c>
      <c r="D812" s="7">
        <f>IF(RETORNOS!I812="","",RETORNOS!I812)</f>
        <v>-0.006453421703</v>
      </c>
      <c r="E812" s="7">
        <f t="shared" si="2"/>
        <v>-0.003282405773</v>
      </c>
      <c r="F812" s="7">
        <f t="shared" si="3"/>
        <v>0.001689017939</v>
      </c>
      <c r="G812" s="7">
        <f t="shared" si="4"/>
        <v>0.004860033869</v>
      </c>
      <c r="H812" s="5">
        <f t="shared" ref="H812:K812" si="812">IF(B812="","",H811*(1+B812))</f>
        <v>274.8080648</v>
      </c>
      <c r="I812" s="5">
        <f t="shared" si="812"/>
        <v>208.9223459</v>
      </c>
      <c r="J812" s="5">
        <f t="shared" si="812"/>
        <v>133.8292631</v>
      </c>
      <c r="K812" s="5">
        <f t="shared" si="812"/>
        <v>172.6180691</v>
      </c>
      <c r="L812" s="7">
        <f t="shared" si="6"/>
        <v>-0.003418051628</v>
      </c>
    </row>
    <row r="813" ht="15.75" customHeight="1">
      <c r="A813" s="4">
        <f>IF(RETORNOS!A813="","",RETORNOS!A813)</f>
        <v>45590</v>
      </c>
      <c r="B813" s="7">
        <f>IF(RETORNOS!B813="","",OPTIMIZACION!$B$5*RETORNOS!B813+OPTIMIZACION!$B$6*RETORNOS!C813+OPTIMIZACION!$B$7*RETORNOS!D813+OPTIMIZACION!$B$8*RETORNOS!E813+OPTIMIZACION!$B$9*RETORNOS!F813+OPTIMIZACION!$B$10*RETORNOS!G813)</f>
        <v>-0.004600805446</v>
      </c>
      <c r="C813" s="7">
        <f>IF(RETORNOS!H813="","",RETORNOS!H813)</f>
        <v>-0.0003342067579</v>
      </c>
      <c r="D813" s="7">
        <f>IF(RETORNOS!I813="","",RETORNOS!I813)</f>
        <v>-0.01483123559</v>
      </c>
      <c r="E813" s="7">
        <f t="shared" si="2"/>
        <v>-0.007582721173</v>
      </c>
      <c r="F813" s="7">
        <f t="shared" si="3"/>
        <v>-0.004266598688</v>
      </c>
      <c r="G813" s="7">
        <f t="shared" si="4"/>
        <v>0.002981915727</v>
      </c>
      <c r="H813" s="5">
        <f t="shared" ref="H813:K813" si="813">IF(B813="","",H812*(1+B813))</f>
        <v>273.5437263</v>
      </c>
      <c r="I813" s="5">
        <f t="shared" si="813"/>
        <v>208.8525226</v>
      </c>
      <c r="J813" s="5">
        <f t="shared" si="813"/>
        <v>131.8444098</v>
      </c>
      <c r="K813" s="5">
        <f t="shared" si="813"/>
        <v>171.3091545</v>
      </c>
      <c r="L813" s="7">
        <f t="shared" si="6"/>
        <v>-0.008003131284</v>
      </c>
    </row>
    <row r="814" ht="15.75" customHeight="1">
      <c r="A814" s="4">
        <f>IF(RETORNOS!A814="","",RETORNOS!A814)</f>
        <v>45593</v>
      </c>
      <c r="B814" s="7">
        <f>IF(RETORNOS!B814="","",OPTIMIZACION!$B$5*RETORNOS!B814+OPTIMIZACION!$B$6*RETORNOS!C814+OPTIMIZACION!$B$7*RETORNOS!D814+OPTIMIZACION!$B$8*RETORNOS!E814+OPTIMIZACION!$B$9*RETORNOS!F814+OPTIMIZACION!$B$10*RETORNOS!G814)</f>
        <v>0.000494445417</v>
      </c>
      <c r="C814" s="7">
        <f>IF(RETORNOS!H814="","",RETORNOS!H814)</f>
        <v>-0.006349729643</v>
      </c>
      <c r="D814" s="7">
        <f>IF(RETORNOS!I814="","",RETORNOS!I814)</f>
        <v>0.007836913748</v>
      </c>
      <c r="E814" s="7">
        <f t="shared" si="2"/>
        <v>0.0007435920522</v>
      </c>
      <c r="F814" s="7">
        <f t="shared" si="3"/>
        <v>0.00684417506</v>
      </c>
      <c r="G814" s="7">
        <f t="shared" si="4"/>
        <v>-0.0002491466351</v>
      </c>
      <c r="H814" s="5">
        <f t="shared" ref="H814:K814" si="814">IF(B814="","",H813*(1+B814))</f>
        <v>273.6789788</v>
      </c>
      <c r="I814" s="5">
        <f t="shared" si="814"/>
        <v>207.5263656</v>
      </c>
      <c r="J814" s="5">
        <f t="shared" si="814"/>
        <v>132.8776631</v>
      </c>
      <c r="K814" s="5">
        <f t="shared" si="814"/>
        <v>171.4365386</v>
      </c>
      <c r="L814" s="7">
        <f t="shared" si="6"/>
        <v>-0.007512642978</v>
      </c>
    </row>
    <row r="815" ht="15.75" customHeight="1">
      <c r="A815" s="4">
        <f>IF(RETORNOS!A815="","",RETORNOS!A815)</f>
        <v>45594</v>
      </c>
      <c r="B815" s="7">
        <f>IF(RETORNOS!B815="","",OPTIMIZACION!$B$5*RETORNOS!B815+OPTIMIZACION!$B$6*RETORNOS!C815+OPTIMIZACION!$B$7*RETORNOS!D815+OPTIMIZACION!$B$8*RETORNOS!E815+OPTIMIZACION!$B$9*RETORNOS!F815+OPTIMIZACION!$B$10*RETORNOS!G815)</f>
        <v>-0.01398425276</v>
      </c>
      <c r="C815" s="7">
        <f>IF(RETORNOS!H815="","",RETORNOS!H815)</f>
        <v>-0.01524561207</v>
      </c>
      <c r="D815" s="7">
        <f>IF(RETORNOS!I815="","",RETORNOS!I815)</f>
        <v>-0.02135384395</v>
      </c>
      <c r="E815" s="7">
        <f t="shared" si="2"/>
        <v>-0.01829972801</v>
      </c>
      <c r="F815" s="7">
        <f t="shared" si="3"/>
        <v>0.001261359311</v>
      </c>
      <c r="G815" s="7">
        <f t="shared" si="4"/>
        <v>0.004315475251</v>
      </c>
      <c r="H815" s="5">
        <f t="shared" ref="H815:K815" si="815">IF(B815="","",H814*(1+B815))</f>
        <v>269.8517827</v>
      </c>
      <c r="I815" s="5">
        <f t="shared" si="815"/>
        <v>204.3624991</v>
      </c>
      <c r="J815" s="5">
        <f t="shared" si="815"/>
        <v>130.0402142</v>
      </c>
      <c r="K815" s="5">
        <f t="shared" si="815"/>
        <v>168.2992966</v>
      </c>
      <c r="L815" s="7">
        <f t="shared" si="6"/>
        <v>-0.02139183704</v>
      </c>
    </row>
    <row r="816" ht="15.75" customHeight="1">
      <c r="A816" s="4">
        <f>IF(RETORNOS!A816="","",RETORNOS!A816)</f>
        <v>45595</v>
      </c>
      <c r="B816" s="7">
        <f>IF(RETORNOS!B816="","",OPTIMIZACION!$B$5*RETORNOS!B816+OPTIMIZACION!$B$6*RETORNOS!C816+OPTIMIZACION!$B$7*RETORNOS!D816+OPTIMIZACION!$B$8*RETORNOS!E816+OPTIMIZACION!$B$9*RETORNOS!F816+OPTIMIZACION!$B$10*RETORNOS!G816)</f>
        <v>-0.004003970817</v>
      </c>
      <c r="C816" s="7">
        <f>IF(RETORNOS!H816="","",RETORNOS!H816)</f>
        <v>0.002275385736</v>
      </c>
      <c r="D816" s="7">
        <f>IF(RETORNOS!I816="","",RETORNOS!I816)</f>
        <v>-0.002396513021</v>
      </c>
      <c r="E816" s="7">
        <f t="shared" si="2"/>
        <v>-0.00006056364261</v>
      </c>
      <c r="F816" s="7">
        <f t="shared" si="3"/>
        <v>-0.006279356553</v>
      </c>
      <c r="G816" s="7">
        <f t="shared" si="4"/>
        <v>-0.003943407174</v>
      </c>
      <c r="H816" s="5">
        <f t="shared" ref="H816:K816" si="816">IF(B816="","",H815*(1+B816))</f>
        <v>268.7713041</v>
      </c>
      <c r="I816" s="5">
        <f t="shared" si="816"/>
        <v>204.8275026</v>
      </c>
      <c r="J816" s="5">
        <f t="shared" si="816"/>
        <v>129.7285711</v>
      </c>
      <c r="K816" s="5">
        <f t="shared" si="816"/>
        <v>168.2891037</v>
      </c>
      <c r="L816" s="7">
        <f t="shared" si="6"/>
        <v>-0.02531015556</v>
      </c>
    </row>
    <row r="817" ht="15.75" customHeight="1">
      <c r="A817" s="4">
        <f>IF(RETORNOS!A817="","",RETORNOS!A817)</f>
        <v>45596</v>
      </c>
      <c r="B817" s="7">
        <f>IF(RETORNOS!B817="","",OPTIMIZACION!$B$5*RETORNOS!B817+OPTIMIZACION!$B$6*RETORNOS!C817+OPTIMIZACION!$B$7*RETORNOS!D817+OPTIMIZACION!$B$8*RETORNOS!E817+OPTIMIZACION!$B$9*RETORNOS!F817+OPTIMIZACION!$B$10*RETORNOS!G817)</f>
        <v>0.001653777864</v>
      </c>
      <c r="C817" s="7">
        <f>IF(RETORNOS!H817="","",RETORNOS!H817)</f>
        <v>0.00624488076</v>
      </c>
      <c r="D817" s="7">
        <f>IF(RETORNOS!I817="","",RETORNOS!I817)</f>
        <v>0.01036700183</v>
      </c>
      <c r="E817" s="7">
        <f t="shared" si="2"/>
        <v>0.008305941295</v>
      </c>
      <c r="F817" s="7">
        <f t="shared" si="3"/>
        <v>-0.004591102897</v>
      </c>
      <c r="G817" s="7">
        <f t="shared" si="4"/>
        <v>-0.006652163432</v>
      </c>
      <c r="H817" s="5">
        <f t="shared" ref="H817:K817" si="817">IF(B817="","",H816*(1+B817))</f>
        <v>269.2157921</v>
      </c>
      <c r="I817" s="5">
        <f t="shared" si="817"/>
        <v>206.1066259</v>
      </c>
      <c r="J817" s="5">
        <f t="shared" si="817"/>
        <v>131.0734675</v>
      </c>
      <c r="K817" s="5">
        <f t="shared" si="817"/>
        <v>169.6869032</v>
      </c>
      <c r="L817" s="7">
        <f t="shared" si="6"/>
        <v>-0.02369823507</v>
      </c>
    </row>
    <row r="818" ht="15.75" customHeight="1">
      <c r="A818" s="4">
        <f>IF(RETORNOS!A818="","",RETORNOS!A818)</f>
        <v>45597</v>
      </c>
      <c r="B818" s="7">
        <f>IF(RETORNOS!B818="","",OPTIMIZACION!$B$5*RETORNOS!B818+OPTIMIZACION!$B$6*RETORNOS!C818+OPTIMIZACION!$B$7*RETORNOS!D818+OPTIMIZACION!$B$8*RETORNOS!E818+OPTIMIZACION!$B$9*RETORNOS!F818+OPTIMIZACION!$B$10*RETORNOS!G818)</f>
        <v>-0.01367060029</v>
      </c>
      <c r="C818" s="7">
        <f>IF(RETORNOS!H818="","",RETORNOS!H818)</f>
        <v>-0.006768392524</v>
      </c>
      <c r="D818" s="7">
        <f>IF(RETORNOS!I818="","",RETORNOS!I818)</f>
        <v>-0.02227332781</v>
      </c>
      <c r="E818" s="7">
        <f t="shared" si="2"/>
        <v>-0.01452086017</v>
      </c>
      <c r="F818" s="7">
        <f t="shared" si="3"/>
        <v>-0.006902207767</v>
      </c>
      <c r="G818" s="7">
        <f t="shared" si="4"/>
        <v>0.0008502598779</v>
      </c>
      <c r="H818" s="5">
        <f t="shared" ref="H818:K818" si="818">IF(B818="","",H817*(1+B818))</f>
        <v>265.5354506</v>
      </c>
      <c r="I818" s="5">
        <f t="shared" si="818"/>
        <v>204.7116154</v>
      </c>
      <c r="J818" s="5">
        <f t="shared" si="818"/>
        <v>128.1540252</v>
      </c>
      <c r="K818" s="5">
        <f t="shared" si="818"/>
        <v>167.2229034</v>
      </c>
      <c r="L818" s="7">
        <f t="shared" si="6"/>
        <v>-0.03704486627</v>
      </c>
    </row>
    <row r="819" ht="15.75" customHeight="1">
      <c r="A819" s="4">
        <f>IF(RETORNOS!A819="","",RETORNOS!A819)</f>
        <v>45600</v>
      </c>
      <c r="B819" s="7">
        <f>IF(RETORNOS!B819="","",OPTIMIZACION!$B$5*RETORNOS!B819+OPTIMIZACION!$B$6*RETORNOS!C819+OPTIMIZACION!$B$7*RETORNOS!D819+OPTIMIZACION!$B$8*RETORNOS!E819+OPTIMIZACION!$B$9*RETORNOS!F819+OPTIMIZACION!$B$10*RETORNOS!G819)</f>
        <v>0.009522941685</v>
      </c>
      <c r="C819" s="7">
        <f>IF(RETORNOS!H819="","",RETORNOS!H819)</f>
        <v>0.01795176071</v>
      </c>
      <c r="D819" s="7">
        <f>IF(RETORNOS!I819="","",RETORNOS!I819)</f>
        <v>-0.0119040666</v>
      </c>
      <c r="E819" s="7">
        <f t="shared" si="2"/>
        <v>0.003023847055</v>
      </c>
      <c r="F819" s="7">
        <f t="shared" si="3"/>
        <v>-0.008428819027</v>
      </c>
      <c r="G819" s="7">
        <f t="shared" si="4"/>
        <v>0.006499094631</v>
      </c>
      <c r="H819" s="5">
        <f t="shared" ref="H819:K819" si="819">IF(B819="","",H818*(1+B819))</f>
        <v>268.0641292</v>
      </c>
      <c r="I819" s="5">
        <f t="shared" si="819"/>
        <v>208.3865493</v>
      </c>
      <c r="J819" s="5">
        <f t="shared" si="819"/>
        <v>126.6284711</v>
      </c>
      <c r="K819" s="5">
        <f t="shared" si="819"/>
        <v>167.7285598</v>
      </c>
      <c r="L819" s="7">
        <f t="shared" si="6"/>
        <v>-0.02787470068</v>
      </c>
    </row>
    <row r="820" ht="15.75" customHeight="1">
      <c r="A820" s="4">
        <f>IF(RETORNOS!A820="","",RETORNOS!A820)</f>
        <v>45601</v>
      </c>
      <c r="B820" s="7">
        <f>IF(RETORNOS!B820="","",OPTIMIZACION!$B$5*RETORNOS!B820+OPTIMIZACION!$B$6*RETORNOS!C820+OPTIMIZACION!$B$7*RETORNOS!D820+OPTIMIZACION!$B$8*RETORNOS!E820+OPTIMIZACION!$B$9*RETORNOS!F820+OPTIMIZACION!$B$10*RETORNOS!G820)</f>
        <v>0.01649847849</v>
      </c>
      <c r="C820" s="7">
        <f>IF(RETORNOS!H820="","",RETORNOS!H820)</f>
        <v>0.006703648032</v>
      </c>
      <c r="D820" s="7">
        <f>IF(RETORNOS!I820="","",RETORNOS!I820)</f>
        <v>0.01502710952</v>
      </c>
      <c r="E820" s="7">
        <f t="shared" si="2"/>
        <v>0.01086537877</v>
      </c>
      <c r="F820" s="7">
        <f t="shared" si="3"/>
        <v>0.009794830455</v>
      </c>
      <c r="G820" s="7">
        <f t="shared" si="4"/>
        <v>0.005633099712</v>
      </c>
      <c r="H820" s="5">
        <f t="shared" ref="H820:K820" si="820">IF(B820="","",H819*(1+B820))</f>
        <v>272.4867795</v>
      </c>
      <c r="I820" s="5">
        <f t="shared" si="820"/>
        <v>209.7834994</v>
      </c>
      <c r="J820" s="5">
        <f t="shared" si="820"/>
        <v>128.531331</v>
      </c>
      <c r="K820" s="5">
        <f t="shared" si="820"/>
        <v>169.5509942</v>
      </c>
      <c r="L820" s="7">
        <f t="shared" si="6"/>
        <v>-0.01183611234</v>
      </c>
    </row>
    <row r="821" ht="15.75" customHeight="1">
      <c r="A821" s="4">
        <f>IF(RETORNOS!A821="","",RETORNOS!A821)</f>
        <v>45602</v>
      </c>
      <c r="B821" s="7">
        <f>IF(RETORNOS!B821="","",OPTIMIZACION!$B$5*RETORNOS!B821+OPTIMIZACION!$B$6*RETORNOS!C821+OPTIMIZACION!$B$7*RETORNOS!D821+OPTIMIZACION!$B$8*RETORNOS!E821+OPTIMIZACION!$B$9*RETORNOS!F821+OPTIMIZACION!$B$10*RETORNOS!G821)</f>
        <v>0.02190704952</v>
      </c>
      <c r="C821" s="7">
        <f>IF(RETORNOS!H821="","",RETORNOS!H821)</f>
        <v>0.03759415875</v>
      </c>
      <c r="D821" s="7">
        <f>IF(RETORNOS!I821="","",RETORNOS!I821)</f>
        <v>-0.01034180636</v>
      </c>
      <c r="E821" s="7">
        <f t="shared" si="2"/>
        <v>0.01362617619</v>
      </c>
      <c r="F821" s="7">
        <f t="shared" si="3"/>
        <v>-0.01568710923</v>
      </c>
      <c r="G821" s="7">
        <f t="shared" si="4"/>
        <v>0.008280873327</v>
      </c>
      <c r="H821" s="5">
        <f t="shared" ref="H821:K821" si="821">IF(B821="","",H820*(1+B821))</f>
        <v>278.4561609</v>
      </c>
      <c r="I821" s="5">
        <f t="shared" si="821"/>
        <v>217.6701336</v>
      </c>
      <c r="J821" s="5">
        <f t="shared" si="821"/>
        <v>127.2020849</v>
      </c>
      <c r="K821" s="5">
        <f t="shared" si="821"/>
        <v>171.8613259</v>
      </c>
      <c r="L821" s="7">
        <f t="shared" si="6"/>
        <v>0</v>
      </c>
    </row>
    <row r="822" ht="15.75" customHeight="1">
      <c r="A822" s="4">
        <f>IF(RETORNOS!A822="","",RETORNOS!A822)</f>
        <v>45603</v>
      </c>
      <c r="B822" s="7">
        <f>IF(RETORNOS!B822="","",OPTIMIZACION!$B$5*RETORNOS!B822+OPTIMIZACION!$B$6*RETORNOS!C822+OPTIMIZACION!$B$7*RETORNOS!D822+OPTIMIZACION!$B$8*RETORNOS!E822+OPTIMIZACION!$B$9*RETORNOS!F822+OPTIMIZACION!$B$10*RETORNOS!G822)</f>
        <v>0.01112340229</v>
      </c>
      <c r="C822" s="7">
        <f>IF(RETORNOS!H822="","",RETORNOS!H822)</f>
        <v>-0.004595555476</v>
      </c>
      <c r="D822" s="7">
        <f>IF(RETORNOS!I822="","",RETORNOS!I822)</f>
        <v>0.001808066759</v>
      </c>
      <c r="E822" s="7">
        <f t="shared" si="2"/>
        <v>-0.001393744358</v>
      </c>
      <c r="F822" s="7">
        <f t="shared" si="3"/>
        <v>0.01571895777</v>
      </c>
      <c r="G822" s="7">
        <f t="shared" si="4"/>
        <v>0.01251714665</v>
      </c>
      <c r="H822" s="5">
        <f t="shared" ref="H822:K822" si="822">IF(B822="","",H821*(1+B822))</f>
        <v>281.5535408</v>
      </c>
      <c r="I822" s="5">
        <f t="shared" si="822"/>
        <v>216.6698184</v>
      </c>
      <c r="J822" s="5">
        <f t="shared" si="822"/>
        <v>127.4320747</v>
      </c>
      <c r="K822" s="5">
        <f t="shared" si="822"/>
        <v>171.6217951</v>
      </c>
      <c r="L822" s="7">
        <f t="shared" si="6"/>
        <v>0</v>
      </c>
    </row>
    <row r="823" ht="15.75" customHeight="1">
      <c r="A823" s="4">
        <f>IF(RETORNOS!A823="","",RETORNOS!A823)</f>
        <v>45604</v>
      </c>
      <c r="B823" s="7">
        <f>IF(RETORNOS!B823="","",OPTIMIZACION!$B$5*RETORNOS!B823+OPTIMIZACION!$B$6*RETORNOS!C823+OPTIMIZACION!$B$7*RETORNOS!D823+OPTIMIZACION!$B$8*RETORNOS!E823+OPTIMIZACION!$B$9*RETORNOS!F823+OPTIMIZACION!$B$10*RETORNOS!G823)</f>
        <v>0.01394126009</v>
      </c>
      <c r="C823" s="7">
        <f>IF(RETORNOS!H823="","",RETORNOS!H823)</f>
        <v>0.006655492124</v>
      </c>
      <c r="D823" s="7">
        <f>IF(RETORNOS!I823="","",RETORNOS!I823)</f>
        <v>0.01917737268</v>
      </c>
      <c r="E823" s="7">
        <f t="shared" si="2"/>
        <v>0.0129164324</v>
      </c>
      <c r="F823" s="7">
        <f t="shared" si="3"/>
        <v>0.007285767964</v>
      </c>
      <c r="G823" s="7">
        <f t="shared" si="4"/>
        <v>0.001024827688</v>
      </c>
      <c r="H823" s="5">
        <f t="shared" ref="H823:K823" si="823">IF(B823="","",H822*(1+B823))</f>
        <v>285.4787519</v>
      </c>
      <c r="I823" s="5">
        <f t="shared" si="823"/>
        <v>218.1118627</v>
      </c>
      <c r="J823" s="5">
        <f t="shared" si="823"/>
        <v>129.8758871</v>
      </c>
      <c r="K823" s="5">
        <f t="shared" si="823"/>
        <v>173.8385365</v>
      </c>
      <c r="L823" s="7">
        <f t="shared" si="6"/>
        <v>0</v>
      </c>
    </row>
    <row r="824" ht="15.75" customHeight="1">
      <c r="A824" s="4">
        <f>IF(RETORNOS!A824="","",RETORNOS!A824)</f>
        <v>45607</v>
      </c>
      <c r="B824" s="7">
        <f>IF(RETORNOS!B824="","",OPTIMIZACION!$B$5*RETORNOS!B824+OPTIMIZACION!$B$6*RETORNOS!C824+OPTIMIZACION!$B$7*RETORNOS!D824+OPTIMIZACION!$B$8*RETORNOS!E824+OPTIMIZACION!$B$9*RETORNOS!F824+OPTIMIZACION!$B$10*RETORNOS!G824)</f>
        <v>0.00614049126</v>
      </c>
      <c r="C824" s="7">
        <f>IF(RETORNOS!H824="","",RETORNOS!H824)</f>
        <v>0.005653334756</v>
      </c>
      <c r="D824" s="7">
        <f>IF(RETORNOS!I824="","",RETORNOS!I824)</f>
        <v>0.002779385916</v>
      </c>
      <c r="E824" s="7">
        <f t="shared" si="2"/>
        <v>0.004216360336</v>
      </c>
      <c r="F824" s="7">
        <f t="shared" si="3"/>
        <v>0.0004871565035</v>
      </c>
      <c r="G824" s="7">
        <f t="shared" si="4"/>
        <v>0.001924130924</v>
      </c>
      <c r="H824" s="5">
        <f t="shared" ref="H824:K824" si="824">IF(B824="","",H823*(1+B824))</f>
        <v>287.2317317</v>
      </c>
      <c r="I824" s="5">
        <f t="shared" si="824"/>
        <v>219.3449221</v>
      </c>
      <c r="J824" s="5">
        <f t="shared" si="824"/>
        <v>130.2368623</v>
      </c>
      <c r="K824" s="5">
        <f t="shared" si="824"/>
        <v>174.5715024</v>
      </c>
      <c r="L824" s="7">
        <f t="shared" si="6"/>
        <v>0</v>
      </c>
    </row>
    <row r="825" ht="15.75" customHeight="1">
      <c r="A825" s="4">
        <f>IF(RETORNOS!A825="","",RETORNOS!A825)</f>
        <v>45608</v>
      </c>
      <c r="B825" s="7">
        <f>IF(RETORNOS!B825="","",OPTIMIZACION!$B$5*RETORNOS!B825+OPTIMIZACION!$B$6*RETORNOS!C825+OPTIMIZACION!$B$7*RETORNOS!D825+OPTIMIZACION!$B$8*RETORNOS!E825+OPTIMIZACION!$B$9*RETORNOS!F825+OPTIMIZACION!$B$10*RETORNOS!G825)</f>
        <v>-0.006026134865</v>
      </c>
      <c r="C825" s="7">
        <f>IF(RETORNOS!H825="","",RETORNOS!H825)</f>
        <v>-0.005303227917</v>
      </c>
      <c r="D825" s="7">
        <f>IF(RETORNOS!I825="","",RETORNOS!I825)</f>
        <v>-0.01146029258</v>
      </c>
      <c r="E825" s="7">
        <f t="shared" si="2"/>
        <v>-0.008381760249</v>
      </c>
      <c r="F825" s="7">
        <f t="shared" si="3"/>
        <v>-0.0007229069481</v>
      </c>
      <c r="G825" s="7">
        <f t="shared" si="4"/>
        <v>0.002355625384</v>
      </c>
      <c r="H825" s="5">
        <f t="shared" ref="H825:K825" si="825">IF(B825="","",H824*(1+B825))</f>
        <v>285.5008345</v>
      </c>
      <c r="I825" s="5">
        <f t="shared" si="825"/>
        <v>218.1816859</v>
      </c>
      <c r="J825" s="5">
        <f t="shared" si="825"/>
        <v>128.7443098</v>
      </c>
      <c r="K825" s="5">
        <f t="shared" si="825"/>
        <v>173.1082859</v>
      </c>
      <c r="L825" s="7">
        <f t="shared" si="6"/>
        <v>-0.006026134865</v>
      </c>
    </row>
    <row r="826" ht="15.75" customHeight="1">
      <c r="A826" s="4">
        <f>IF(RETORNOS!A826="","",RETORNOS!A826)</f>
        <v>45609</v>
      </c>
      <c r="B826" s="7">
        <f>IF(RETORNOS!B826="","",OPTIMIZACION!$B$5*RETORNOS!B826+OPTIMIZACION!$B$6*RETORNOS!C826+OPTIMIZACION!$B$7*RETORNOS!D826+OPTIMIZACION!$B$8*RETORNOS!E826+OPTIMIZACION!$B$9*RETORNOS!F826+OPTIMIZACION!$B$10*RETORNOS!G826)</f>
        <v>0.001679751259</v>
      </c>
      <c r="C826" s="7">
        <f>IF(RETORNOS!H826="","",RETORNOS!H826)</f>
        <v>0.00778279296</v>
      </c>
      <c r="D826" s="7">
        <f>IF(RETORNOS!I826="","",RETORNOS!I826)</f>
        <v>-0.001783765357</v>
      </c>
      <c r="E826" s="7">
        <f t="shared" si="2"/>
        <v>0.002999513802</v>
      </c>
      <c r="F826" s="7">
        <f t="shared" si="3"/>
        <v>-0.006103041701</v>
      </c>
      <c r="G826" s="7">
        <f t="shared" si="4"/>
        <v>-0.001319762542</v>
      </c>
      <c r="H826" s="5">
        <f t="shared" ref="H826:K826" si="826">IF(B826="","",H825*(1+B826))</f>
        <v>285.9804049</v>
      </c>
      <c r="I826" s="5">
        <f t="shared" si="826"/>
        <v>219.8797488</v>
      </c>
      <c r="J826" s="5">
        <f t="shared" si="826"/>
        <v>128.5146602</v>
      </c>
      <c r="K826" s="5">
        <f t="shared" si="826"/>
        <v>173.6275266</v>
      </c>
      <c r="L826" s="7">
        <f t="shared" si="6"/>
        <v>-0.004356506013</v>
      </c>
    </row>
    <row r="827" ht="15.75" customHeight="1">
      <c r="A827" s="4">
        <f>IF(RETORNOS!A827="","",RETORNOS!A827)</f>
        <v>45610</v>
      </c>
      <c r="B827" s="7">
        <f>IF(RETORNOS!B827="","",OPTIMIZACION!$B$5*RETORNOS!B827+OPTIMIZACION!$B$6*RETORNOS!C827+OPTIMIZACION!$B$7*RETORNOS!D827+OPTIMIZACION!$B$8*RETORNOS!E827+OPTIMIZACION!$B$9*RETORNOS!F827+OPTIMIZACION!$B$10*RETORNOS!G827)</f>
        <v>-0.004376452388</v>
      </c>
      <c r="C827" s="7">
        <f>IF(RETORNOS!H827="","",RETORNOS!H827)</f>
        <v>0.003812829543</v>
      </c>
      <c r="D827" s="7">
        <f>IF(RETORNOS!I827="","",RETORNOS!I827)</f>
        <v>-0.00344683352</v>
      </c>
      <c r="E827" s="7">
        <f t="shared" si="2"/>
        <v>0.0001829980117</v>
      </c>
      <c r="F827" s="7">
        <f t="shared" si="3"/>
        <v>-0.00818928193</v>
      </c>
      <c r="G827" s="7">
        <f t="shared" si="4"/>
        <v>-0.004559450399</v>
      </c>
      <c r="H827" s="5">
        <f t="shared" ref="H827:K827" si="827">IF(B827="","",H826*(1+B827))</f>
        <v>284.7288253</v>
      </c>
      <c r="I827" s="5">
        <f t="shared" si="827"/>
        <v>220.7181128</v>
      </c>
      <c r="J827" s="5">
        <f t="shared" si="827"/>
        <v>128.0716915</v>
      </c>
      <c r="K827" s="5">
        <f t="shared" si="827"/>
        <v>173.6593001</v>
      </c>
      <c r="L827" s="7">
        <f t="shared" si="6"/>
        <v>-0.00871389236</v>
      </c>
    </row>
    <row r="828" ht="15.75" customHeight="1">
      <c r="A828" s="4">
        <f>IF(RETORNOS!A828="","",RETORNOS!A828)</f>
        <v>45611</v>
      </c>
      <c r="B828" s="7">
        <f>IF(RETORNOS!B828="","",OPTIMIZACION!$B$5*RETORNOS!B828+OPTIMIZACION!$B$6*RETORNOS!C828+OPTIMIZACION!$B$7*RETORNOS!D828+OPTIMIZACION!$B$8*RETORNOS!E828+OPTIMIZACION!$B$9*RETORNOS!F828+OPTIMIZACION!$B$10*RETORNOS!G828)</f>
        <v>0.006486250217</v>
      </c>
      <c r="C828" s="7">
        <f>IF(RETORNOS!H828="","",RETORNOS!H828)</f>
        <v>-0.001478477498</v>
      </c>
      <c r="D828" s="7">
        <f>IF(RETORNOS!I828="","",RETORNOS!I828)</f>
        <v>0.01498528302</v>
      </c>
      <c r="E828" s="7">
        <f t="shared" si="2"/>
        <v>0.006753402763</v>
      </c>
      <c r="F828" s="7">
        <f t="shared" si="3"/>
        <v>0.007964727715</v>
      </c>
      <c r="G828" s="7">
        <f t="shared" si="4"/>
        <v>-0.0002671525452</v>
      </c>
      <c r="H828" s="5">
        <f t="shared" ref="H828:K828" si="828">IF(B828="","",H827*(1+B828))</f>
        <v>286.5756477</v>
      </c>
      <c r="I828" s="5">
        <f t="shared" si="828"/>
        <v>220.3917861</v>
      </c>
      <c r="J828" s="5">
        <f t="shared" si="828"/>
        <v>129.9908821</v>
      </c>
      <c r="K828" s="5">
        <f t="shared" si="828"/>
        <v>174.8320913</v>
      </c>
      <c r="L828" s="7">
        <f t="shared" si="6"/>
        <v>-0.002284162629</v>
      </c>
    </row>
    <row r="829" ht="15.75" customHeight="1">
      <c r="A829" s="4">
        <f>IF(RETORNOS!A829="","",RETORNOS!A829)</f>
        <v>45614</v>
      </c>
      <c r="B829" s="7">
        <f>IF(RETORNOS!B829="","",OPTIMIZACION!$B$5*RETORNOS!B829+OPTIMIZACION!$B$6*RETORNOS!C829+OPTIMIZACION!$B$7*RETORNOS!D829+OPTIMIZACION!$B$8*RETORNOS!E829+OPTIMIZACION!$B$9*RETORNOS!F829+OPTIMIZACION!$B$10*RETORNOS!G829)</f>
        <v>0.01774247053</v>
      </c>
      <c r="C829" s="7">
        <f>IF(RETORNOS!H829="","",RETORNOS!H829)</f>
        <v>0.01330179858</v>
      </c>
      <c r="D829" s="7">
        <f>IF(RETORNOS!I829="","",RETORNOS!I829)</f>
        <v>0.008707668873</v>
      </c>
      <c r="E829" s="7">
        <f t="shared" si="2"/>
        <v>0.01100473373</v>
      </c>
      <c r="F829" s="7">
        <f t="shared" si="3"/>
        <v>0.004440671948</v>
      </c>
      <c r="G829" s="7">
        <f t="shared" si="4"/>
        <v>0.006737736801</v>
      </c>
      <c r="H829" s="5">
        <f t="shared" ref="H829:K829" si="829">IF(B829="","",H828*(1+B829))</f>
        <v>291.6602077</v>
      </c>
      <c r="I829" s="5">
        <f t="shared" si="829"/>
        <v>223.3233932</v>
      </c>
      <c r="J829" s="5">
        <f t="shared" si="829"/>
        <v>131.1227996</v>
      </c>
      <c r="K829" s="5">
        <f t="shared" si="829"/>
        <v>176.7560719</v>
      </c>
      <c r="L829" s="7">
        <f t="shared" si="6"/>
        <v>0</v>
      </c>
    </row>
    <row r="830" ht="15.75" customHeight="1">
      <c r="A830" s="4">
        <f>IF(RETORNOS!A830="","",RETORNOS!A830)</f>
        <v>45615</v>
      </c>
      <c r="B830" s="7">
        <f>IF(RETORNOS!B830="","",OPTIMIZACION!$B$5*RETORNOS!B830+OPTIMIZACION!$B$6*RETORNOS!C830+OPTIMIZACION!$B$7*RETORNOS!D830+OPTIMIZACION!$B$8*RETORNOS!E830+OPTIMIZACION!$B$9*RETORNOS!F830+OPTIMIZACION!$B$10*RETORNOS!G830)</f>
        <v>0.008773087353</v>
      </c>
      <c r="C830" s="7">
        <f>IF(RETORNOS!H830="","",RETORNOS!H830)</f>
        <v>-0.006352983579</v>
      </c>
      <c r="D830" s="7">
        <f>IF(RETORNOS!I830="","",RETORNOS!I830)</f>
        <v>0.006377723117</v>
      </c>
      <c r="E830" s="7">
        <f t="shared" si="2"/>
        <v>0.00001236976872</v>
      </c>
      <c r="F830" s="7">
        <f t="shared" si="3"/>
        <v>0.01512607093</v>
      </c>
      <c r="G830" s="7">
        <f t="shared" si="4"/>
        <v>0.008760717584</v>
      </c>
      <c r="H830" s="5">
        <f t="shared" ref="H830:K830" si="830">IF(B830="","",H829*(1+B830))</f>
        <v>294.2189682</v>
      </c>
      <c r="I830" s="5">
        <f t="shared" si="830"/>
        <v>221.9046234</v>
      </c>
      <c r="J830" s="5">
        <f t="shared" si="830"/>
        <v>131.9590645</v>
      </c>
      <c r="K830" s="5">
        <f t="shared" si="830"/>
        <v>176.7582583</v>
      </c>
      <c r="L830" s="7">
        <f t="shared" si="6"/>
        <v>0</v>
      </c>
    </row>
    <row r="831" ht="15.75" customHeight="1">
      <c r="A831" s="4">
        <f>IF(RETORNOS!A831="","",RETORNOS!A831)</f>
        <v>45616</v>
      </c>
      <c r="B831" s="7">
        <f>IF(RETORNOS!B831="","",OPTIMIZACION!$B$5*RETORNOS!B831+OPTIMIZACION!$B$6*RETORNOS!C831+OPTIMIZACION!$B$7*RETORNOS!D831+OPTIMIZACION!$B$8*RETORNOS!E831+OPTIMIZACION!$B$9*RETORNOS!F831+OPTIMIZACION!$B$10*RETORNOS!G831)</f>
        <v>0.006517007545</v>
      </c>
      <c r="C831" s="7">
        <f>IF(RETORNOS!H831="","",RETORNOS!H831)</f>
        <v>0.0100623846</v>
      </c>
      <c r="D831" s="7">
        <f>IF(RETORNOS!I831="","",RETORNOS!I831)</f>
        <v>0.0004975996617</v>
      </c>
      <c r="E831" s="7">
        <f t="shared" si="2"/>
        <v>0.005279992131</v>
      </c>
      <c r="F831" s="7">
        <f t="shared" si="3"/>
        <v>-0.003545377055</v>
      </c>
      <c r="G831" s="7">
        <f t="shared" si="4"/>
        <v>0.001237015414</v>
      </c>
      <c r="H831" s="5">
        <f t="shared" ref="H831:K831" si="831">IF(B831="","",H830*(1+B831))</f>
        <v>296.1363954</v>
      </c>
      <c r="I831" s="5">
        <f t="shared" si="831"/>
        <v>224.137513</v>
      </c>
      <c r="J831" s="5">
        <f t="shared" si="831"/>
        <v>132.0247273</v>
      </c>
      <c r="K831" s="5">
        <f t="shared" si="831"/>
        <v>177.6915405</v>
      </c>
      <c r="L831" s="7">
        <f t="shared" si="6"/>
        <v>0</v>
      </c>
    </row>
    <row r="832" ht="15.75" customHeight="1">
      <c r="A832" s="4">
        <f>IF(RETORNOS!A832="","",RETORNOS!A832)</f>
        <v>45617</v>
      </c>
      <c r="B832" s="7">
        <f>IF(RETORNOS!B832="","",OPTIMIZACION!$B$5*RETORNOS!B832+OPTIMIZACION!$B$6*RETORNOS!C832+OPTIMIZACION!$B$7*RETORNOS!D832+OPTIMIZACION!$B$8*RETORNOS!E832+OPTIMIZACION!$B$9*RETORNOS!F832+OPTIMIZACION!$B$10*RETORNOS!G832)</f>
        <v>0.01883660568</v>
      </c>
      <c r="C832" s="7">
        <f>IF(RETORNOS!H832="","",RETORNOS!H832)</f>
        <v>0.008097349919</v>
      </c>
      <c r="D832" s="7">
        <f>IF(RETORNOS!I832="","",RETORNOS!I832)</f>
        <v>0.01739186456</v>
      </c>
      <c r="E832" s="7">
        <f t="shared" si="2"/>
        <v>0.01274460724</v>
      </c>
      <c r="F832" s="7">
        <f t="shared" si="3"/>
        <v>0.01073925576</v>
      </c>
      <c r="G832" s="7">
        <f t="shared" si="4"/>
        <v>0.006091998438</v>
      </c>
      <c r="H832" s="5">
        <f t="shared" ref="H832:K832" si="832">IF(B832="","",H831*(1+B832))</f>
        <v>301.7145999</v>
      </c>
      <c r="I832" s="5">
        <f t="shared" si="832"/>
        <v>225.9524329</v>
      </c>
      <c r="J832" s="5">
        <f t="shared" si="832"/>
        <v>134.3208835</v>
      </c>
      <c r="K832" s="5">
        <f t="shared" si="832"/>
        <v>179.9561494</v>
      </c>
      <c r="L832" s="7">
        <f t="shared" si="6"/>
        <v>0</v>
      </c>
    </row>
    <row r="833" ht="15.75" customHeight="1">
      <c r="A833" s="4">
        <f>IF(RETORNOS!A833="","",RETORNOS!A833)</f>
        <v>45618</v>
      </c>
      <c r="B833" s="7">
        <f>IF(RETORNOS!B833="","",OPTIMIZACION!$B$5*RETORNOS!B833+OPTIMIZACION!$B$6*RETORNOS!C833+OPTIMIZACION!$B$7*RETORNOS!D833+OPTIMIZACION!$B$8*RETORNOS!E833+OPTIMIZACION!$B$9*RETORNOS!F833+OPTIMIZACION!$B$10*RETORNOS!G833)</f>
        <v>0.003638640088</v>
      </c>
      <c r="C833" s="7">
        <f>IF(RETORNOS!H833="","",RETORNOS!H833)</f>
        <v>0.001542941632</v>
      </c>
      <c r="D833" s="7">
        <f>IF(RETORNOS!I833="","",RETORNOS!I833)</f>
        <v>-0.005369753093</v>
      </c>
      <c r="E833" s="7">
        <f t="shared" si="2"/>
        <v>-0.00191340573</v>
      </c>
      <c r="F833" s="7">
        <f t="shared" si="3"/>
        <v>0.002095698456</v>
      </c>
      <c r="G833" s="7">
        <f t="shared" si="4"/>
        <v>0.005552045819</v>
      </c>
      <c r="H833" s="5">
        <f t="shared" ref="H833:K833" si="833">IF(B833="","",H832*(1+B833))</f>
        <v>302.8124308</v>
      </c>
      <c r="I833" s="5">
        <f t="shared" si="833"/>
        <v>226.3010643</v>
      </c>
      <c r="J833" s="5">
        <f t="shared" si="833"/>
        <v>133.5996135</v>
      </c>
      <c r="K833" s="5">
        <f t="shared" si="833"/>
        <v>179.6118203</v>
      </c>
      <c r="L833" s="7">
        <f t="shared" si="6"/>
        <v>0</v>
      </c>
    </row>
    <row r="834" ht="15.75" customHeight="1">
      <c r="A834" s="4">
        <f>IF(RETORNOS!A834="","",RETORNOS!A834)</f>
        <v>45621</v>
      </c>
      <c r="B834" s="7">
        <f>IF(RETORNOS!B834="","",OPTIMIZACION!$B$5*RETORNOS!B834+OPTIMIZACION!$B$6*RETORNOS!C834+OPTIMIZACION!$B$7*RETORNOS!D834+OPTIMIZACION!$B$8*RETORNOS!E834+OPTIMIZACION!$B$9*RETORNOS!F834+OPTIMIZACION!$B$10*RETORNOS!G834)</f>
        <v>-0.01321280122</v>
      </c>
      <c r="C834" s="7">
        <f>IF(RETORNOS!H834="","",RETORNOS!H834)</f>
        <v>-0.01973808259</v>
      </c>
      <c r="D834" s="7">
        <f>IF(RETORNOS!I834="","",RETORNOS!I834)</f>
        <v>0.001841175092</v>
      </c>
      <c r="E834" s="7">
        <f t="shared" si="2"/>
        <v>-0.008948453747</v>
      </c>
      <c r="F834" s="7">
        <f t="shared" si="3"/>
        <v>0.006525281367</v>
      </c>
      <c r="G834" s="7">
        <f t="shared" si="4"/>
        <v>-0.004264347472</v>
      </c>
      <c r="H834" s="5">
        <f t="shared" ref="H834:K834" si="834">IF(B834="","",H833*(1+B834))</f>
        <v>298.8114303</v>
      </c>
      <c r="I834" s="5">
        <f t="shared" si="834"/>
        <v>221.8343152</v>
      </c>
      <c r="J834" s="5">
        <f t="shared" si="834"/>
        <v>133.8455938</v>
      </c>
      <c r="K834" s="5">
        <f t="shared" si="834"/>
        <v>178.0045722</v>
      </c>
      <c r="L834" s="7">
        <f t="shared" si="6"/>
        <v>-0.01321280122</v>
      </c>
    </row>
    <row r="835" ht="15.75" customHeight="1">
      <c r="A835" s="4">
        <f>IF(RETORNOS!A835="","",RETORNOS!A835)</f>
        <v>45622</v>
      </c>
      <c r="B835" s="7">
        <f>IF(RETORNOS!B835="","",OPTIMIZACION!$B$5*RETORNOS!B835+OPTIMIZACION!$B$6*RETORNOS!C835+OPTIMIZACION!$B$7*RETORNOS!D835+OPTIMIZACION!$B$8*RETORNOS!E835+OPTIMIZACION!$B$9*RETORNOS!F835+OPTIMIZACION!$B$10*RETORNOS!G835)</f>
        <v>0.006674569208</v>
      </c>
      <c r="C835" s="7">
        <f>IF(RETORNOS!H835="","",RETORNOS!H835)</f>
        <v>-0.001361748634</v>
      </c>
      <c r="D835" s="7">
        <f>IF(RETORNOS!I835="","",RETORNOS!I835)</f>
        <v>0.01593006733</v>
      </c>
      <c r="E835" s="7">
        <f t="shared" si="2"/>
        <v>0.00728415935</v>
      </c>
      <c r="F835" s="7">
        <f t="shared" si="3"/>
        <v>0.008036317842</v>
      </c>
      <c r="G835" s="7">
        <f t="shared" si="4"/>
        <v>-0.0006095901425</v>
      </c>
      <c r="H835" s="5">
        <f t="shared" ref="H835:K835" si="835">IF(B835="","",H834*(1+B835))</f>
        <v>300.8058679</v>
      </c>
      <c r="I835" s="5">
        <f t="shared" si="835"/>
        <v>221.5322326</v>
      </c>
      <c r="J835" s="5">
        <f t="shared" si="835"/>
        <v>135.9777631</v>
      </c>
      <c r="K835" s="5">
        <f t="shared" si="835"/>
        <v>179.3011859</v>
      </c>
      <c r="L835" s="7">
        <f t="shared" si="6"/>
        <v>-0.006626421767</v>
      </c>
    </row>
    <row r="836" ht="15.75" customHeight="1">
      <c r="A836" s="4">
        <f>IF(RETORNOS!A836="","",RETORNOS!A836)</f>
        <v>45623</v>
      </c>
      <c r="B836" s="7">
        <f>IF(RETORNOS!B836="","",OPTIMIZACION!$B$5*RETORNOS!B836+OPTIMIZACION!$B$6*RETORNOS!C836+OPTIMIZACION!$B$7*RETORNOS!D836+OPTIMIZACION!$B$8*RETORNOS!E836+OPTIMIZACION!$B$9*RETORNOS!F836+OPTIMIZACION!$B$10*RETORNOS!G836)</f>
        <v>-0.007508701222</v>
      </c>
      <c r="C836" s="7">
        <f>IF(RETORNOS!H836="","",RETORNOS!H836)</f>
        <v>-0.001050610996</v>
      </c>
      <c r="D836" s="7">
        <f>IF(RETORNOS!I836="","",RETORNOS!I836)</f>
        <v>0</v>
      </c>
      <c r="E836" s="7">
        <f t="shared" si="2"/>
        <v>-0.000525305498</v>
      </c>
      <c r="F836" s="7">
        <f t="shared" si="3"/>
        <v>-0.006458090226</v>
      </c>
      <c r="G836" s="7">
        <f t="shared" si="4"/>
        <v>-0.006983395724</v>
      </c>
      <c r="H836" s="5">
        <f t="shared" ref="H836:K836" si="836">IF(B836="","",H835*(1+B836))</f>
        <v>298.5472065</v>
      </c>
      <c r="I836" s="5">
        <f t="shared" si="836"/>
        <v>221.2994884</v>
      </c>
      <c r="J836" s="5">
        <f t="shared" si="836"/>
        <v>135.9777631</v>
      </c>
      <c r="K836" s="5">
        <f t="shared" si="836"/>
        <v>179.206998</v>
      </c>
      <c r="L836" s="7">
        <f t="shared" si="6"/>
        <v>-0.01408536717</v>
      </c>
    </row>
    <row r="837" ht="15.75" customHeight="1">
      <c r="A837" s="4">
        <f>IF(RETORNOS!A837="","",RETORNOS!A837)</f>
        <v>45625</v>
      </c>
      <c r="B837" s="7">
        <f>IF(RETORNOS!B837="","",OPTIMIZACION!$B$5*RETORNOS!B837+OPTIMIZACION!$B$6*RETORNOS!C837+OPTIMIZACION!$B$7*RETORNOS!D837+OPTIMIZACION!$B$8*RETORNOS!E837+OPTIMIZACION!$B$9*RETORNOS!F837+OPTIMIZACION!$B$10*RETORNOS!G837)</f>
        <v>0.006098738495</v>
      </c>
      <c r="C837" s="7">
        <f>IF(RETORNOS!H837="","",RETORNOS!H837)</f>
        <v>0.004312035355</v>
      </c>
      <c r="D837" s="7">
        <f>IF(RETORNOS!I837="","",RETORNOS!I837)</f>
        <v>0.0003627956785</v>
      </c>
      <c r="E837" s="7">
        <f t="shared" si="2"/>
        <v>0.002337415517</v>
      </c>
      <c r="F837" s="7">
        <f t="shared" si="3"/>
        <v>0.00178670314</v>
      </c>
      <c r="G837" s="7">
        <f t="shared" si="4"/>
        <v>0.003761322978</v>
      </c>
      <c r="H837" s="5">
        <f t="shared" ref="H837:K837" si="837">IF(B837="","",H836*(1+B837))</f>
        <v>300.3679678</v>
      </c>
      <c r="I837" s="5">
        <f t="shared" si="837"/>
        <v>222.2537397</v>
      </c>
      <c r="J837" s="5">
        <f t="shared" si="837"/>
        <v>136.0270953</v>
      </c>
      <c r="K837" s="5">
        <f t="shared" si="837"/>
        <v>179.6258792</v>
      </c>
      <c r="L837" s="7">
        <f t="shared" si="6"/>
        <v>-0.008072531644</v>
      </c>
    </row>
    <row r="838" ht="15.75" customHeight="1">
      <c r="A838" s="4">
        <f>IF(RETORNOS!A838="","",RETORNOS!A838)</f>
        <v>45628</v>
      </c>
      <c r="B838" s="7">
        <f>IF(RETORNOS!B838="","",OPTIMIZACION!$B$5*RETORNOS!B838+OPTIMIZACION!$B$6*RETORNOS!C838+OPTIMIZACION!$B$7*RETORNOS!D838+OPTIMIZACION!$B$8*RETORNOS!E838+OPTIMIZACION!$B$9*RETORNOS!F838+OPTIMIZACION!$B$10*RETORNOS!G838)</f>
        <v>-0.01575801174</v>
      </c>
      <c r="C838" s="7">
        <f>IF(RETORNOS!H838="","",RETORNOS!H838)</f>
        <v>-0.01057454212</v>
      </c>
      <c r="D838" s="7">
        <f>IF(RETORNOS!I838="","",RETORNOS!I838)</f>
        <v>-0.02146221165</v>
      </c>
      <c r="E838" s="7">
        <f t="shared" si="2"/>
        <v>-0.01601837689</v>
      </c>
      <c r="F838" s="7">
        <f t="shared" si="3"/>
        <v>-0.00518346962</v>
      </c>
      <c r="G838" s="7">
        <f t="shared" si="4"/>
        <v>0.0002603651445</v>
      </c>
      <c r="H838" s="5">
        <f t="shared" ref="H838:K838" si="838">IF(B838="","",H837*(1+B838))</f>
        <v>295.6347659</v>
      </c>
      <c r="I838" s="5">
        <f t="shared" si="838"/>
        <v>219.9035081</v>
      </c>
      <c r="J838" s="5">
        <f t="shared" si="838"/>
        <v>133.1076529</v>
      </c>
      <c r="K838" s="5">
        <f t="shared" si="838"/>
        <v>176.7485642</v>
      </c>
      <c r="L838" s="7">
        <f t="shared" si="6"/>
        <v>-0.02370333634</v>
      </c>
    </row>
    <row r="839" ht="15.75" customHeight="1">
      <c r="A839" s="4">
        <f>IF(RETORNOS!A839="","",RETORNOS!A839)</f>
        <v>45629</v>
      </c>
      <c r="B839" s="7">
        <f>IF(RETORNOS!B839="","",OPTIMIZACION!$B$5*RETORNOS!B839+OPTIMIZACION!$B$6*RETORNOS!C839+OPTIMIZACION!$B$7*RETORNOS!D839+OPTIMIZACION!$B$8*RETORNOS!E839+OPTIMIZACION!$B$9*RETORNOS!F839+OPTIMIZACION!$B$10*RETORNOS!G839)</f>
        <v>-0.003881962759</v>
      </c>
      <c r="C839" s="7">
        <f>IF(RETORNOS!H839="","",RETORNOS!H839)</f>
        <v>-0.0001080442232</v>
      </c>
      <c r="D839" s="7">
        <f>IF(RETORNOS!I839="","",RETORNOS!I839)</f>
        <v>-0.008629018654</v>
      </c>
      <c r="E839" s="7">
        <f t="shared" si="2"/>
        <v>-0.004368531438</v>
      </c>
      <c r="F839" s="7">
        <f t="shared" si="3"/>
        <v>-0.003773918536</v>
      </c>
      <c r="G839" s="7">
        <f t="shared" si="4"/>
        <v>0.0004865686796</v>
      </c>
      <c r="H839" s="5">
        <f t="shared" ref="H839:K839" si="839">IF(B839="","",H838*(1+B839))</f>
        <v>294.4871227</v>
      </c>
      <c r="I839" s="5">
        <f t="shared" si="839"/>
        <v>219.8797488</v>
      </c>
      <c r="J839" s="5">
        <f t="shared" si="839"/>
        <v>131.9590645</v>
      </c>
      <c r="K839" s="5">
        <f t="shared" si="839"/>
        <v>175.9764325</v>
      </c>
      <c r="L839" s="7">
        <f t="shared" si="6"/>
        <v>-0.02749328363</v>
      </c>
    </row>
    <row r="840" ht="15.75" customHeight="1">
      <c r="A840" s="4">
        <f>IF(RETORNOS!A840="","",RETORNOS!A840)</f>
        <v>45630</v>
      </c>
      <c r="B840" s="7">
        <f>IF(RETORNOS!B840="","",OPTIMIZACION!$B$5*RETORNOS!B840+OPTIMIZACION!$B$6*RETORNOS!C840+OPTIMIZACION!$B$7*RETORNOS!D840+OPTIMIZACION!$B$8*RETORNOS!E840+OPTIMIZACION!$B$9*RETORNOS!F840+OPTIMIZACION!$B$10*RETORNOS!G840)</f>
        <v>-0.008212418431</v>
      </c>
      <c r="C840" s="7">
        <f>IF(RETORNOS!H840="","",RETORNOS!H840)</f>
        <v>-0.02412292792</v>
      </c>
      <c r="D840" s="7">
        <f>IF(RETORNOS!I840="","",RETORNOS!I840)</f>
        <v>-0.0001211771197</v>
      </c>
      <c r="E840" s="7">
        <f t="shared" si="2"/>
        <v>-0.01212205252</v>
      </c>
      <c r="F840" s="7">
        <f t="shared" si="3"/>
        <v>0.01591050949</v>
      </c>
      <c r="G840" s="7">
        <f t="shared" si="4"/>
        <v>0.003909634088</v>
      </c>
      <c r="H840" s="5">
        <f t="shared" ref="H840:K840" si="840">IF(B840="","",H839*(1+B840))</f>
        <v>292.0686712</v>
      </c>
      <c r="I840" s="5">
        <f t="shared" si="840"/>
        <v>214.5756055</v>
      </c>
      <c r="J840" s="5">
        <f t="shared" si="840"/>
        <v>131.9430741</v>
      </c>
      <c r="K840" s="5">
        <f t="shared" si="840"/>
        <v>173.843237</v>
      </c>
      <c r="L840" s="7">
        <f t="shared" si="6"/>
        <v>-0.03547991571</v>
      </c>
    </row>
    <row r="841" ht="15.75" customHeight="1">
      <c r="A841" s="4">
        <f>IF(RETORNOS!A841="","",RETORNOS!A841)</f>
        <v>45631</v>
      </c>
      <c r="B841" s="7">
        <f>IF(RETORNOS!B841="","",OPTIMIZACION!$B$5*RETORNOS!B841+OPTIMIZACION!$B$6*RETORNOS!C841+OPTIMIZACION!$B$7*RETORNOS!D841+OPTIMIZACION!$B$8*RETORNOS!E841+OPTIMIZACION!$B$9*RETORNOS!F841+OPTIMIZACION!$B$10*RETORNOS!G841)</f>
        <v>0.003367023799</v>
      </c>
      <c r="C841" s="7">
        <f>IF(RETORNOS!H841="","",RETORNOS!H841)</f>
        <v>0.003904820012</v>
      </c>
      <c r="D841" s="7">
        <f>IF(RETORNOS!I841="","",RETORNOS!I841)</f>
        <v>0.003107151606</v>
      </c>
      <c r="E841" s="7">
        <f t="shared" si="2"/>
        <v>0.003505985809</v>
      </c>
      <c r="F841" s="7">
        <f t="shared" si="3"/>
        <v>-0.0005377962136</v>
      </c>
      <c r="G841" s="7">
        <f t="shared" si="4"/>
        <v>-0.0001389620104</v>
      </c>
      <c r="H841" s="5">
        <f t="shared" ref="H841:K841" si="841">IF(B841="","",H840*(1+B841))</f>
        <v>293.0520734</v>
      </c>
      <c r="I841" s="5">
        <f t="shared" si="841"/>
        <v>215.4134846</v>
      </c>
      <c r="J841" s="5">
        <f t="shared" si="841"/>
        <v>132.3530412</v>
      </c>
      <c r="K841" s="5">
        <f t="shared" si="841"/>
        <v>174.4527289</v>
      </c>
      <c r="L841" s="7">
        <f t="shared" si="6"/>
        <v>-0.03223235363</v>
      </c>
    </row>
    <row r="842" ht="15.75" customHeight="1">
      <c r="A842" s="4">
        <f>IF(RETORNOS!A842="","",RETORNOS!A842)</f>
        <v>45632</v>
      </c>
      <c r="B842" s="7">
        <f>IF(RETORNOS!B842="","",OPTIMIZACION!$B$5*RETORNOS!B842+OPTIMIZACION!$B$6*RETORNOS!C842+OPTIMIZACION!$B$7*RETORNOS!D842+OPTIMIZACION!$B$8*RETORNOS!E842+OPTIMIZACION!$B$9*RETORNOS!F842+OPTIMIZACION!$B$10*RETORNOS!G842)</f>
        <v>-0.00717050031</v>
      </c>
      <c r="C842" s="7">
        <f>IF(RETORNOS!H842="","",RETORNOS!H842)</f>
        <v>-0.01695861414</v>
      </c>
      <c r="D842" s="7">
        <f>IF(RETORNOS!I842="","",RETORNOS!I842)</f>
        <v>-0.01239267904</v>
      </c>
      <c r="E842" s="7">
        <f t="shared" si="2"/>
        <v>-0.01467564659</v>
      </c>
      <c r="F842" s="7">
        <f t="shared" si="3"/>
        <v>0.009788113828</v>
      </c>
      <c r="G842" s="7">
        <f t="shared" si="4"/>
        <v>0.007505146279</v>
      </c>
      <c r="H842" s="5">
        <f t="shared" ref="H842:K842" si="842">IF(B842="","",H841*(1+B842))</f>
        <v>290.9507434</v>
      </c>
      <c r="I842" s="5">
        <f t="shared" si="842"/>
        <v>211.7603705</v>
      </c>
      <c r="J842" s="5">
        <f t="shared" si="842"/>
        <v>130.7128325</v>
      </c>
      <c r="K842" s="5">
        <f t="shared" si="842"/>
        <v>171.8925223</v>
      </c>
      <c r="L842" s="7">
        <f t="shared" si="6"/>
        <v>-0.03917173184</v>
      </c>
    </row>
    <row r="843" ht="15.75" customHeight="1">
      <c r="A843" s="4">
        <f>IF(RETORNOS!A843="","",RETORNOS!A843)</f>
        <v>45635</v>
      </c>
      <c r="B843" s="7">
        <f>IF(RETORNOS!B843="","",OPTIMIZACION!$B$5*RETORNOS!B843+OPTIMIZACION!$B$6*RETORNOS!C843+OPTIMIZACION!$B$7*RETORNOS!D843+OPTIMIZACION!$B$8*RETORNOS!E843+OPTIMIZACION!$B$9*RETORNOS!F843+OPTIMIZACION!$B$10*RETORNOS!G843)</f>
        <v>-0.01562229435</v>
      </c>
      <c r="C843" s="7">
        <f>IF(RETORNOS!H843="","",RETORNOS!H843)</f>
        <v>-0.001646348724</v>
      </c>
      <c r="D843" s="7">
        <f>IF(RETORNOS!I843="","",RETORNOS!I843)</f>
        <v>-0.01254818466</v>
      </c>
      <c r="E843" s="7">
        <f t="shared" si="2"/>
        <v>-0.007097266694</v>
      </c>
      <c r="F843" s="7">
        <f t="shared" si="3"/>
        <v>-0.01397594562</v>
      </c>
      <c r="G843" s="7">
        <f t="shared" si="4"/>
        <v>-0.008525027654</v>
      </c>
      <c r="H843" s="5">
        <f t="shared" ref="H843:K843" si="843">IF(B843="","",H842*(1+B843))</f>
        <v>286.4054253</v>
      </c>
      <c r="I843" s="5">
        <f t="shared" si="843"/>
        <v>211.411739</v>
      </c>
      <c r="J843" s="5">
        <f t="shared" si="843"/>
        <v>129.0726237</v>
      </c>
      <c r="K843" s="5">
        <f t="shared" si="843"/>
        <v>170.6725552</v>
      </c>
      <c r="L843" s="7">
        <f t="shared" si="6"/>
        <v>-0.05418207386</v>
      </c>
    </row>
    <row r="844" ht="15.75" customHeight="1">
      <c r="A844" s="4">
        <f>IF(RETORNOS!A844="","",RETORNOS!A844)</f>
        <v>45636</v>
      </c>
      <c r="B844" s="7">
        <f>IF(RETORNOS!B844="","",OPTIMIZACION!$B$5*RETORNOS!B844+OPTIMIZACION!$B$6*RETORNOS!C844+OPTIMIZACION!$B$7*RETORNOS!D844+OPTIMIZACION!$B$8*RETORNOS!E844+OPTIMIZACION!$B$9*RETORNOS!F844+OPTIMIZACION!$B$10*RETORNOS!G844)</f>
        <v>-0.006473700275</v>
      </c>
      <c r="C844" s="7">
        <f>IF(RETORNOS!H844="","",RETORNOS!H844)</f>
        <v>-0.006823316246</v>
      </c>
      <c r="D844" s="7">
        <f>IF(RETORNOS!I844="","",RETORNOS!I844)</f>
        <v>-0.007248707094</v>
      </c>
      <c r="E844" s="7">
        <f t="shared" si="2"/>
        <v>-0.00703601167</v>
      </c>
      <c r="F844" s="7">
        <f t="shared" si="3"/>
        <v>0.0003496159717</v>
      </c>
      <c r="G844" s="7">
        <f t="shared" si="4"/>
        <v>0.0005623113957</v>
      </c>
      <c r="H844" s="5">
        <f t="shared" ref="H844:K844" si="844">IF(B844="","",H843*(1+B844))</f>
        <v>284.5513224</v>
      </c>
      <c r="I844" s="5">
        <f t="shared" si="844"/>
        <v>209.9692099</v>
      </c>
      <c r="J844" s="5">
        <f t="shared" si="844"/>
        <v>128.1370141</v>
      </c>
      <c r="K844" s="5">
        <f t="shared" si="844"/>
        <v>169.4717011</v>
      </c>
      <c r="L844" s="7">
        <f t="shared" si="6"/>
        <v>-0.06030501563</v>
      </c>
    </row>
    <row r="845" ht="15.75" customHeight="1">
      <c r="A845" s="4">
        <f>IF(RETORNOS!A845="","",RETORNOS!A845)</f>
        <v>45637</v>
      </c>
      <c r="B845" s="7">
        <f>IF(RETORNOS!B845="","",OPTIMIZACION!$B$5*RETORNOS!B845+OPTIMIZACION!$B$6*RETORNOS!C845+OPTIMIZACION!$B$7*RETORNOS!D845+OPTIMIZACION!$B$8*RETORNOS!E845+OPTIMIZACION!$B$9*RETORNOS!F845+OPTIMIZACION!$B$10*RETORNOS!G845)</f>
        <v>0.008234306584</v>
      </c>
      <c r="C845" s="7">
        <f>IF(RETORNOS!H845="","",RETORNOS!H845)</f>
        <v>0.001662702353</v>
      </c>
      <c r="D845" s="7">
        <f>IF(RETORNOS!I845="","",RETORNOS!I845)</f>
        <v>-0.006268785114</v>
      </c>
      <c r="E845" s="7">
        <f t="shared" si="2"/>
        <v>-0.002303041381</v>
      </c>
      <c r="F845" s="7">
        <f t="shared" si="3"/>
        <v>0.006571604231</v>
      </c>
      <c r="G845" s="7">
        <f t="shared" si="4"/>
        <v>0.01053734796</v>
      </c>
      <c r="H845" s="5">
        <f t="shared" ref="H845:K845" si="845">IF(B845="","",H844*(1+B845))</f>
        <v>286.8944052</v>
      </c>
      <c r="I845" s="5">
        <f t="shared" si="845"/>
        <v>210.3183262</v>
      </c>
      <c r="J845" s="5">
        <f t="shared" si="845"/>
        <v>127.3337507</v>
      </c>
      <c r="K845" s="5">
        <f t="shared" si="845"/>
        <v>169.0814008</v>
      </c>
      <c r="L845" s="7">
        <f t="shared" si="6"/>
        <v>-0.05256727903</v>
      </c>
    </row>
    <row r="846" ht="15.75" customHeight="1">
      <c r="A846" s="4">
        <f>IF(RETORNOS!A846="","",RETORNOS!A846)</f>
        <v>45638</v>
      </c>
      <c r="B846" s="7">
        <f>IF(RETORNOS!B846="","",OPTIMIZACION!$B$5*RETORNOS!B846+OPTIMIZACION!$B$6*RETORNOS!C846+OPTIMIZACION!$B$7*RETORNOS!D846+OPTIMIZACION!$B$8*RETORNOS!E846+OPTIMIZACION!$B$9*RETORNOS!F846+OPTIMIZACION!$B$10*RETORNOS!G846)</f>
        <v>-0.0001707900834</v>
      </c>
      <c r="C846" s="7">
        <f>IF(RETORNOS!H846="","",RETORNOS!H846)</f>
        <v>-0.008078386167</v>
      </c>
      <c r="D846" s="7">
        <f>IF(RETORNOS!I846="","",RETORNOS!I846)</f>
        <v>-0.0005156746387</v>
      </c>
      <c r="E846" s="7">
        <f t="shared" si="2"/>
        <v>-0.004297030403</v>
      </c>
      <c r="F846" s="7">
        <f t="shared" si="3"/>
        <v>0.007907596084</v>
      </c>
      <c r="G846" s="7">
        <f t="shared" si="4"/>
        <v>0.00412624032</v>
      </c>
      <c r="H846" s="5">
        <f t="shared" ref="H846:K846" si="846">IF(B846="","",H845*(1+B846))</f>
        <v>286.8454065</v>
      </c>
      <c r="I846" s="5">
        <f t="shared" si="846"/>
        <v>208.6192935</v>
      </c>
      <c r="J846" s="5">
        <f t="shared" si="846"/>
        <v>127.2680879</v>
      </c>
      <c r="K846" s="5">
        <f t="shared" si="846"/>
        <v>168.3548529</v>
      </c>
      <c r="L846" s="7">
        <f t="shared" si="6"/>
        <v>-0.05272909115</v>
      </c>
    </row>
    <row r="847" ht="15.75" customHeight="1">
      <c r="A847" s="4">
        <f>IF(RETORNOS!A847="","",RETORNOS!A847)</f>
        <v>45639</v>
      </c>
      <c r="B847" s="7">
        <f>IF(RETORNOS!B847="","",OPTIMIZACION!$B$5*RETORNOS!B847+OPTIMIZACION!$B$6*RETORNOS!C847+OPTIMIZACION!$B$7*RETORNOS!D847+OPTIMIZACION!$B$8*RETORNOS!E847+OPTIMIZACION!$B$9*RETORNOS!F847+OPTIMIZACION!$B$10*RETORNOS!G847)</f>
        <v>-0.004954330071</v>
      </c>
      <c r="C847" s="7">
        <f>IF(RETORNOS!H847="","",RETORNOS!H847)</f>
        <v>-0.005013410932</v>
      </c>
      <c r="D847" s="7">
        <f>IF(RETORNOS!I847="","",RETORNOS!I847)</f>
        <v>0.0006469308212</v>
      </c>
      <c r="E847" s="7">
        <f t="shared" si="2"/>
        <v>-0.002183240056</v>
      </c>
      <c r="F847" s="7">
        <f t="shared" si="3"/>
        <v>0.00005908086136</v>
      </c>
      <c r="G847" s="7">
        <f t="shared" si="4"/>
        <v>-0.002771090015</v>
      </c>
      <c r="H847" s="5">
        <f t="shared" ref="H847:K847" si="847">IF(B847="","",H846*(1+B847))</f>
        <v>285.4242797</v>
      </c>
      <c r="I847" s="5">
        <f t="shared" si="847"/>
        <v>207.5733993</v>
      </c>
      <c r="J847" s="5">
        <f t="shared" si="847"/>
        <v>127.3504215</v>
      </c>
      <c r="K847" s="5">
        <f t="shared" si="847"/>
        <v>167.9872938</v>
      </c>
      <c r="L847" s="7">
        <f t="shared" si="6"/>
        <v>-0.0574221839</v>
      </c>
    </row>
    <row r="848" ht="15.75" customHeight="1">
      <c r="A848" s="4">
        <f>IF(RETORNOS!A848="","",RETORNOS!A848)</f>
        <v>45642</v>
      </c>
      <c r="B848" s="7">
        <f>IF(RETORNOS!B848="","",OPTIMIZACION!$B$5*RETORNOS!B848+OPTIMIZACION!$B$6*RETORNOS!C848+OPTIMIZACION!$B$7*RETORNOS!D848+OPTIMIZACION!$B$8*RETORNOS!E848+OPTIMIZACION!$B$9*RETORNOS!F848+OPTIMIZACION!$B$10*RETORNOS!G848)</f>
        <v>-0.01089513792</v>
      </c>
      <c r="C848" s="7">
        <f>IF(RETORNOS!H848="","",RETORNOS!H848)</f>
        <v>-0.02196973059</v>
      </c>
      <c r="D848" s="7">
        <f>IF(RETORNOS!I848="","",RETORNOS!I848)</f>
        <v>-0.007987903269</v>
      </c>
      <c r="E848" s="7">
        <f t="shared" si="2"/>
        <v>-0.01497881693</v>
      </c>
      <c r="F848" s="7">
        <f t="shared" si="3"/>
        <v>0.01107459267</v>
      </c>
      <c r="G848" s="7">
        <f t="shared" si="4"/>
        <v>0.00408367901</v>
      </c>
      <c r="H848" s="5">
        <f t="shared" ref="H848:K848" si="848">IF(B848="","",H847*(1+B848))</f>
        <v>282.3145428</v>
      </c>
      <c r="I848" s="5">
        <f t="shared" si="848"/>
        <v>203.0130676</v>
      </c>
      <c r="J848" s="5">
        <f t="shared" si="848"/>
        <v>126.3331587</v>
      </c>
      <c r="K848" s="5">
        <f t="shared" si="848"/>
        <v>165.4710429</v>
      </c>
      <c r="L848" s="7">
        <f t="shared" si="6"/>
        <v>-0.0676916992</v>
      </c>
    </row>
    <row r="849" ht="15.75" customHeight="1">
      <c r="A849" s="4">
        <f>IF(RETORNOS!A849="","",RETORNOS!A849)</f>
        <v>45643</v>
      </c>
      <c r="B849" s="7">
        <f>IF(RETORNOS!B849="","",OPTIMIZACION!$B$5*RETORNOS!B849+OPTIMIZACION!$B$6*RETORNOS!C849+OPTIMIZACION!$B$7*RETORNOS!D849+OPTIMIZACION!$B$8*RETORNOS!E849+OPTIMIZACION!$B$9*RETORNOS!F849+OPTIMIZACION!$B$10*RETORNOS!G849)</f>
        <v>-0.003248373976</v>
      </c>
      <c r="C849" s="7">
        <f>IF(RETORNOS!H849="","",RETORNOS!H849)</f>
        <v>-0.007449532344</v>
      </c>
      <c r="D849" s="7">
        <f>IF(RETORNOS!I849="","",RETORNOS!I849)</f>
        <v>-0.004152685242</v>
      </c>
      <c r="E849" s="7">
        <f t="shared" si="2"/>
        <v>-0.005801108793</v>
      </c>
      <c r="F849" s="7">
        <f t="shared" si="3"/>
        <v>0.004201158368</v>
      </c>
      <c r="G849" s="7">
        <f t="shared" si="4"/>
        <v>0.002552734817</v>
      </c>
      <c r="H849" s="5">
        <f t="shared" ref="H849:K849" si="849">IF(B849="","",H848*(1+B849))</f>
        <v>281.3974796</v>
      </c>
      <c r="I849" s="5">
        <f t="shared" si="849"/>
        <v>201.5007152</v>
      </c>
      <c r="J849" s="5">
        <f t="shared" si="849"/>
        <v>125.8085368</v>
      </c>
      <c r="K849" s="5">
        <f t="shared" si="849"/>
        <v>164.5111274</v>
      </c>
      <c r="L849" s="7">
        <f t="shared" si="6"/>
        <v>-0.07072018523</v>
      </c>
    </row>
    <row r="850" ht="15.75" customHeight="1">
      <c r="A850" s="4">
        <f>IF(RETORNOS!A850="","",RETORNOS!A850)</f>
        <v>45644</v>
      </c>
      <c r="B850" s="7">
        <f>IF(RETORNOS!B850="","",OPTIMIZACION!$B$5*RETORNOS!B850+OPTIMIZACION!$B$6*RETORNOS!C850+OPTIMIZACION!$B$7*RETORNOS!D850+OPTIMIZACION!$B$8*RETORNOS!E850+OPTIMIZACION!$B$9*RETORNOS!F850+OPTIMIZACION!$B$10*RETORNOS!G850)</f>
        <v>-0.03075789026</v>
      </c>
      <c r="C850" s="7">
        <f>IF(RETORNOS!H850="","",RETORNOS!H850)</f>
        <v>-0.02955734963</v>
      </c>
      <c r="D850" s="7">
        <f>IF(RETORNOS!I850="","",RETORNOS!I850)</f>
        <v>-0.02360026394</v>
      </c>
      <c r="E850" s="7">
        <f t="shared" si="2"/>
        <v>-0.02657880679</v>
      </c>
      <c r="F850" s="7">
        <f t="shared" si="3"/>
        <v>-0.001200540626</v>
      </c>
      <c r="G850" s="7">
        <f t="shared" si="4"/>
        <v>-0.004179083473</v>
      </c>
      <c r="H850" s="5">
        <f t="shared" ref="H850:K850" si="850">IF(B850="","",H849*(1+B850))</f>
        <v>272.7422868</v>
      </c>
      <c r="I850" s="5">
        <f t="shared" si="850"/>
        <v>195.5448881</v>
      </c>
      <c r="J850" s="5">
        <f t="shared" si="850"/>
        <v>122.8394222</v>
      </c>
      <c r="K850" s="5">
        <f t="shared" si="850"/>
        <v>160.1386179</v>
      </c>
      <c r="L850" s="7">
        <f t="shared" si="6"/>
        <v>-0.09930287179</v>
      </c>
    </row>
    <row r="851" ht="15.75" customHeight="1">
      <c r="A851" s="4">
        <f>IF(RETORNOS!A851="","",RETORNOS!A851)</f>
        <v>45645</v>
      </c>
      <c r="B851" s="7">
        <f>IF(RETORNOS!B851="","",OPTIMIZACION!$B$5*RETORNOS!B851+OPTIMIZACION!$B$6*RETORNOS!C851+OPTIMIZACION!$B$7*RETORNOS!D851+OPTIMIZACION!$B$8*RETORNOS!E851+OPTIMIZACION!$B$9*RETORNOS!F851+OPTIMIZACION!$B$10*RETORNOS!G851)</f>
        <v>0.003625386571</v>
      </c>
      <c r="C851" s="7">
        <f>IF(RETORNOS!H851="","",RETORNOS!H851)</f>
        <v>-0.008686229487</v>
      </c>
      <c r="D851" s="7">
        <f>IF(RETORNOS!I851="","",RETORNOS!I851)</f>
        <v>0.00453944945</v>
      </c>
      <c r="E851" s="7">
        <f t="shared" si="2"/>
        <v>-0.002073390019</v>
      </c>
      <c r="F851" s="7">
        <f t="shared" si="3"/>
        <v>0.01231161606</v>
      </c>
      <c r="G851" s="7">
        <f t="shared" si="4"/>
        <v>0.005698776589</v>
      </c>
      <c r="H851" s="5">
        <f t="shared" ref="H851:K851" si="851">IF(B851="","",H850*(1+B851))</f>
        <v>273.731083</v>
      </c>
      <c r="I851" s="5">
        <f t="shared" si="851"/>
        <v>193.8463403</v>
      </c>
      <c r="J851" s="5">
        <f t="shared" si="851"/>
        <v>123.3970455</v>
      </c>
      <c r="K851" s="5">
        <f t="shared" si="851"/>
        <v>159.8065881</v>
      </c>
      <c r="L851" s="7">
        <f t="shared" si="6"/>
        <v>-0.09603749652</v>
      </c>
    </row>
    <row r="852" ht="15.75" customHeight="1">
      <c r="A852" s="4">
        <f>IF(RETORNOS!A852="","",RETORNOS!A852)</f>
        <v>45646</v>
      </c>
      <c r="B852" s="7">
        <f>IF(RETORNOS!B852="","",OPTIMIZACION!$B$5*RETORNOS!B852+OPTIMIZACION!$B$6*RETORNOS!C852+OPTIMIZACION!$B$7*RETORNOS!D852+OPTIMIZACION!$B$8*RETORNOS!E852+OPTIMIZACION!$B$9*RETORNOS!F852+OPTIMIZACION!$B$10*RETORNOS!G852)</f>
        <v>0.01184647119</v>
      </c>
      <c r="C852" s="7">
        <f>IF(RETORNOS!H852="","",RETORNOS!H852)</f>
        <v>0.009840436841</v>
      </c>
      <c r="D852" s="7">
        <f>IF(RETORNOS!I852="","",RETORNOS!I852)</f>
        <v>0.01595275382</v>
      </c>
      <c r="E852" s="7">
        <f t="shared" si="2"/>
        <v>0.01289659533</v>
      </c>
      <c r="F852" s="7">
        <f t="shared" si="3"/>
        <v>0.002006034352</v>
      </c>
      <c r="G852" s="7">
        <f t="shared" si="4"/>
        <v>-0.001050124138</v>
      </c>
      <c r="H852" s="5">
        <f t="shared" ref="H852:K852" si="852">IF(B852="","",H851*(1+B852))</f>
        <v>276.9738304</v>
      </c>
      <c r="I852" s="5">
        <f t="shared" si="852"/>
        <v>195.753873</v>
      </c>
      <c r="J852" s="5">
        <f t="shared" si="852"/>
        <v>125.3655682</v>
      </c>
      <c r="K852" s="5">
        <f t="shared" si="852"/>
        <v>161.867549</v>
      </c>
      <c r="L852" s="7">
        <f t="shared" si="6"/>
        <v>-0.08532873076</v>
      </c>
    </row>
    <row r="853" ht="15.75" customHeight="1">
      <c r="A853" s="4">
        <f>IF(RETORNOS!A853="","",RETORNOS!A853)</f>
        <v>45649</v>
      </c>
      <c r="B853" s="7">
        <f>IF(RETORNOS!B853="","",OPTIMIZACION!$B$5*RETORNOS!B853+OPTIMIZACION!$B$6*RETORNOS!C853+OPTIMIZACION!$B$7*RETORNOS!D853+OPTIMIZACION!$B$8*RETORNOS!E853+OPTIMIZACION!$B$9*RETORNOS!F853+OPTIMIZACION!$B$10*RETORNOS!G853)</f>
        <v>0.005130809953</v>
      </c>
      <c r="C853" s="7">
        <f>IF(RETORNOS!H853="","",RETORNOS!H853)</f>
        <v>0.005872984026</v>
      </c>
      <c r="D853" s="7">
        <f>IF(RETORNOS!I853="","",RETORNOS!I853)</f>
        <v>0.00340043747</v>
      </c>
      <c r="E853" s="7">
        <f t="shared" si="2"/>
        <v>0.004636710748</v>
      </c>
      <c r="F853" s="7">
        <f t="shared" si="3"/>
        <v>-0.0007421740725</v>
      </c>
      <c r="G853" s="7">
        <f t="shared" si="4"/>
        <v>0.0004940992051</v>
      </c>
      <c r="H853" s="5">
        <f t="shared" ref="H853:K853" si="853">IF(B853="","",H852*(1+B853))</f>
        <v>278.3949305</v>
      </c>
      <c r="I853" s="5">
        <f t="shared" si="853"/>
        <v>196.9035324</v>
      </c>
      <c r="J853" s="5">
        <f t="shared" si="853"/>
        <v>125.791866</v>
      </c>
      <c r="K853" s="5">
        <f t="shared" si="853"/>
        <v>162.618082</v>
      </c>
      <c r="L853" s="7">
        <f t="shared" si="6"/>
        <v>-0.08063572631</v>
      </c>
    </row>
    <row r="854" ht="15.75" customHeight="1">
      <c r="A854" s="4">
        <f>IF(RETORNOS!A854="","",RETORNOS!A854)</f>
        <v>45650</v>
      </c>
      <c r="B854" s="7">
        <f>IF(RETORNOS!B854="","",OPTIMIZACION!$B$5*RETORNOS!B854+OPTIMIZACION!$B$6*RETORNOS!C854+OPTIMIZACION!$B$7*RETORNOS!D854+OPTIMIZACION!$B$8*RETORNOS!E854+OPTIMIZACION!$B$9*RETORNOS!F854+OPTIMIZACION!$B$10*RETORNOS!G854)</f>
        <v>0.006415824325</v>
      </c>
      <c r="C854" s="7">
        <f>IF(RETORNOS!H854="","",RETORNOS!H854)</f>
        <v>0.008461303573</v>
      </c>
      <c r="D854" s="7">
        <f>IF(RETORNOS!I854="","",RETORNOS!I854)</f>
        <v>0.005522874491</v>
      </c>
      <c r="E854" s="7">
        <f t="shared" si="2"/>
        <v>0.006992089032</v>
      </c>
      <c r="F854" s="7">
        <f t="shared" si="3"/>
        <v>-0.002045479248</v>
      </c>
      <c r="G854" s="7">
        <f t="shared" si="4"/>
        <v>-0.0005762647072</v>
      </c>
      <c r="H854" s="5">
        <f t="shared" ref="H854:K854" si="854">IF(B854="","",H853*(1+B854))</f>
        <v>280.1810634</v>
      </c>
      <c r="I854" s="5">
        <f t="shared" si="854"/>
        <v>198.5695929</v>
      </c>
      <c r="J854" s="5">
        <f t="shared" si="854"/>
        <v>126.4865987</v>
      </c>
      <c r="K854" s="5">
        <f t="shared" si="854"/>
        <v>163.7551221</v>
      </c>
      <c r="L854" s="7">
        <f t="shared" si="6"/>
        <v>-0.07473724664</v>
      </c>
    </row>
    <row r="855" ht="15.75" customHeight="1">
      <c r="A855" s="4">
        <f>IF(RETORNOS!A855="","",RETORNOS!A855)</f>
        <v>45652</v>
      </c>
      <c r="B855" s="7">
        <f>IF(RETORNOS!B855="","",OPTIMIZACION!$B$5*RETORNOS!B855+OPTIMIZACION!$B$6*RETORNOS!C855+OPTIMIZACION!$B$7*RETORNOS!D855+OPTIMIZACION!$B$8*RETORNOS!E855+OPTIMIZACION!$B$9*RETORNOS!F855+OPTIMIZACION!$B$10*RETORNOS!G855)</f>
        <v>-0.002344762344</v>
      </c>
      <c r="C855" s="7">
        <f>IF(RETORNOS!H855="","",RETORNOS!H855)</f>
        <v>-0.0008302402813</v>
      </c>
      <c r="D855" s="7">
        <f>IF(RETORNOS!I855="","",RETORNOS!I855)</f>
        <v>-0.002353561409</v>
      </c>
      <c r="E855" s="7">
        <f t="shared" si="2"/>
        <v>-0.001591900845</v>
      </c>
      <c r="F855" s="7">
        <f t="shared" si="3"/>
        <v>-0.001514522063</v>
      </c>
      <c r="G855" s="7">
        <f t="shared" si="4"/>
        <v>-0.0007528614988</v>
      </c>
      <c r="H855" s="5">
        <f t="shared" ref="H855:K855" si="855">IF(B855="","",H854*(1+B855))</f>
        <v>279.5241054</v>
      </c>
      <c r="I855" s="5">
        <f t="shared" si="855"/>
        <v>198.4047325</v>
      </c>
      <c r="J855" s="5">
        <f t="shared" si="855"/>
        <v>126.1889047</v>
      </c>
      <c r="K855" s="5">
        <f t="shared" si="855"/>
        <v>163.4944402</v>
      </c>
      <c r="L855" s="7">
        <f t="shared" si="6"/>
        <v>-0.0769067679</v>
      </c>
    </row>
    <row r="856" ht="15.75" customHeight="1">
      <c r="A856" s="4">
        <f>IF(RETORNOS!A856="","",RETORNOS!A856)</f>
        <v>45653</v>
      </c>
      <c r="B856" s="7">
        <f>IF(RETORNOS!B856="","",OPTIMIZACION!$B$5*RETORNOS!B856+OPTIMIZACION!$B$6*RETORNOS!C856+OPTIMIZACION!$B$7*RETORNOS!D856+OPTIMIZACION!$B$8*RETORNOS!E856+OPTIMIZACION!$B$9*RETORNOS!F856+OPTIMIZACION!$B$10*RETORNOS!G856)</f>
        <v>-0.004867375038</v>
      </c>
      <c r="C856" s="7">
        <f>IF(RETORNOS!H856="","",RETORNOS!H856)</f>
        <v>-0.0001173077863</v>
      </c>
      <c r="D856" s="7">
        <f>IF(RETORNOS!I856="","",RETORNOS!I856)</f>
        <v>-0.002884859073</v>
      </c>
      <c r="E856" s="7">
        <f t="shared" si="2"/>
        <v>-0.00150108343</v>
      </c>
      <c r="F856" s="7">
        <f t="shared" si="3"/>
        <v>-0.004750067251</v>
      </c>
      <c r="G856" s="7">
        <f t="shared" si="4"/>
        <v>-0.003366291608</v>
      </c>
      <c r="H856" s="5">
        <f t="shared" ref="H856:K856" si="856">IF(B856="","",H855*(1+B856))</f>
        <v>278.1635568</v>
      </c>
      <c r="I856" s="5">
        <f t="shared" si="856"/>
        <v>198.381458</v>
      </c>
      <c r="J856" s="5">
        <f t="shared" si="856"/>
        <v>125.8248675</v>
      </c>
      <c r="K856" s="5">
        <f t="shared" si="856"/>
        <v>163.2490214</v>
      </c>
      <c r="L856" s="7">
        <f t="shared" si="6"/>
        <v>-0.08139980885</v>
      </c>
    </row>
    <row r="857" ht="15.75" customHeight="1">
      <c r="A857" s="4">
        <f>IF(RETORNOS!A857="","",RETORNOS!A857)</f>
        <v>45656</v>
      </c>
      <c r="B857" s="7">
        <f>IF(RETORNOS!B857="","",OPTIMIZACION!$B$5*RETORNOS!B857+OPTIMIZACION!$B$6*RETORNOS!C857+OPTIMIZACION!$B$7*RETORNOS!D857+OPTIMIZACION!$B$8*RETORNOS!E857+OPTIMIZACION!$B$9*RETORNOS!F857+OPTIMIZACION!$B$10*RETORNOS!G857)</f>
        <v>-0.004172103646</v>
      </c>
      <c r="C857" s="7">
        <f>IF(RETORNOS!H857="","",RETORNOS!H857)</f>
        <v>-0.0001148773501</v>
      </c>
      <c r="D857" s="7">
        <f>IF(RETORNOS!I857="","",RETORNOS!I857)</f>
        <v>-0.004204611824</v>
      </c>
      <c r="E857" s="7">
        <f t="shared" si="2"/>
        <v>-0.002159744587</v>
      </c>
      <c r="F857" s="7">
        <f t="shared" si="3"/>
        <v>-0.004057226296</v>
      </c>
      <c r="G857" s="7">
        <f t="shared" si="4"/>
        <v>-0.002012359059</v>
      </c>
      <c r="H857" s="5">
        <f t="shared" ref="H857:K857" si="857">IF(B857="","",H856*(1+B857))</f>
        <v>277.0030296</v>
      </c>
      <c r="I857" s="5">
        <f t="shared" si="857"/>
        <v>198.3586685</v>
      </c>
      <c r="J857" s="5">
        <f t="shared" si="857"/>
        <v>125.2958228</v>
      </c>
      <c r="K857" s="5">
        <f t="shared" si="857"/>
        <v>162.8964452</v>
      </c>
      <c r="L857" s="7">
        <f t="shared" si="6"/>
        <v>-0.08523230406</v>
      </c>
    </row>
    <row r="858" ht="15.75" customHeight="1">
      <c r="A858" s="4">
        <f>IF(RETORNOS!A858="","",RETORNOS!A858)</f>
        <v>45657</v>
      </c>
      <c r="B858" s="7">
        <f>IF(RETORNOS!B858="","",OPTIMIZACION!$B$5*RETORNOS!B858+OPTIMIZACION!$B$6*RETORNOS!C858+OPTIMIZACION!$B$7*RETORNOS!D858+OPTIMIZACION!$B$8*RETORNOS!E858+OPTIMIZACION!$B$9*RETORNOS!F858+OPTIMIZACION!$B$10*RETORNOS!G858)</f>
        <v>0.002541049783</v>
      </c>
      <c r="C858" s="7">
        <f>IF(RETORNOS!H858="","",RETORNOS!H858)</f>
        <v>0.01312685628</v>
      </c>
      <c r="D858" s="7">
        <f>IF(RETORNOS!I858="","",RETORNOS!I858)</f>
        <v>-0.0009232181211</v>
      </c>
      <c r="E858" s="7">
        <f t="shared" si="2"/>
        <v>0.006101819078</v>
      </c>
      <c r="F858" s="7">
        <f t="shared" si="3"/>
        <v>-0.01058580649</v>
      </c>
      <c r="G858" s="7">
        <f t="shared" si="4"/>
        <v>-0.003560769295</v>
      </c>
      <c r="H858" s="5">
        <f t="shared" ref="H858:K858" si="858">IF(B858="","",H857*(1+B858))</f>
        <v>277.7069081</v>
      </c>
      <c r="I858" s="5">
        <f t="shared" si="858"/>
        <v>200.9624942</v>
      </c>
      <c r="J858" s="5">
        <f t="shared" si="858"/>
        <v>125.1801474</v>
      </c>
      <c r="K858" s="5">
        <f t="shared" si="858"/>
        <v>163.8904098</v>
      </c>
      <c r="L858" s="7">
        <f t="shared" si="6"/>
        <v>-0.0829078338</v>
      </c>
    </row>
    <row r="859" ht="15.75" customHeight="1">
      <c r="A859" s="4">
        <f>IF(RETORNOS!A859="","",RETORNOS!A859)</f>
        <v>45659</v>
      </c>
      <c r="B859" s="7">
        <f>IF(RETORNOS!B859="","",OPTIMIZACION!$B$5*RETORNOS!B859+OPTIMIZACION!$B$6*RETORNOS!C859+OPTIMIZACION!$B$7*RETORNOS!D859+OPTIMIZACION!$B$8*RETORNOS!E859+OPTIMIZACION!$B$9*RETORNOS!F859+OPTIMIZACION!$B$10*RETORNOS!G859)</f>
        <v>0.01863571843</v>
      </c>
      <c r="C859" s="7">
        <f>IF(RETORNOS!H859="","",RETORNOS!H859)</f>
        <v>0.01167316114</v>
      </c>
      <c r="D859" s="7">
        <f>IF(RETORNOS!I859="","",RETORNOS!I859)</f>
        <v>0.007664355583</v>
      </c>
      <c r="E859" s="7">
        <f t="shared" si="2"/>
        <v>0.009668758361</v>
      </c>
      <c r="F859" s="7">
        <f t="shared" si="3"/>
        <v>0.006962557288</v>
      </c>
      <c r="G859" s="7">
        <f t="shared" si="4"/>
        <v>0.008966960067</v>
      </c>
      <c r="H859" s="5">
        <f t="shared" ref="H859:K859" si="859">IF(B859="","",H858*(1+B859))</f>
        <v>282.8821758</v>
      </c>
      <c r="I859" s="5">
        <f t="shared" si="859"/>
        <v>203.3083618</v>
      </c>
      <c r="J859" s="5">
        <f t="shared" si="859"/>
        <v>126.1395725</v>
      </c>
      <c r="K859" s="5">
        <f t="shared" si="859"/>
        <v>165.4750266</v>
      </c>
      <c r="L859" s="7">
        <f t="shared" si="6"/>
        <v>-0.06581716242</v>
      </c>
    </row>
    <row r="860" ht="15.75" customHeight="1">
      <c r="A860" s="4">
        <f>IF(RETORNOS!A860="","",RETORNOS!A860)</f>
        <v>45660</v>
      </c>
      <c r="B860" s="7">
        <f>IF(RETORNOS!B860="","",OPTIMIZACION!$B$5*RETORNOS!B860+OPTIMIZACION!$B$6*RETORNOS!C860+OPTIMIZACION!$B$7*RETORNOS!D860+OPTIMIZACION!$B$8*RETORNOS!E860+OPTIMIZACION!$B$9*RETORNOS!F860+OPTIMIZACION!$B$10*RETORNOS!G860)</f>
        <v>0.01509414975</v>
      </c>
      <c r="C860" s="7">
        <f>IF(RETORNOS!H860="","",RETORNOS!H860)</f>
        <v>0.009346685969</v>
      </c>
      <c r="D860" s="7">
        <f>IF(RETORNOS!I860="","",RETORNOS!I860)</f>
        <v>0.01061611783</v>
      </c>
      <c r="E860" s="7">
        <f t="shared" si="2"/>
        <v>0.009981401902</v>
      </c>
      <c r="F860" s="7">
        <f t="shared" si="3"/>
        <v>0.005747463782</v>
      </c>
      <c r="G860" s="7">
        <f t="shared" si="4"/>
        <v>0.00511274785</v>
      </c>
      <c r="H860" s="5">
        <f t="shared" ref="H860:K860" si="860">IF(B860="","",H859*(1+B860))</f>
        <v>287.1520417</v>
      </c>
      <c r="I860" s="5">
        <f t="shared" si="860"/>
        <v>205.2086212</v>
      </c>
      <c r="J860" s="5">
        <f t="shared" si="860"/>
        <v>127.4786851</v>
      </c>
      <c r="K860" s="5">
        <f t="shared" si="860"/>
        <v>167.1266994</v>
      </c>
      <c r="L860" s="7">
        <f t="shared" si="6"/>
        <v>-0.05171646678</v>
      </c>
    </row>
    <row r="861" ht="15.75" customHeight="1">
      <c r="A861" s="4">
        <f>IF(RETORNOS!A861="","",RETORNOS!A861)</f>
        <v>45663</v>
      </c>
      <c r="B861" s="7">
        <f>IF(RETORNOS!B861="","",OPTIMIZACION!$B$5*RETORNOS!B861+OPTIMIZACION!$B$6*RETORNOS!C861+OPTIMIZACION!$B$7*RETORNOS!D861+OPTIMIZACION!$B$8*RETORNOS!E861+OPTIMIZACION!$B$9*RETORNOS!F861+OPTIMIZACION!$B$10*RETORNOS!G861)</f>
        <v>-0.002318847654</v>
      </c>
      <c r="C861" s="7">
        <f>IF(RETORNOS!H861="","",RETORNOS!H861)</f>
        <v>-0.004572176592</v>
      </c>
      <c r="D861" s="7">
        <f>IF(RETORNOS!I861="","",RETORNOS!I861)</f>
        <v>-0.01115579955</v>
      </c>
      <c r="E861" s="7">
        <f t="shared" si="2"/>
        <v>-0.00786398807</v>
      </c>
      <c r="F861" s="7">
        <f t="shared" si="3"/>
        <v>0.002253328939</v>
      </c>
      <c r="G861" s="7">
        <f t="shared" si="4"/>
        <v>0.005545140417</v>
      </c>
      <c r="H861" s="5">
        <f t="shared" ref="H861:K861" si="861">IF(B861="","",H860*(1+B861))</f>
        <v>286.4861799</v>
      </c>
      <c r="I861" s="5">
        <f t="shared" si="861"/>
        <v>204.2703712</v>
      </c>
      <c r="J861" s="5">
        <f t="shared" si="861"/>
        <v>126.0565585</v>
      </c>
      <c r="K861" s="5">
        <f t="shared" si="861"/>
        <v>165.812417</v>
      </c>
      <c r="L861" s="7">
        <f t="shared" si="6"/>
        <v>-0.05391539182</v>
      </c>
    </row>
    <row r="862" ht="15.75" customHeight="1">
      <c r="A862" s="4">
        <f>IF(RETORNOS!A862="","",RETORNOS!A862)</f>
        <v>45664</v>
      </c>
      <c r="B862" s="7">
        <f>IF(RETORNOS!B862="","",OPTIMIZACION!$B$5*RETORNOS!B862+OPTIMIZACION!$B$6*RETORNOS!C862+OPTIMIZACION!$B$7*RETORNOS!D862+OPTIMIZACION!$B$8*RETORNOS!E862+OPTIMIZACION!$B$9*RETORNOS!F862+OPTIMIZACION!$B$10*RETORNOS!G862)</f>
        <v>0.002391641666</v>
      </c>
      <c r="C862" s="7">
        <f>IF(RETORNOS!H862="","",RETORNOS!H862)</f>
        <v>0.009991051019</v>
      </c>
      <c r="D862" s="7">
        <f>IF(RETORNOS!I862="","",RETORNOS!I862)</f>
        <v>-0.002493839622</v>
      </c>
      <c r="E862" s="7">
        <f t="shared" si="2"/>
        <v>0.003748605698</v>
      </c>
      <c r="F862" s="7">
        <f t="shared" si="3"/>
        <v>-0.007599409352</v>
      </c>
      <c r="G862" s="7">
        <f t="shared" si="4"/>
        <v>-0.001356964032</v>
      </c>
      <c r="H862" s="5">
        <f t="shared" ref="H862:K862" si="862">IF(B862="","",H861*(1+B862))</f>
        <v>287.1713522</v>
      </c>
      <c r="I862" s="5">
        <f t="shared" si="862"/>
        <v>206.3112469</v>
      </c>
      <c r="J862" s="5">
        <f t="shared" si="862"/>
        <v>125.7421936</v>
      </c>
      <c r="K862" s="5">
        <f t="shared" si="862"/>
        <v>166.4339824</v>
      </c>
      <c r="L862" s="7">
        <f t="shared" si="6"/>
        <v>-0.05165269646</v>
      </c>
    </row>
    <row r="863" ht="15.75" customHeight="1">
      <c r="A863" s="4">
        <f>IF(RETORNOS!A863="","",RETORNOS!A863)</f>
        <v>45665</v>
      </c>
      <c r="B863" s="7">
        <f>IF(RETORNOS!B863="","",OPTIMIZACION!$B$5*RETORNOS!B863+OPTIMIZACION!$B$6*RETORNOS!C863+OPTIMIZACION!$B$7*RETORNOS!D863+OPTIMIZACION!$B$8*RETORNOS!E863+OPTIMIZACION!$B$9*RETORNOS!F863+OPTIMIZACION!$B$10*RETORNOS!G863)</f>
        <v>0.002030034232</v>
      </c>
      <c r="C863" s="7">
        <f>IF(RETORNOS!H863="","",RETORNOS!H863)</f>
        <v>0.001022360313</v>
      </c>
      <c r="D863" s="7">
        <f>IF(RETORNOS!I863="","",RETORNOS!I863)</f>
        <v>-0.0002624536986</v>
      </c>
      <c r="E863" s="7">
        <f t="shared" si="2"/>
        <v>0.0003799533071</v>
      </c>
      <c r="F863" s="7">
        <f t="shared" si="3"/>
        <v>0.001007673919</v>
      </c>
      <c r="G863" s="7">
        <f t="shared" si="4"/>
        <v>0.001650080925</v>
      </c>
      <c r="H863" s="5">
        <f t="shared" ref="H863:K863" si="863">IF(B863="","",H862*(1+B863))</f>
        <v>287.7543199</v>
      </c>
      <c r="I863" s="5">
        <f t="shared" si="863"/>
        <v>206.5221713</v>
      </c>
      <c r="J863" s="5">
        <f t="shared" si="863"/>
        <v>125.7091921</v>
      </c>
      <c r="K863" s="5">
        <f t="shared" si="863"/>
        <v>166.4972195</v>
      </c>
      <c r="L863" s="7">
        <f t="shared" si="6"/>
        <v>-0.04972751897</v>
      </c>
    </row>
    <row r="864" ht="15.75" customHeight="1">
      <c r="A864" s="4">
        <f>IF(RETORNOS!A864="","",RETORNOS!A864)</f>
        <v>45667</v>
      </c>
      <c r="B864" s="7">
        <f>IF(RETORNOS!B864="","",OPTIMIZACION!$B$5*RETORNOS!B864+OPTIMIZACION!$B$6*RETORNOS!C864+OPTIMIZACION!$B$7*RETORNOS!D864+OPTIMIZACION!$B$8*RETORNOS!E864+OPTIMIZACION!$B$9*RETORNOS!F864+OPTIMIZACION!$B$10*RETORNOS!G864)</f>
        <v>-0.005326420043</v>
      </c>
      <c r="C864" s="7">
        <f>IF(RETORNOS!H864="","",RETORNOS!H864)</f>
        <v>0.004087612492</v>
      </c>
      <c r="D864" s="7">
        <f>IF(RETORNOS!I864="","",RETORNOS!I864)</f>
        <v>-0.005656414753</v>
      </c>
      <c r="E864" s="7">
        <f t="shared" si="2"/>
        <v>-0.0007844011309</v>
      </c>
      <c r="F864" s="7">
        <f t="shared" si="3"/>
        <v>-0.009414032535</v>
      </c>
      <c r="G864" s="7">
        <f t="shared" si="4"/>
        <v>-0.004542018912</v>
      </c>
      <c r="H864" s="5">
        <f t="shared" ref="H864:K864" si="864">IF(B864="","",H863*(1+B864))</f>
        <v>286.2216195</v>
      </c>
      <c r="I864" s="5">
        <f t="shared" si="864"/>
        <v>207.3663539</v>
      </c>
      <c r="J864" s="5">
        <f t="shared" si="864"/>
        <v>124.9981288</v>
      </c>
      <c r="K864" s="5">
        <f t="shared" si="864"/>
        <v>166.3666189</v>
      </c>
      <c r="L864" s="7">
        <f t="shared" si="6"/>
        <v>-0.05478906935</v>
      </c>
    </row>
    <row r="865" ht="15.75" customHeight="1">
      <c r="A865" s="4">
        <f>IF(RETORNOS!A865="","",RETORNOS!A865)</f>
        <v>45670</v>
      </c>
      <c r="B865" s="7">
        <f>IF(RETORNOS!B865="","",OPTIMIZACION!$B$5*RETORNOS!B865+OPTIMIZACION!$B$6*RETORNOS!C865+OPTIMIZACION!$B$7*RETORNOS!D865+OPTIMIZACION!$B$8*RETORNOS!E865+OPTIMIZACION!$B$9*RETORNOS!F865+OPTIMIZACION!$B$10*RETORNOS!G865)</f>
        <v>0.004132541822</v>
      </c>
      <c r="C865" s="7">
        <f>IF(RETORNOS!H865="","",RETORNOS!H865)</f>
        <v>0.02104699506</v>
      </c>
      <c r="D865" s="7">
        <f>IF(RETORNOS!I865="","",RETORNOS!I865)</f>
        <v>-0.01164119956</v>
      </c>
      <c r="E865" s="7">
        <f t="shared" si="2"/>
        <v>0.004702897749</v>
      </c>
      <c r="F865" s="7">
        <f t="shared" si="3"/>
        <v>-0.01691445323</v>
      </c>
      <c r="G865" s="7">
        <f t="shared" si="4"/>
        <v>-0.000570355927</v>
      </c>
      <c r="H865" s="5">
        <f t="shared" ref="H865:K865" si="865">IF(B865="","",H864*(1+B865))</f>
        <v>287.4044423</v>
      </c>
      <c r="I865" s="5">
        <f t="shared" si="865"/>
        <v>211.7307925</v>
      </c>
      <c r="J865" s="5">
        <f t="shared" si="865"/>
        <v>123.5430006</v>
      </c>
      <c r="K865" s="5">
        <f t="shared" si="865"/>
        <v>167.1490241</v>
      </c>
      <c r="L865" s="7">
        <f t="shared" si="6"/>
        <v>-0.05088294565</v>
      </c>
    </row>
    <row r="866" ht="15.75" customHeight="1">
      <c r="A866" s="4">
        <f>IF(RETORNOS!A866="","",RETORNOS!A866)</f>
        <v>45671</v>
      </c>
      <c r="B866" s="7">
        <f>IF(RETORNOS!B866="","",OPTIMIZACION!$B$5*RETORNOS!B866+OPTIMIZACION!$B$6*RETORNOS!C866+OPTIMIZACION!$B$7*RETORNOS!D866+OPTIMIZACION!$B$8*RETORNOS!E866+OPTIMIZACION!$B$9*RETORNOS!F866+OPTIMIZACION!$B$10*RETORNOS!G866)</f>
        <v>0.0148318744</v>
      </c>
      <c r="C866" s="7">
        <f>IF(RETORNOS!H866="","",RETORNOS!H866)</f>
        <v>0.01074741849</v>
      </c>
      <c r="D866" s="7">
        <f>IF(RETORNOS!I866="","",RETORNOS!I866)</f>
        <v>0.01311669535</v>
      </c>
      <c r="E866" s="7">
        <f t="shared" si="2"/>
        <v>0.01193205692</v>
      </c>
      <c r="F866" s="7">
        <f t="shared" si="3"/>
        <v>0.004084455913</v>
      </c>
      <c r="G866" s="7">
        <f t="shared" si="4"/>
        <v>0.002899817481</v>
      </c>
      <c r="H866" s="5">
        <f t="shared" ref="H866:K866" si="866">IF(B866="","",H865*(1+B866))</f>
        <v>291.6671889</v>
      </c>
      <c r="I866" s="5">
        <f t="shared" si="866"/>
        <v>214.006352</v>
      </c>
      <c r="J866" s="5">
        <f t="shared" si="866"/>
        <v>125.1634765</v>
      </c>
      <c r="K866" s="5">
        <f t="shared" si="866"/>
        <v>169.1434558</v>
      </c>
      <c r="L866" s="7">
        <f t="shared" si="6"/>
        <v>-0.03680576071</v>
      </c>
    </row>
    <row r="867" ht="15.75" customHeight="1">
      <c r="A867" s="4">
        <f>IF(RETORNOS!A867="","",RETORNOS!A867)</f>
        <v>45672</v>
      </c>
      <c r="B867" s="7">
        <f>IF(RETORNOS!B867="","",OPTIMIZACION!$B$5*RETORNOS!B867+OPTIMIZACION!$B$6*RETORNOS!C867+OPTIMIZACION!$B$7*RETORNOS!D867+OPTIMIZACION!$B$8*RETORNOS!E867+OPTIMIZACION!$B$9*RETORNOS!F867+OPTIMIZACION!$B$10*RETORNOS!G867)</f>
        <v>0.004721409572</v>
      </c>
      <c r="C867" s="7">
        <f>IF(RETORNOS!H867="","",RETORNOS!H867)</f>
        <v>0.01479984412</v>
      </c>
      <c r="D867" s="7">
        <f>IF(RETORNOS!I867="","",RETORNOS!I867)</f>
        <v>0.01467022572</v>
      </c>
      <c r="E867" s="7">
        <f t="shared" si="2"/>
        <v>0.01473503492</v>
      </c>
      <c r="F867" s="7">
        <f t="shared" si="3"/>
        <v>-0.01007843454</v>
      </c>
      <c r="G867" s="7">
        <f t="shared" si="4"/>
        <v>-0.01001362535</v>
      </c>
      <c r="H867" s="5">
        <f t="shared" ref="H867:K867" si="867">IF(B867="","",H866*(1+B867))</f>
        <v>293.0442691</v>
      </c>
      <c r="I867" s="5">
        <f t="shared" si="867"/>
        <v>217.1736126</v>
      </c>
      <c r="J867" s="5">
        <f t="shared" si="867"/>
        <v>126.999653</v>
      </c>
      <c r="K867" s="5">
        <f t="shared" si="867"/>
        <v>171.6357905</v>
      </c>
      <c r="L867" s="7">
        <f t="shared" si="6"/>
        <v>-0.03225812621</v>
      </c>
    </row>
    <row r="868" ht="15.75" customHeight="1">
      <c r="A868" s="4">
        <f>IF(RETORNOS!A868="","",RETORNOS!A868)</f>
        <v>45673</v>
      </c>
      <c r="B868" s="7">
        <f>IF(RETORNOS!B868="","",OPTIMIZACION!$B$5*RETORNOS!B868+OPTIMIZACION!$B$6*RETORNOS!C868+OPTIMIZACION!$B$7*RETORNOS!D868+OPTIMIZACION!$B$8*RETORNOS!E868+OPTIMIZACION!$B$9*RETORNOS!F868+OPTIMIZACION!$B$10*RETORNOS!G868)</f>
        <v>0.00930867296</v>
      </c>
      <c r="C868" s="7">
        <f>IF(RETORNOS!H868="","",RETORNOS!H868)</f>
        <v>0.007236184046</v>
      </c>
      <c r="D868" s="7">
        <f>IF(RETORNOS!I868="","",RETORNOS!I868)</f>
        <v>0.02526219912</v>
      </c>
      <c r="E868" s="7">
        <f t="shared" si="2"/>
        <v>0.01624919159</v>
      </c>
      <c r="F868" s="7">
        <f t="shared" si="3"/>
        <v>0.002072488914</v>
      </c>
      <c r="G868" s="7">
        <f t="shared" si="4"/>
        <v>-0.006940518625</v>
      </c>
      <c r="H868" s="5">
        <f t="shared" ref="H868:K868" si="868">IF(B868="","",H867*(1+B868))</f>
        <v>295.7721224</v>
      </c>
      <c r="I868" s="5">
        <f t="shared" si="868"/>
        <v>218.7451209</v>
      </c>
      <c r="J868" s="5">
        <f t="shared" si="868"/>
        <v>130.2079435</v>
      </c>
      <c r="K868" s="5">
        <f t="shared" si="868"/>
        <v>174.4247333</v>
      </c>
      <c r="L868" s="7">
        <f t="shared" si="6"/>
        <v>-0.0232497336</v>
      </c>
    </row>
    <row r="869" ht="15.75" customHeight="1">
      <c r="A869" s="4">
        <f>IF(RETORNOS!A869="","",RETORNOS!A869)</f>
        <v>45674</v>
      </c>
      <c r="B869" s="7">
        <f>IF(RETORNOS!B869="","",OPTIMIZACION!$B$5*RETORNOS!B869+OPTIMIZACION!$B$6*RETORNOS!C869+OPTIMIZACION!$B$7*RETORNOS!D869+OPTIMIZACION!$B$8*RETORNOS!E869+OPTIMIZACION!$B$9*RETORNOS!F869+OPTIMIZACION!$B$10*RETORNOS!G869)</f>
        <v>-0.001881521424</v>
      </c>
      <c r="C869" s="7">
        <f>IF(RETORNOS!H869="","",RETORNOS!H869)</f>
        <v>0.007722846459</v>
      </c>
      <c r="D869" s="7">
        <f>IF(RETORNOS!I869="","",RETORNOS!I869)</f>
        <v>0.001395294148</v>
      </c>
      <c r="E869" s="7">
        <f t="shared" si="2"/>
        <v>0.004559070303</v>
      </c>
      <c r="F869" s="7">
        <f t="shared" si="3"/>
        <v>-0.009604367882</v>
      </c>
      <c r="G869" s="7">
        <f t="shared" si="4"/>
        <v>-0.006440591727</v>
      </c>
      <c r="H869" s="5">
        <f t="shared" ref="H869:K869" si="869">IF(B869="","",H868*(1+B869))</f>
        <v>295.2156208</v>
      </c>
      <c r="I869" s="5">
        <f t="shared" si="869"/>
        <v>220.4344558</v>
      </c>
      <c r="J869" s="5">
        <f t="shared" si="869"/>
        <v>130.3896219</v>
      </c>
      <c r="K869" s="5">
        <f t="shared" si="869"/>
        <v>175.2199479</v>
      </c>
      <c r="L869" s="7">
        <f t="shared" si="6"/>
        <v>-0.02508751015</v>
      </c>
    </row>
    <row r="870" ht="15.75" customHeight="1">
      <c r="A870" s="4">
        <f>IF(RETORNOS!A870="","",RETORNOS!A870)</f>
        <v>45678</v>
      </c>
      <c r="B870" s="7">
        <f>IF(RETORNOS!B870="","",OPTIMIZACION!$B$5*RETORNOS!B870+OPTIMIZACION!$B$6*RETORNOS!C870+OPTIMIZACION!$B$7*RETORNOS!D870+OPTIMIZACION!$B$8*RETORNOS!E870+OPTIMIZACION!$B$9*RETORNOS!F870+OPTIMIZACION!$B$10*RETORNOS!G870)</f>
        <v>0.01887695705</v>
      </c>
      <c r="C870" s="7">
        <f>IF(RETORNOS!H870="","",RETORNOS!H870)</f>
        <v>-0.005109840678</v>
      </c>
      <c r="D870" s="7">
        <f>IF(RETORNOS!I870="","",RETORNOS!I870)</f>
        <v>0.01534772433</v>
      </c>
      <c r="E870" s="7">
        <f t="shared" si="2"/>
        <v>0.005118941824</v>
      </c>
      <c r="F870" s="7">
        <f t="shared" si="3"/>
        <v>0.02398679772</v>
      </c>
      <c r="G870" s="7">
        <f t="shared" si="4"/>
        <v>0.01375801522</v>
      </c>
      <c r="H870" s="5">
        <f t="shared" ref="H870:K870" si="870">IF(B870="","",H869*(1+B870))</f>
        <v>300.7883934</v>
      </c>
      <c r="I870" s="5">
        <f t="shared" si="870"/>
        <v>219.3080709</v>
      </c>
      <c r="J870" s="5">
        <f t="shared" si="870"/>
        <v>132.3908058</v>
      </c>
      <c r="K870" s="5">
        <f t="shared" si="870"/>
        <v>176.1168887</v>
      </c>
      <c r="L870" s="7">
        <f t="shared" si="6"/>
        <v>-0.006684128952</v>
      </c>
    </row>
    <row r="871" ht="15.75" customHeight="1">
      <c r="A871" s="4">
        <f>IF(RETORNOS!A871="","",RETORNOS!A871)</f>
        <v>45679</v>
      </c>
      <c r="B871" s="7">
        <f>IF(RETORNOS!B871="","",OPTIMIZACION!$B$5*RETORNOS!B871+OPTIMIZACION!$B$6*RETORNOS!C871+OPTIMIZACION!$B$7*RETORNOS!D871+OPTIMIZACION!$B$8*RETORNOS!E871+OPTIMIZACION!$B$9*RETORNOS!F871+OPTIMIZACION!$B$10*RETORNOS!G871)</f>
        <v>-0.0117325538</v>
      </c>
      <c r="C871" s="7">
        <f>IF(RETORNOS!H871="","",RETORNOS!H871)</f>
        <v>-0.01818523514</v>
      </c>
      <c r="D871" s="7">
        <f>IF(RETORNOS!I871="","",RETORNOS!I871)</f>
        <v>-0.02160968928</v>
      </c>
      <c r="E871" s="7">
        <f t="shared" si="2"/>
        <v>-0.01989746221</v>
      </c>
      <c r="F871" s="7">
        <f t="shared" si="3"/>
        <v>0.006452681338</v>
      </c>
      <c r="G871" s="7">
        <f t="shared" si="4"/>
        <v>0.00816490841</v>
      </c>
      <c r="H871" s="5">
        <f t="shared" ref="H871:K871" si="871">IF(B871="","",H870*(1+B871))</f>
        <v>297.2593774</v>
      </c>
      <c r="I871" s="5">
        <f t="shared" si="871"/>
        <v>215.3199021</v>
      </c>
      <c r="J871" s="5">
        <f t="shared" si="871"/>
        <v>129.5298817</v>
      </c>
      <c r="K871" s="5">
        <f t="shared" si="871"/>
        <v>172.6126095</v>
      </c>
      <c r="L871" s="7">
        <f t="shared" si="6"/>
        <v>-0.01833826085</v>
      </c>
    </row>
    <row r="872" ht="15.75" customHeight="1">
      <c r="A872" s="4">
        <f>IF(RETORNOS!A872="","",RETORNOS!A872)</f>
        <v>45680</v>
      </c>
      <c r="B872" s="7">
        <f>IF(RETORNOS!B872="","",OPTIMIZACION!$B$5*RETORNOS!B872+OPTIMIZACION!$B$6*RETORNOS!C872+OPTIMIZACION!$B$7*RETORNOS!D872+OPTIMIZACION!$B$8*RETORNOS!E872+OPTIMIZACION!$B$9*RETORNOS!F872+OPTIMIZACION!$B$10*RETORNOS!G872)</f>
        <v>0.001420226757</v>
      </c>
      <c r="C872" s="7">
        <f>IF(RETORNOS!H872="","",RETORNOS!H872)</f>
        <v>0.00457590668</v>
      </c>
      <c r="D872" s="7">
        <f>IF(RETORNOS!I872="","",RETORNOS!I872)</f>
        <v>0.004722605996</v>
      </c>
      <c r="E872" s="7">
        <f t="shared" si="2"/>
        <v>0.004649256338</v>
      </c>
      <c r="F872" s="7">
        <f t="shared" si="3"/>
        <v>-0.003155679923</v>
      </c>
      <c r="G872" s="7">
        <f t="shared" si="4"/>
        <v>-0.003229029581</v>
      </c>
      <c r="H872" s="5">
        <f t="shared" ref="H872:K872" si="872">IF(B872="","",H871*(1+B872))</f>
        <v>297.6815531</v>
      </c>
      <c r="I872" s="5">
        <f t="shared" si="872"/>
        <v>216.3051858</v>
      </c>
      <c r="J872" s="5">
        <f t="shared" si="872"/>
        <v>130.1416003</v>
      </c>
      <c r="K872" s="5">
        <f t="shared" si="872"/>
        <v>173.4151298</v>
      </c>
      <c r="L872" s="7">
        <f t="shared" si="6"/>
        <v>-0.01694407858</v>
      </c>
    </row>
    <row r="873" ht="15.75" customHeight="1">
      <c r="A873" s="4">
        <f>IF(RETORNOS!A873="","",RETORNOS!A873)</f>
        <v>45681</v>
      </c>
      <c r="B873" s="7">
        <f>IF(RETORNOS!B873="","",OPTIMIZACION!$B$5*RETORNOS!B873+OPTIMIZACION!$B$6*RETORNOS!C873+OPTIMIZACION!$B$7*RETORNOS!D873+OPTIMIZACION!$B$8*RETORNOS!E873+OPTIMIZACION!$B$9*RETORNOS!F873+OPTIMIZACION!$B$10*RETORNOS!G873)</f>
        <v>-0.002386801293</v>
      </c>
      <c r="C873" s="7">
        <f>IF(RETORNOS!H873="","",RETORNOS!H873)</f>
        <v>-0.009652609186</v>
      </c>
      <c r="D873" s="7">
        <f>IF(RETORNOS!I873="","",RETORNOS!I873)</f>
        <v>0.01016678866</v>
      </c>
      <c r="E873" s="7">
        <f t="shared" si="2"/>
        <v>0.0002570897394</v>
      </c>
      <c r="F873" s="7">
        <f t="shared" si="3"/>
        <v>0.007265807893</v>
      </c>
      <c r="G873" s="7">
        <f t="shared" si="4"/>
        <v>-0.002643891033</v>
      </c>
      <c r="H873" s="5">
        <f t="shared" ref="H873:K873" si="873">IF(B873="","",H872*(1+B873))</f>
        <v>296.9710464</v>
      </c>
      <c r="I873" s="5">
        <f t="shared" si="873"/>
        <v>214.2172764</v>
      </c>
      <c r="J873" s="5">
        <f t="shared" si="873"/>
        <v>131.4647224</v>
      </c>
      <c r="K873" s="5">
        <f t="shared" si="873"/>
        <v>173.459713</v>
      </c>
      <c r="L873" s="7">
        <f t="shared" si="6"/>
        <v>-0.01929043772</v>
      </c>
    </row>
    <row r="874" ht="15.75" customHeight="1">
      <c r="A874" s="4">
        <f>IF(RETORNOS!A874="","",RETORNOS!A874)</f>
        <v>45684</v>
      </c>
      <c r="B874" s="7">
        <f>IF(RETORNOS!B874="","",OPTIMIZACION!$B$5*RETORNOS!B874+OPTIMIZACION!$B$6*RETORNOS!C874+OPTIMIZACION!$B$7*RETORNOS!D874+OPTIMIZACION!$B$8*RETORNOS!E874+OPTIMIZACION!$B$9*RETORNOS!F874+OPTIMIZACION!$B$10*RETORNOS!G874)</f>
        <v>-0.05144358889</v>
      </c>
      <c r="C874" s="7">
        <f>IF(RETORNOS!H874="","",RETORNOS!H874)</f>
        <v>-0.01040537268</v>
      </c>
      <c r="D874" s="7">
        <f>IF(RETORNOS!I874="","",RETORNOS!I874)</f>
        <v>-0.02314904674</v>
      </c>
      <c r="E874" s="7">
        <f t="shared" si="2"/>
        <v>-0.01677720971</v>
      </c>
      <c r="F874" s="7">
        <f t="shared" si="3"/>
        <v>-0.04103821621</v>
      </c>
      <c r="G874" s="7">
        <f t="shared" si="4"/>
        <v>-0.03466637918</v>
      </c>
      <c r="H874" s="5">
        <f t="shared" ref="H874:K874" si="874">IF(B874="","",H873*(1+B874))</f>
        <v>281.69379</v>
      </c>
      <c r="I874" s="5">
        <f t="shared" si="874"/>
        <v>211.9882658</v>
      </c>
      <c r="J874" s="5">
        <f t="shared" si="874"/>
        <v>128.4214394</v>
      </c>
      <c r="K874" s="5">
        <f t="shared" si="874"/>
        <v>170.5495431</v>
      </c>
      <c r="L874" s="7">
        <f t="shared" si="6"/>
        <v>-0.06974165726</v>
      </c>
    </row>
    <row r="875" ht="15.75" customHeight="1">
      <c r="A875" s="4">
        <f>IF(RETORNOS!A875="","",RETORNOS!A875)</f>
        <v>45685</v>
      </c>
      <c r="B875" s="7">
        <f>IF(RETORNOS!B875="","",OPTIMIZACION!$B$5*RETORNOS!B875+OPTIMIZACION!$B$6*RETORNOS!C875+OPTIMIZACION!$B$7*RETORNOS!D875+OPTIMIZACION!$B$8*RETORNOS!E875+OPTIMIZACION!$B$9*RETORNOS!F875+OPTIMIZACION!$B$10*RETORNOS!G875)</f>
        <v>-0.00340141522</v>
      </c>
      <c r="C875" s="7">
        <f>IF(RETORNOS!H875="","",RETORNOS!H875)</f>
        <v>-0.009517513964</v>
      </c>
      <c r="D875" s="7">
        <f>IF(RETORNOS!I875="","",RETORNOS!I875)</f>
        <v>-0.01377879745</v>
      </c>
      <c r="E875" s="7">
        <f t="shared" si="2"/>
        <v>-0.01164815571</v>
      </c>
      <c r="F875" s="7">
        <f t="shared" si="3"/>
        <v>0.006116098744</v>
      </c>
      <c r="G875" s="7">
        <f t="shared" si="4"/>
        <v>0.008246740486</v>
      </c>
      <c r="H875" s="5">
        <f t="shared" ref="H875:K875" si="875">IF(B875="","",H874*(1+B875))</f>
        <v>280.7356325</v>
      </c>
      <c r="I875" s="5">
        <f t="shared" si="875"/>
        <v>209.9706645</v>
      </c>
      <c r="J875" s="5">
        <f t="shared" si="875"/>
        <v>126.6519464</v>
      </c>
      <c r="K875" s="5">
        <f t="shared" si="875"/>
        <v>168.5629554</v>
      </c>
      <c r="L875" s="7">
        <f t="shared" si="6"/>
        <v>-0.07290585215</v>
      </c>
    </row>
    <row r="876" ht="15.75" customHeight="1">
      <c r="A876" s="4">
        <f>IF(RETORNOS!A876="","",RETORNOS!A876)</f>
        <v>45686</v>
      </c>
      <c r="B876" s="7">
        <f>IF(RETORNOS!B876="","",OPTIMIZACION!$B$5*RETORNOS!B876+OPTIMIZACION!$B$6*RETORNOS!C876+OPTIMIZACION!$B$7*RETORNOS!D876+OPTIMIZACION!$B$8*RETORNOS!E876+OPTIMIZACION!$B$9*RETORNOS!F876+OPTIMIZACION!$B$10*RETORNOS!G876)</f>
        <v>0.008036694083</v>
      </c>
      <c r="C876" s="7">
        <f>IF(RETORNOS!H876="","",RETORNOS!H876)</f>
        <v>0.002235395455</v>
      </c>
      <c r="D876" s="7">
        <f>IF(RETORNOS!I876="","",RETORNOS!I876)</f>
        <v>0.002089920298</v>
      </c>
      <c r="E876" s="7">
        <f t="shared" si="2"/>
        <v>0.002162657877</v>
      </c>
      <c r="F876" s="7">
        <f t="shared" si="3"/>
        <v>0.005801298629</v>
      </c>
      <c r="G876" s="7">
        <f t="shared" si="4"/>
        <v>0.005874036207</v>
      </c>
      <c r="H876" s="5">
        <f t="shared" ref="H876:K876" si="876">IF(B876="","",H875*(1+B876))</f>
        <v>282.9918188</v>
      </c>
      <c r="I876" s="5">
        <f t="shared" si="876"/>
        <v>210.440032</v>
      </c>
      <c r="J876" s="5">
        <f t="shared" si="876"/>
        <v>126.9166389</v>
      </c>
      <c r="K876" s="5">
        <f t="shared" si="876"/>
        <v>168.9274994</v>
      </c>
      <c r="L876" s="7">
        <f t="shared" si="6"/>
        <v>-0.06545508009</v>
      </c>
    </row>
    <row r="877" ht="15.75" customHeight="1">
      <c r="A877" s="4">
        <f>IF(RETORNOS!A877="","",RETORNOS!A877)</f>
        <v>45687</v>
      </c>
      <c r="B877" s="7">
        <f>IF(RETORNOS!B877="","",OPTIMIZACION!$B$5*RETORNOS!B877+OPTIMIZACION!$B$6*RETORNOS!C877+OPTIMIZACION!$B$7*RETORNOS!D877+OPTIMIZACION!$B$8*RETORNOS!E877+OPTIMIZACION!$B$9*RETORNOS!F877+OPTIMIZACION!$B$10*RETORNOS!G877)</f>
        <v>0.03074248899</v>
      </c>
      <c r="C877" s="7">
        <f>IF(RETORNOS!H877="","",RETORNOS!H877)</f>
        <v>0.00512902044</v>
      </c>
      <c r="D877" s="7">
        <f>IF(RETORNOS!I877="","",RETORNOS!I877)</f>
        <v>0.02085025507</v>
      </c>
      <c r="E877" s="7">
        <f t="shared" si="2"/>
        <v>0.01298963775</v>
      </c>
      <c r="F877" s="7">
        <f t="shared" si="3"/>
        <v>0.02561346855</v>
      </c>
      <c r="G877" s="7">
        <f t="shared" si="4"/>
        <v>0.01775285123</v>
      </c>
      <c r="H877" s="5">
        <f t="shared" ref="H877:K877" si="877">IF(B877="","",H876*(1+B877))</f>
        <v>291.6916917</v>
      </c>
      <c r="I877" s="5">
        <f t="shared" si="877"/>
        <v>211.5193832</v>
      </c>
      <c r="J877" s="5">
        <f t="shared" si="877"/>
        <v>129.5628832</v>
      </c>
      <c r="K877" s="5">
        <f t="shared" si="877"/>
        <v>171.1218065</v>
      </c>
      <c r="L877" s="7">
        <f t="shared" si="6"/>
        <v>-0.03672484319</v>
      </c>
    </row>
    <row r="878" ht="15.75" customHeight="1">
      <c r="A878" s="4">
        <f>IF(RETORNOS!A878="","",RETORNOS!A878)</f>
        <v>45688</v>
      </c>
      <c r="B878" s="7">
        <f>IF(RETORNOS!B878="","",OPTIMIZACION!$B$5*RETORNOS!B878+OPTIMIZACION!$B$6*RETORNOS!C878+OPTIMIZACION!$B$7*RETORNOS!D878+OPTIMIZACION!$B$8*RETORNOS!E878+OPTIMIZACION!$B$9*RETORNOS!F878+OPTIMIZACION!$B$10*RETORNOS!G878)</f>
        <v>-0.02062380437</v>
      </c>
      <c r="C878" s="7">
        <f>IF(RETORNOS!H878="","",RETORNOS!H878)</f>
        <v>-0.02795104384</v>
      </c>
      <c r="D878" s="7">
        <f>IF(RETORNOS!I878="","",RETORNOS!I878)</f>
        <v>-0.005871555778</v>
      </c>
      <c r="E878" s="7">
        <f t="shared" si="2"/>
        <v>-0.01691129981</v>
      </c>
      <c r="F878" s="7">
        <f t="shared" si="3"/>
        <v>0.007327239465</v>
      </c>
      <c r="G878" s="7">
        <f t="shared" si="4"/>
        <v>-0.003712504564</v>
      </c>
      <c r="H878" s="5">
        <f t="shared" ref="H878:K878" si="878">IF(B878="","",H877*(1+B878))</f>
        <v>285.6758993</v>
      </c>
      <c r="I878" s="5">
        <f t="shared" si="878"/>
        <v>205.6071957</v>
      </c>
      <c r="J878" s="5">
        <f t="shared" si="878"/>
        <v>128.8021475</v>
      </c>
      <c r="K878" s="5">
        <f t="shared" si="878"/>
        <v>168.2279143</v>
      </c>
      <c r="L878" s="7">
        <f t="shared" si="6"/>
        <v>-0.05659124158</v>
      </c>
    </row>
    <row r="879" ht="15.75" customHeight="1">
      <c r="A879" s="4">
        <f>IF(RETORNOS!A879="","",RETORNOS!A879)</f>
        <v>45691</v>
      </c>
      <c r="B879" s="7">
        <f>IF(RETORNOS!B879="","",OPTIMIZACION!$B$5*RETORNOS!B879+OPTIMIZACION!$B$6*RETORNOS!C879+OPTIMIZACION!$B$7*RETORNOS!D879+OPTIMIZACION!$B$8*RETORNOS!E879+OPTIMIZACION!$B$9*RETORNOS!F879+OPTIMIZACION!$B$10*RETORNOS!G879)</f>
        <v>-0.002143261836</v>
      </c>
      <c r="C879" s="7">
        <f>IF(RETORNOS!H879="","",RETORNOS!H879)</f>
        <v>0.006277798478</v>
      </c>
      <c r="D879" s="7">
        <f>IF(RETORNOS!I879="","",RETORNOS!I879)</f>
        <v>0.005393797397</v>
      </c>
      <c r="E879" s="7">
        <f t="shared" si="2"/>
        <v>0.005835797938</v>
      </c>
      <c r="F879" s="7">
        <f t="shared" si="3"/>
        <v>-0.008421060314</v>
      </c>
      <c r="G879" s="7">
        <f t="shared" si="4"/>
        <v>-0.007979059774</v>
      </c>
      <c r="H879" s="5">
        <f t="shared" ref="H879:K879" si="879">IF(B879="","",H878*(1+B879))</f>
        <v>285.0636211</v>
      </c>
      <c r="I879" s="5">
        <f t="shared" si="879"/>
        <v>206.8979562</v>
      </c>
      <c r="J879" s="5">
        <f t="shared" si="879"/>
        <v>129.4968802</v>
      </c>
      <c r="K879" s="5">
        <f t="shared" si="879"/>
        <v>169.2096584</v>
      </c>
      <c r="L879" s="7">
        <f t="shared" si="6"/>
        <v>-0.05861321356</v>
      </c>
    </row>
    <row r="880" ht="15.75" customHeight="1">
      <c r="A880" s="4">
        <f>IF(RETORNOS!A880="","",RETORNOS!A880)</f>
        <v>45692</v>
      </c>
      <c r="B880" s="7">
        <f>IF(RETORNOS!B880="","",OPTIMIZACION!$B$5*RETORNOS!B880+OPTIMIZACION!$B$6*RETORNOS!C880+OPTIMIZACION!$B$7*RETORNOS!D880+OPTIMIZACION!$B$8*RETORNOS!E880+OPTIMIZACION!$B$9*RETORNOS!F880+OPTIMIZACION!$B$10*RETORNOS!G880)</f>
        <v>0.004538476638</v>
      </c>
      <c r="C880" s="7">
        <f>IF(RETORNOS!H880="","",RETORNOS!H880)</f>
        <v>0.02097512046</v>
      </c>
      <c r="D880" s="7">
        <f>IF(RETORNOS!I880="","",RETORNOS!I880)</f>
        <v>-0.008814449918</v>
      </c>
      <c r="E880" s="7">
        <f t="shared" si="2"/>
        <v>0.006080335271</v>
      </c>
      <c r="F880" s="7">
        <f t="shared" si="3"/>
        <v>-0.01643664382</v>
      </c>
      <c r="G880" s="7">
        <f t="shared" si="4"/>
        <v>-0.001541858633</v>
      </c>
      <c r="H880" s="5">
        <f t="shared" ref="H880:K880" si="880">IF(B880="","",H879*(1+B880))</f>
        <v>286.3573757</v>
      </c>
      <c r="I880" s="5">
        <f t="shared" si="880"/>
        <v>211.2376658</v>
      </c>
      <c r="J880" s="5">
        <f t="shared" si="880"/>
        <v>128.3554364</v>
      </c>
      <c r="K880" s="5">
        <f t="shared" si="880"/>
        <v>170.2385099</v>
      </c>
      <c r="L880" s="7">
        <f t="shared" si="6"/>
        <v>-0.05434075163</v>
      </c>
    </row>
    <row r="881" ht="15.75" customHeight="1">
      <c r="A881" s="4">
        <f>IF(RETORNOS!A881="","",RETORNOS!A881)</f>
        <v>45693</v>
      </c>
      <c r="B881" s="7">
        <f>IF(RETORNOS!B881="","",OPTIMIZACION!$B$5*RETORNOS!B881+OPTIMIZACION!$B$6*RETORNOS!C881+OPTIMIZACION!$B$7*RETORNOS!D881+OPTIMIZACION!$B$8*RETORNOS!E881+OPTIMIZACION!$B$9*RETORNOS!F881+OPTIMIZACION!$B$10*RETORNOS!G881)</f>
        <v>0.006077795552</v>
      </c>
      <c r="C881" s="7">
        <f>IF(RETORNOS!H881="","",RETORNOS!H881)</f>
        <v>0.002111806375</v>
      </c>
      <c r="D881" s="7">
        <f>IF(RETORNOS!I881="","",RETORNOS!I881)</f>
        <v>0.01004850637</v>
      </c>
      <c r="E881" s="7">
        <f t="shared" si="2"/>
        <v>0.006080156375</v>
      </c>
      <c r="F881" s="7">
        <f t="shared" si="3"/>
        <v>0.003965989177</v>
      </c>
      <c r="G881" s="7">
        <f t="shared" si="4"/>
        <v>-0.000002360823119</v>
      </c>
      <c r="H881" s="5">
        <f t="shared" ref="H881:K881" si="881">IF(B881="","",H880*(1+B881))</f>
        <v>288.0977973</v>
      </c>
      <c r="I881" s="5">
        <f t="shared" si="881"/>
        <v>211.6837588</v>
      </c>
      <c r="J881" s="5">
        <f t="shared" si="881"/>
        <v>129.6452168</v>
      </c>
      <c r="K881" s="5">
        <f t="shared" si="881"/>
        <v>171.2735866</v>
      </c>
      <c r="L881" s="7">
        <f t="shared" si="6"/>
        <v>-0.04859322805</v>
      </c>
    </row>
    <row r="882" ht="15.75" customHeight="1">
      <c r="A882" s="4">
        <f>IF(RETORNOS!A882="","",RETORNOS!A882)</f>
        <v>45694</v>
      </c>
      <c r="B882" s="7">
        <f>IF(RETORNOS!B882="","",OPTIMIZACION!$B$5*RETORNOS!B882+OPTIMIZACION!$B$6*RETORNOS!C882+OPTIMIZACION!$B$7*RETORNOS!D882+OPTIMIZACION!$B$8*RETORNOS!E882+OPTIMIZACION!$B$9*RETORNOS!F882+OPTIMIZACION!$B$10*RETORNOS!G882)</f>
        <v>-0.005313549577</v>
      </c>
      <c r="C882" s="7">
        <f>IF(RETORNOS!H882="","",RETORNOS!H882)</f>
        <v>-0.01839813453</v>
      </c>
      <c r="D882" s="7">
        <f>IF(RETORNOS!I882="","",RETORNOS!I882)</f>
        <v>-0.001144173767</v>
      </c>
      <c r="E882" s="7">
        <f t="shared" si="2"/>
        <v>-0.00977115415</v>
      </c>
      <c r="F882" s="7">
        <f t="shared" si="3"/>
        <v>0.01308458495</v>
      </c>
      <c r="G882" s="7">
        <f t="shared" si="4"/>
        <v>0.004457604572</v>
      </c>
      <c r="H882" s="5">
        <f t="shared" ref="H882:K882" si="882">IF(B882="","",H881*(1+B882))</f>
        <v>286.5669753</v>
      </c>
      <c r="I882" s="5">
        <f t="shared" si="882"/>
        <v>207.7891725</v>
      </c>
      <c r="J882" s="5">
        <f t="shared" si="882"/>
        <v>129.4968802</v>
      </c>
      <c r="K882" s="5">
        <f t="shared" si="882"/>
        <v>169.600046</v>
      </c>
      <c r="L882" s="7">
        <f t="shared" si="6"/>
        <v>-0.0536485751</v>
      </c>
    </row>
    <row r="883" ht="15.75" customHeight="1">
      <c r="A883" s="4">
        <f>IF(RETORNOS!A883="","",RETORNOS!A883)</f>
        <v>45695</v>
      </c>
      <c r="B883" s="7">
        <f>IF(RETORNOS!B883="","",OPTIMIZACION!$B$5*RETORNOS!B883+OPTIMIZACION!$B$6*RETORNOS!C883+OPTIMIZACION!$B$7*RETORNOS!D883+OPTIMIZACION!$B$8*RETORNOS!E883+OPTIMIZACION!$B$9*RETORNOS!F883+OPTIMIZACION!$B$10*RETORNOS!G883)</f>
        <v>-0.003388542336</v>
      </c>
      <c r="C883" s="7">
        <f>IF(RETORNOS!H883="","",RETORNOS!H883)</f>
        <v>-0.0001143433193</v>
      </c>
      <c r="D883" s="7">
        <f>IF(RETORNOS!I883="","",RETORNOS!I883)</f>
        <v>-0.002046633826</v>
      </c>
      <c r="E883" s="7">
        <f t="shared" si="2"/>
        <v>-0.001080488573</v>
      </c>
      <c r="F883" s="7">
        <f t="shared" si="3"/>
        <v>-0.003274199017</v>
      </c>
      <c r="G883" s="7">
        <f t="shared" si="4"/>
        <v>-0.002308053763</v>
      </c>
      <c r="H883" s="5">
        <f t="shared" ref="H883:K883" si="883">IF(B883="","",H882*(1+B883))</f>
        <v>285.595931</v>
      </c>
      <c r="I883" s="5">
        <f t="shared" si="883"/>
        <v>207.7654132</v>
      </c>
      <c r="J883" s="5">
        <f t="shared" si="883"/>
        <v>129.2318475</v>
      </c>
      <c r="K883" s="5">
        <f t="shared" si="883"/>
        <v>169.4167951</v>
      </c>
      <c r="L883" s="7">
        <f t="shared" si="6"/>
        <v>-0.05685532697</v>
      </c>
    </row>
    <row r="884" ht="15.75" customHeight="1">
      <c r="A884" s="4">
        <f>IF(RETORNOS!A884="","",RETORNOS!A884)</f>
        <v>45698</v>
      </c>
      <c r="B884" s="7">
        <f>IF(RETORNOS!B884="","",OPTIMIZACION!$B$5*RETORNOS!B884+OPTIMIZACION!$B$6*RETORNOS!C884+OPTIMIZACION!$B$7*RETORNOS!D884+OPTIMIZACION!$B$8*RETORNOS!E884+OPTIMIZACION!$B$9*RETORNOS!F884+OPTIMIZACION!$B$10*RETORNOS!G884)</f>
        <v>0.01197686071</v>
      </c>
      <c r="C884" s="7">
        <f>IF(RETORNOS!H884="","",RETORNOS!H884)</f>
        <v>0.02201944059</v>
      </c>
      <c r="D884" s="7">
        <f>IF(RETORNOS!I884="","",RETORNOS!I884)</f>
        <v>0.01088072535</v>
      </c>
      <c r="E884" s="7">
        <f t="shared" si="2"/>
        <v>0.01645008297</v>
      </c>
      <c r="F884" s="7">
        <f t="shared" si="3"/>
        <v>-0.01004257987</v>
      </c>
      <c r="G884" s="7">
        <f t="shared" si="4"/>
        <v>-0.004473222253</v>
      </c>
      <c r="H884" s="5">
        <f t="shared" ref="H884:K884" si="884">IF(B884="","",H883*(1+B884))</f>
        <v>289.0164737</v>
      </c>
      <c r="I884" s="5">
        <f t="shared" si="884"/>
        <v>212.3402914</v>
      </c>
      <c r="J884" s="5">
        <f t="shared" si="884"/>
        <v>130.6379837</v>
      </c>
      <c r="K884" s="5">
        <f t="shared" si="884"/>
        <v>172.2037154</v>
      </c>
      <c r="L884" s="7">
        <f t="shared" si="6"/>
        <v>-0.04555941459</v>
      </c>
    </row>
    <row r="885" ht="15.75" customHeight="1">
      <c r="A885" s="4">
        <f>IF(RETORNOS!A885="","",RETORNOS!A885)</f>
        <v>45699</v>
      </c>
      <c r="B885" s="7">
        <f>IF(RETORNOS!B885="","",OPTIMIZACION!$B$5*RETORNOS!B885+OPTIMIZACION!$B$6*RETORNOS!C885+OPTIMIZACION!$B$7*RETORNOS!D885+OPTIMIZACION!$B$8*RETORNOS!E885+OPTIMIZACION!$B$9*RETORNOS!F885+OPTIMIZACION!$B$10*RETORNOS!G885)</f>
        <v>-0.005502887277</v>
      </c>
      <c r="C885" s="7">
        <f>IF(RETORNOS!H885="","",RETORNOS!H885)</f>
        <v>0.008067683595</v>
      </c>
      <c r="D885" s="7">
        <f>IF(RETORNOS!I885="","",RETORNOS!I885)</f>
        <v>0.005062776871</v>
      </c>
      <c r="E885" s="7">
        <f t="shared" si="2"/>
        <v>0.006565230233</v>
      </c>
      <c r="F885" s="7">
        <f t="shared" si="3"/>
        <v>-0.01357057087</v>
      </c>
      <c r="G885" s="7">
        <f t="shared" si="4"/>
        <v>-0.01206811751</v>
      </c>
      <c r="H885" s="5">
        <f t="shared" ref="H885:K885" si="885">IF(B885="","",H884*(1+B885))</f>
        <v>287.4260486</v>
      </c>
      <c r="I885" s="5">
        <f t="shared" si="885"/>
        <v>214.0533857</v>
      </c>
      <c r="J885" s="5">
        <f t="shared" si="885"/>
        <v>131.2993747</v>
      </c>
      <c r="K885" s="5">
        <f t="shared" si="885"/>
        <v>173.3342725</v>
      </c>
      <c r="L885" s="7">
        <f t="shared" si="6"/>
        <v>-0.05081159355</v>
      </c>
    </row>
    <row r="886" ht="15.75" customHeight="1">
      <c r="A886" s="4">
        <f>IF(RETORNOS!A886="","",RETORNOS!A886)</f>
        <v>45700</v>
      </c>
      <c r="B886" s="7">
        <f>IF(RETORNOS!B886="","",OPTIMIZACION!$B$5*RETORNOS!B886+OPTIMIZACION!$B$6*RETORNOS!C886+OPTIMIZACION!$B$7*RETORNOS!D886+OPTIMIZACION!$B$8*RETORNOS!E886+OPTIMIZACION!$B$9*RETORNOS!F886+OPTIMIZACION!$B$10*RETORNOS!G886)</f>
        <v>-0.01239905648</v>
      </c>
      <c r="C886" s="7">
        <f>IF(RETORNOS!H886="","",RETORNOS!H886)</f>
        <v>-0.02411581754</v>
      </c>
      <c r="D886" s="7">
        <f>IF(RETORNOS!I886="","",RETORNOS!I886)</f>
        <v>-0.001764600711</v>
      </c>
      <c r="E886" s="7">
        <f t="shared" si="2"/>
        <v>-0.01294020912</v>
      </c>
      <c r="F886" s="7">
        <f t="shared" si="3"/>
        <v>0.01171676106</v>
      </c>
      <c r="G886" s="7">
        <f t="shared" si="4"/>
        <v>0.0005411526476</v>
      </c>
      <c r="H886" s="5">
        <f t="shared" ref="H886:K886" si="886">IF(B886="","",H885*(1+B886))</f>
        <v>283.8622368</v>
      </c>
      <c r="I886" s="5">
        <f t="shared" si="886"/>
        <v>208.8913133</v>
      </c>
      <c r="J886" s="5">
        <f t="shared" si="886"/>
        <v>131.0676837</v>
      </c>
      <c r="K886" s="5">
        <f t="shared" si="886"/>
        <v>171.0912907</v>
      </c>
      <c r="L886" s="7">
        <f t="shared" si="6"/>
        <v>-0.0625806342</v>
      </c>
    </row>
    <row r="887" ht="15.75" customHeight="1">
      <c r="A887" s="4">
        <f>IF(RETORNOS!A887="","",RETORNOS!A887)</f>
        <v>45701</v>
      </c>
      <c r="B887" s="7">
        <f>IF(RETORNOS!B887="","",OPTIMIZACION!$B$5*RETORNOS!B887+OPTIMIZACION!$B$6*RETORNOS!C887+OPTIMIZACION!$B$7*RETORNOS!D887+OPTIMIZACION!$B$8*RETORNOS!E887+OPTIMIZACION!$B$9*RETORNOS!F887+OPTIMIZACION!$B$10*RETORNOS!G887)</f>
        <v>0.01254433418</v>
      </c>
      <c r="C887" s="7">
        <f>IF(RETORNOS!H887="","",RETORNOS!H887)</f>
        <v>0.007527732836</v>
      </c>
      <c r="D887" s="7">
        <f>IF(RETORNOS!I887="","",RETORNOS!I887)</f>
        <v>0.002271299599</v>
      </c>
      <c r="E887" s="7">
        <f t="shared" si="2"/>
        <v>0.004899516217</v>
      </c>
      <c r="F887" s="7">
        <f t="shared" si="3"/>
        <v>0.005016601342</v>
      </c>
      <c r="G887" s="7">
        <f t="shared" si="4"/>
        <v>0.007644817961</v>
      </c>
      <c r="H887" s="5">
        <f t="shared" ref="H887:K887" si="887">IF(B887="","",H886*(1+B887))</f>
        <v>287.4230996</v>
      </c>
      <c r="I887" s="5">
        <f t="shared" si="887"/>
        <v>210.4637913</v>
      </c>
      <c r="J887" s="5">
        <f t="shared" si="887"/>
        <v>131.3653777</v>
      </c>
      <c r="K887" s="5">
        <f t="shared" si="887"/>
        <v>171.9295553</v>
      </c>
      <c r="L887" s="7">
        <f t="shared" si="6"/>
        <v>-0.05082133241</v>
      </c>
    </row>
    <row r="888" ht="15.75" customHeight="1">
      <c r="A888" s="4">
        <f>IF(RETORNOS!A888="","",RETORNOS!A888)</f>
        <v>45702</v>
      </c>
      <c r="B888" s="7">
        <f>IF(RETORNOS!B888="","",OPTIMIZACION!$B$5*RETORNOS!B888+OPTIMIZACION!$B$6*RETORNOS!C888+OPTIMIZACION!$B$7*RETORNOS!D888+OPTIMIZACION!$B$8*RETORNOS!E888+OPTIMIZACION!$B$9*RETORNOS!F888+OPTIMIZACION!$B$10*RETORNOS!G888)</f>
        <v>-0.003002787774</v>
      </c>
      <c r="C888" s="7">
        <f>IF(RETORNOS!H888="","",RETORNOS!H888)</f>
        <v>0.004013362516</v>
      </c>
      <c r="D888" s="7">
        <f>IF(RETORNOS!I888="","",RETORNOS!I888)</f>
        <v>-0.004154181246</v>
      </c>
      <c r="E888" s="7">
        <f t="shared" si="2"/>
        <v>-0.00007040936487</v>
      </c>
      <c r="F888" s="7">
        <f t="shared" si="3"/>
        <v>-0.00701615029</v>
      </c>
      <c r="G888" s="7">
        <f t="shared" si="4"/>
        <v>-0.002932378409</v>
      </c>
      <c r="H888" s="5">
        <f t="shared" ref="H888:K888" si="888">IF(B888="","",H887*(1+B888))</f>
        <v>286.560029</v>
      </c>
      <c r="I888" s="5">
        <f t="shared" si="888"/>
        <v>211.3084588</v>
      </c>
      <c r="J888" s="5">
        <f t="shared" si="888"/>
        <v>130.8196621</v>
      </c>
      <c r="K888" s="5">
        <f t="shared" si="888"/>
        <v>171.9174498</v>
      </c>
      <c r="L888" s="7">
        <f t="shared" si="6"/>
        <v>-0.05367151451</v>
      </c>
    </row>
    <row r="889" ht="15.75" customHeight="1">
      <c r="A889" s="4">
        <f>IF(RETORNOS!A889="","",RETORNOS!A889)</f>
        <v>45706</v>
      </c>
      <c r="B889" s="7">
        <f>IF(RETORNOS!B889="","",OPTIMIZACION!$B$5*RETORNOS!B889+OPTIMIZACION!$B$6*RETORNOS!C889+OPTIMIZACION!$B$7*RETORNOS!D889+OPTIMIZACION!$B$8*RETORNOS!E889+OPTIMIZACION!$B$9*RETORNOS!F889+OPTIMIZACION!$B$10*RETORNOS!G889)</f>
        <v>0.01025483626</v>
      </c>
      <c r="C889" s="7">
        <f>IF(RETORNOS!H889="","",RETORNOS!H889)</f>
        <v>0.01365330249</v>
      </c>
      <c r="D889" s="7">
        <f>IF(RETORNOS!I889="","",RETORNOS!I889)</f>
        <v>0.009354690219</v>
      </c>
      <c r="E889" s="7">
        <f t="shared" si="2"/>
        <v>0.01150399636</v>
      </c>
      <c r="F889" s="7">
        <f t="shared" si="3"/>
        <v>-0.003398466235</v>
      </c>
      <c r="G889" s="7">
        <f t="shared" si="4"/>
        <v>-0.001249160098</v>
      </c>
      <c r="H889" s="5">
        <f t="shared" ref="H889:K889" si="889">IF(B889="","",H888*(1+B889))</f>
        <v>289.4986552</v>
      </c>
      <c r="I889" s="5">
        <f t="shared" si="889"/>
        <v>214.1935171</v>
      </c>
      <c r="J889" s="5">
        <f t="shared" si="889"/>
        <v>132.0434395</v>
      </c>
      <c r="K889" s="5">
        <f t="shared" si="889"/>
        <v>173.8951876</v>
      </c>
      <c r="L889" s="7">
        <f t="shared" si="6"/>
        <v>-0.04396707085</v>
      </c>
    </row>
    <row r="890" ht="15.75" customHeight="1">
      <c r="A890" s="4">
        <f>IF(RETORNOS!A890="","",RETORNOS!A890)</f>
        <v>45707</v>
      </c>
      <c r="B890" s="7">
        <f>IF(RETORNOS!B890="","",OPTIMIZACION!$B$5*RETORNOS!B890+OPTIMIZACION!$B$6*RETORNOS!C890+OPTIMIZACION!$B$7*RETORNOS!D890+OPTIMIZACION!$B$8*RETORNOS!E890+OPTIMIZACION!$B$9*RETORNOS!F890+OPTIMIZACION!$B$10*RETORNOS!G890)</f>
        <v>0.002435120954</v>
      </c>
      <c r="C890" s="7">
        <f>IF(RETORNOS!H890="","",RETORNOS!H890)</f>
        <v>0.007889220405</v>
      </c>
      <c r="D890" s="7">
        <f>IF(RETORNOS!I890="","",RETORNOS!I890)</f>
        <v>0.005261394965</v>
      </c>
      <c r="E890" s="7">
        <f t="shared" si="2"/>
        <v>0.006575307685</v>
      </c>
      <c r="F890" s="7">
        <f t="shared" si="3"/>
        <v>-0.005454099451</v>
      </c>
      <c r="G890" s="7">
        <f t="shared" si="4"/>
        <v>-0.004140186731</v>
      </c>
      <c r="H890" s="5">
        <f t="shared" ref="H890:K890" si="890">IF(B890="","",H889*(1+B890))</f>
        <v>290.2036194</v>
      </c>
      <c r="I890" s="5">
        <f t="shared" si="890"/>
        <v>215.883337</v>
      </c>
      <c r="J890" s="5">
        <f t="shared" si="890"/>
        <v>132.7381722</v>
      </c>
      <c r="K890" s="5">
        <f t="shared" si="890"/>
        <v>175.0386019</v>
      </c>
      <c r="L890" s="7">
        <f t="shared" si="6"/>
        <v>-0.04163901503</v>
      </c>
    </row>
    <row r="891" ht="15.75" customHeight="1">
      <c r="A891" s="4">
        <f>IF(RETORNOS!A891="","",RETORNOS!A891)</f>
        <v>45708</v>
      </c>
      <c r="B891" s="7">
        <f>IF(RETORNOS!B891="","",OPTIMIZACION!$B$5*RETORNOS!B891+OPTIMIZACION!$B$6*RETORNOS!C891+OPTIMIZACION!$B$7*RETORNOS!D891+OPTIMIZACION!$B$8*RETORNOS!E891+OPTIMIZACION!$B$9*RETORNOS!F891+OPTIMIZACION!$B$10*RETORNOS!G891)</f>
        <v>0.007953395694</v>
      </c>
      <c r="C891" s="7">
        <f>IF(RETORNOS!H891="","",RETORNOS!H891)</f>
        <v>0.009125681955</v>
      </c>
      <c r="D891" s="7">
        <f>IF(RETORNOS!I891="","",RETORNOS!I891)</f>
        <v>-0.0001255920769</v>
      </c>
      <c r="E891" s="7">
        <f t="shared" si="2"/>
        <v>0.004500044939</v>
      </c>
      <c r="F891" s="7">
        <f t="shared" si="3"/>
        <v>-0.001172286262</v>
      </c>
      <c r="G891" s="7">
        <f t="shared" si="4"/>
        <v>0.003453350754</v>
      </c>
      <c r="H891" s="5">
        <f t="shared" ref="H891:K891" si="891">IF(B891="","",H890*(1+B891))</f>
        <v>292.5117236</v>
      </c>
      <c r="I891" s="5">
        <f t="shared" si="891"/>
        <v>217.8534196</v>
      </c>
      <c r="J891" s="5">
        <f t="shared" si="891"/>
        <v>132.7215013</v>
      </c>
      <c r="K891" s="5">
        <f t="shared" si="891"/>
        <v>175.8262835</v>
      </c>
      <c r="L891" s="7">
        <f t="shared" si="6"/>
        <v>-0.0340167909</v>
      </c>
    </row>
    <row r="892" ht="15.75" customHeight="1">
      <c r="A892" s="4">
        <f>IF(RETORNOS!A892="","",RETORNOS!A892)</f>
        <v>45709</v>
      </c>
      <c r="B892" s="7">
        <f>IF(RETORNOS!B892="","",OPTIMIZACION!$B$5*RETORNOS!B892+OPTIMIZACION!$B$6*RETORNOS!C892+OPTIMIZACION!$B$7*RETORNOS!D892+OPTIMIZACION!$B$8*RETORNOS!E892+OPTIMIZACION!$B$9*RETORNOS!F892+OPTIMIZACION!$B$10*RETORNOS!G892)</f>
        <v>-0.01970838248</v>
      </c>
      <c r="C892" s="7">
        <f>IF(RETORNOS!H892="","",RETORNOS!H892)</f>
        <v>-0.02078167776</v>
      </c>
      <c r="D892" s="7">
        <f>IF(RETORNOS!I892="","",RETORNOS!I892)</f>
        <v>0.0002512157046</v>
      </c>
      <c r="E892" s="7">
        <f t="shared" si="2"/>
        <v>-0.01026523103</v>
      </c>
      <c r="F892" s="7">
        <f t="shared" si="3"/>
        <v>0.001073295279</v>
      </c>
      <c r="G892" s="7">
        <f t="shared" si="4"/>
        <v>-0.009443151452</v>
      </c>
      <c r="H892" s="5">
        <f t="shared" ref="H892:K892" si="892">IF(B892="","",H891*(1+B892))</f>
        <v>286.7467907</v>
      </c>
      <c r="I892" s="5">
        <f t="shared" si="892"/>
        <v>213.3260601</v>
      </c>
      <c r="J892" s="5">
        <f t="shared" si="892"/>
        <v>132.7548431</v>
      </c>
      <c r="K892" s="5">
        <f t="shared" si="892"/>
        <v>174.0213861</v>
      </c>
      <c r="L892" s="7">
        <f t="shared" si="6"/>
        <v>-0.05305475745</v>
      </c>
    </row>
    <row r="893" ht="15.75" customHeight="1">
      <c r="A893" s="4">
        <f>IF(RETORNOS!A893="","",RETORNOS!A893)</f>
        <v>45712</v>
      </c>
      <c r="B893" s="7">
        <f>IF(RETORNOS!B893="","",OPTIMIZACION!$B$5*RETORNOS!B893+OPTIMIZACION!$B$6*RETORNOS!C893+OPTIMIZACION!$B$7*RETORNOS!D893+OPTIMIZACION!$B$8*RETORNOS!E893+OPTIMIZACION!$B$9*RETORNOS!F893+OPTIMIZACION!$B$10*RETORNOS!G893)</f>
        <v>-0.007156020758</v>
      </c>
      <c r="C893" s="7">
        <f>IF(RETORNOS!H893="","",RETORNOS!H893)</f>
        <v>0.0002182051265</v>
      </c>
      <c r="D893" s="7">
        <f>IF(RETORNOS!I893="","",RETORNOS!I893)</f>
        <v>-0.004982047714</v>
      </c>
      <c r="E893" s="7">
        <f t="shared" si="2"/>
        <v>-0.002381921294</v>
      </c>
      <c r="F893" s="7">
        <f t="shared" si="3"/>
        <v>-0.007374225885</v>
      </c>
      <c r="G893" s="7">
        <f t="shared" si="4"/>
        <v>-0.004774099465</v>
      </c>
      <c r="H893" s="5">
        <f t="shared" ref="H893:K893" si="893">IF(B893="","",H892*(1+B893))</f>
        <v>284.6948247</v>
      </c>
      <c r="I893" s="5">
        <f t="shared" si="893"/>
        <v>213.3726089</v>
      </c>
      <c r="J893" s="5">
        <f t="shared" si="893"/>
        <v>132.0934521</v>
      </c>
      <c r="K893" s="5">
        <f t="shared" si="893"/>
        <v>173.6068808</v>
      </c>
      <c r="L893" s="7">
        <f t="shared" si="6"/>
        <v>-0.05983111726</v>
      </c>
    </row>
    <row r="894" ht="15.75" customHeight="1">
      <c r="A894" s="4">
        <f>IF(RETORNOS!A894="","",RETORNOS!A894)</f>
        <v>45713</v>
      </c>
      <c r="B894" s="7">
        <f>IF(RETORNOS!B894="","",OPTIMIZACION!$B$5*RETORNOS!B894+OPTIMIZACION!$B$6*RETORNOS!C894+OPTIMIZACION!$B$7*RETORNOS!D894+OPTIMIZACION!$B$8*RETORNOS!E894+OPTIMIZACION!$B$9*RETORNOS!F894+OPTIMIZACION!$B$10*RETORNOS!G894)</f>
        <v>-0.01159457886</v>
      </c>
      <c r="C894" s="7">
        <f>IF(RETORNOS!H894="","",RETORNOS!H894)</f>
        <v>-0.01440294149</v>
      </c>
      <c r="D894" s="7">
        <f>IF(RETORNOS!I894="","",RETORNOS!I894)</f>
        <v>-0.005009568404</v>
      </c>
      <c r="E894" s="7">
        <f t="shared" si="2"/>
        <v>-0.009706254948</v>
      </c>
      <c r="F894" s="7">
        <f t="shared" si="3"/>
        <v>0.002808362632</v>
      </c>
      <c r="G894" s="7">
        <f t="shared" si="4"/>
        <v>-0.001888323911</v>
      </c>
      <c r="H894" s="5">
        <f t="shared" ref="H894:K894" si="894">IF(B894="","",H893*(1+B894))</f>
        <v>281.3939081</v>
      </c>
      <c r="I894" s="5">
        <f t="shared" si="894"/>
        <v>210.2994157</v>
      </c>
      <c r="J894" s="5">
        <f t="shared" si="894"/>
        <v>131.4317209</v>
      </c>
      <c r="K894" s="5">
        <f t="shared" si="894"/>
        <v>171.9218082</v>
      </c>
      <c r="L894" s="7">
        <f t="shared" si="6"/>
        <v>-0.07073197952</v>
      </c>
    </row>
    <row r="895" ht="15.75" customHeight="1">
      <c r="A895" s="4">
        <f>IF(RETORNOS!A895="","",RETORNOS!A895)</f>
        <v>45714</v>
      </c>
      <c r="B895" s="7">
        <f>IF(RETORNOS!B895="","",OPTIMIZACION!$B$5*RETORNOS!B895+OPTIMIZACION!$B$6*RETORNOS!C895+OPTIMIZACION!$B$7*RETORNOS!D895+OPTIMIZACION!$B$8*RETORNOS!E895+OPTIMIZACION!$B$9*RETORNOS!F895+OPTIMIZACION!$B$10*RETORNOS!G895)</f>
        <v>0.01047588404</v>
      </c>
      <c r="C895" s="7">
        <f>IF(RETORNOS!H895="","",RETORNOS!H895)</f>
        <v>-0.005688119508</v>
      </c>
      <c r="D895" s="7">
        <f>IF(RETORNOS!I895="","",RETORNOS!I895)</f>
        <v>0.004152084326</v>
      </c>
      <c r="E895" s="7">
        <f t="shared" si="2"/>
        <v>-0.0007680175913</v>
      </c>
      <c r="F895" s="7">
        <f t="shared" si="3"/>
        <v>0.01616400354</v>
      </c>
      <c r="G895" s="7">
        <f t="shared" si="4"/>
        <v>0.01124390163</v>
      </c>
      <c r="H895" s="5">
        <f t="shared" ref="H895:K895" si="895">IF(B895="","",H894*(1+B895))</f>
        <v>284.3417581</v>
      </c>
      <c r="I895" s="5">
        <f t="shared" si="895"/>
        <v>209.1032075</v>
      </c>
      <c r="J895" s="5">
        <f t="shared" si="895"/>
        <v>131.9774365</v>
      </c>
      <c r="K895" s="5">
        <f t="shared" si="895"/>
        <v>171.7897692</v>
      </c>
      <c r="L895" s="7">
        <f t="shared" si="6"/>
        <v>-0.06099707549</v>
      </c>
    </row>
    <row r="896" ht="15.75" customHeight="1">
      <c r="A896" s="4">
        <f>IF(RETORNOS!A896="","",RETORNOS!A896)</f>
        <v>45715</v>
      </c>
      <c r="B896" s="7">
        <f>IF(RETORNOS!B896="","",OPTIMIZACION!$B$5*RETORNOS!B896+OPTIMIZACION!$B$6*RETORNOS!C896+OPTIMIZACION!$B$7*RETORNOS!D896+OPTIMIZACION!$B$8*RETORNOS!E896+OPTIMIZACION!$B$9*RETORNOS!F896+OPTIMIZACION!$B$10*RETORNOS!G896)</f>
        <v>-0.02002879985</v>
      </c>
      <c r="C896" s="7">
        <f>IF(RETORNOS!H896="","",RETORNOS!H896)</f>
        <v>0.00538442274</v>
      </c>
      <c r="D896" s="7">
        <f>IF(RETORNOS!I896="","",RETORNOS!I896)</f>
        <v>-0.0221800596</v>
      </c>
      <c r="E896" s="7">
        <f t="shared" si="2"/>
        <v>-0.00839781843</v>
      </c>
      <c r="F896" s="7">
        <f t="shared" si="3"/>
        <v>-0.02541322259</v>
      </c>
      <c r="G896" s="7">
        <f t="shared" si="4"/>
        <v>-0.01163098142</v>
      </c>
      <c r="H896" s="5">
        <f t="shared" ref="H896:K896" si="896">IF(B896="","",H895*(1+B896))</f>
        <v>278.6467339</v>
      </c>
      <c r="I896" s="5">
        <f t="shared" si="896"/>
        <v>210.2291076</v>
      </c>
      <c r="J896" s="5">
        <f t="shared" si="896"/>
        <v>129.0501691</v>
      </c>
      <c r="K896" s="5">
        <f t="shared" si="896"/>
        <v>170.3471099</v>
      </c>
      <c r="L896" s="7">
        <f t="shared" si="6"/>
        <v>-0.07980417712</v>
      </c>
    </row>
    <row r="897" ht="15.75" customHeight="1">
      <c r="A897" s="4">
        <f>IF(RETORNOS!A897="","",RETORNOS!A897)</f>
        <v>45716</v>
      </c>
      <c r="B897" s="7">
        <f>IF(RETORNOS!B897="","",OPTIMIZACION!$B$5*RETORNOS!B897+OPTIMIZACION!$B$6*RETORNOS!C897+OPTIMIZACION!$B$7*RETORNOS!D897+OPTIMIZACION!$B$8*RETORNOS!E897+OPTIMIZACION!$B$9*RETORNOS!F897+OPTIMIZACION!$B$10*RETORNOS!G897)</f>
        <v>0.01931258337</v>
      </c>
      <c r="C897" s="7">
        <f>IF(RETORNOS!H897="","",RETORNOS!H897)</f>
        <v>0.01551090261</v>
      </c>
      <c r="D897" s="7">
        <f>IF(RETORNOS!I897="","",RETORNOS!I897)</f>
        <v>0.01525129709</v>
      </c>
      <c r="E897" s="7">
        <f t="shared" si="2"/>
        <v>0.01538109985</v>
      </c>
      <c r="F897" s="7">
        <f t="shared" si="3"/>
        <v>0.003801680758</v>
      </c>
      <c r="G897" s="7">
        <f t="shared" si="4"/>
        <v>0.003931483519</v>
      </c>
      <c r="H897" s="5">
        <f t="shared" ref="H897:K897" si="897">IF(B897="","",H896*(1+B897))</f>
        <v>284.0281222</v>
      </c>
      <c r="I897" s="5">
        <f t="shared" si="897"/>
        <v>213.4899508</v>
      </c>
      <c r="J897" s="5">
        <f t="shared" si="897"/>
        <v>131.0183516</v>
      </c>
      <c r="K897" s="5">
        <f t="shared" si="897"/>
        <v>172.9672358</v>
      </c>
      <c r="L897" s="7">
        <f t="shared" si="6"/>
        <v>-0.06203281858</v>
      </c>
    </row>
    <row r="898" ht="15.75" customHeight="1">
      <c r="A898" s="4">
        <f>IF(RETORNOS!A898="","",RETORNOS!A898)</f>
        <v>45719</v>
      </c>
      <c r="B898" s="7">
        <f>IF(RETORNOS!B898="","",OPTIMIZACION!$B$5*RETORNOS!B898+OPTIMIZACION!$B$6*RETORNOS!C898+OPTIMIZACION!$B$7*RETORNOS!D898+OPTIMIZACION!$B$8*RETORNOS!E898+OPTIMIZACION!$B$9*RETORNOS!F898+OPTIMIZACION!$B$10*RETORNOS!G898)</f>
        <v>-0.02155836032</v>
      </c>
      <c r="C898" s="7">
        <f>IF(RETORNOS!H898="","",RETORNOS!H898)</f>
        <v>-0.03494279919</v>
      </c>
      <c r="D898" s="7">
        <f>IF(RETORNOS!I898="","",RETORNOS!I898)</f>
        <v>0.00138666362</v>
      </c>
      <c r="E898" s="7">
        <f t="shared" si="2"/>
        <v>-0.01677806779</v>
      </c>
      <c r="F898" s="7">
        <f t="shared" si="3"/>
        <v>0.01338443888</v>
      </c>
      <c r="G898" s="7">
        <f t="shared" si="4"/>
        <v>-0.00478029253</v>
      </c>
      <c r="H898" s="5">
        <f t="shared" ref="H898:K898" si="898">IF(B898="","",H897*(1+B898))</f>
        <v>277.9049416</v>
      </c>
      <c r="I898" s="5">
        <f t="shared" si="898"/>
        <v>206.0300143</v>
      </c>
      <c r="J898" s="5">
        <f t="shared" si="898"/>
        <v>131.2000299</v>
      </c>
      <c r="K898" s="5">
        <f t="shared" si="898"/>
        <v>170.0651798</v>
      </c>
      <c r="L898" s="7">
        <f t="shared" si="6"/>
        <v>-0.08225385305</v>
      </c>
    </row>
    <row r="899" ht="15.75" customHeight="1">
      <c r="A899" s="4">
        <f>IF(RETORNOS!A899="","",RETORNOS!A899)</f>
        <v>45720</v>
      </c>
      <c r="B899" s="7">
        <f>IF(RETORNOS!B899="","",OPTIMIZACION!$B$5*RETORNOS!B899+OPTIMIZACION!$B$6*RETORNOS!C899+OPTIMIZACION!$B$7*RETORNOS!D899+OPTIMIZACION!$B$8*RETORNOS!E899+OPTIMIZACION!$B$9*RETORNOS!F899+OPTIMIZACION!$B$10*RETORNOS!G899)</f>
        <v>-0.005548574349</v>
      </c>
      <c r="C899" s="7">
        <f>IF(RETORNOS!H899="","",RETORNOS!H899)</f>
        <v>-0.009679788</v>
      </c>
      <c r="D899" s="7">
        <f>IF(RETORNOS!I899="","",RETORNOS!I899)</f>
        <v>-0.01626165946</v>
      </c>
      <c r="E899" s="7">
        <f t="shared" si="2"/>
        <v>-0.01297072373</v>
      </c>
      <c r="F899" s="7">
        <f t="shared" si="3"/>
        <v>0.004131213651</v>
      </c>
      <c r="G899" s="7">
        <f t="shared" si="4"/>
        <v>0.007422149382</v>
      </c>
      <c r="H899" s="5">
        <f t="shared" ref="H899:K899" si="899">IF(B899="","",H898*(1+B899))</f>
        <v>276.3629653</v>
      </c>
      <c r="I899" s="5">
        <f t="shared" si="899"/>
        <v>204.0356874</v>
      </c>
      <c r="J899" s="5">
        <f t="shared" si="899"/>
        <v>129.0664997</v>
      </c>
      <c r="K899" s="5">
        <f t="shared" si="899"/>
        <v>167.8593113</v>
      </c>
      <c r="L899" s="7">
        <f t="shared" si="6"/>
        <v>-0.08734603577</v>
      </c>
    </row>
    <row r="900" ht="15.75" customHeight="1">
      <c r="A900" s="4">
        <f>IF(RETORNOS!A900="","",RETORNOS!A900)</f>
        <v>45721</v>
      </c>
      <c r="B900" s="7">
        <f>IF(RETORNOS!B900="","",OPTIMIZACION!$B$5*RETORNOS!B900+OPTIMIZACION!$B$6*RETORNOS!C900+OPTIMIZACION!$B$7*RETORNOS!D900+OPTIMIZACION!$B$8*RETORNOS!E900+OPTIMIZACION!$B$9*RETORNOS!F900+OPTIMIZACION!$B$10*RETORNOS!G900)</f>
        <v>-0.005469737856</v>
      </c>
      <c r="C900" s="7">
        <f>IF(RETORNOS!H900="","",RETORNOS!H900)</f>
        <v>-0.01460337981</v>
      </c>
      <c r="D900" s="7">
        <f>IF(RETORNOS!I900="","",RETORNOS!I900)</f>
        <v>-0.007046077604</v>
      </c>
      <c r="E900" s="7">
        <f t="shared" si="2"/>
        <v>-0.01082472871</v>
      </c>
      <c r="F900" s="7">
        <f t="shared" si="3"/>
        <v>0.009133641953</v>
      </c>
      <c r="G900" s="7">
        <f t="shared" si="4"/>
        <v>0.005354990851</v>
      </c>
      <c r="H900" s="5">
        <f t="shared" ref="H900:K900" si="900">IF(B900="","",H899*(1+B900))</f>
        <v>274.8513324</v>
      </c>
      <c r="I900" s="5">
        <f t="shared" si="900"/>
        <v>201.0560768</v>
      </c>
      <c r="J900" s="5">
        <f t="shared" si="900"/>
        <v>128.1570872</v>
      </c>
      <c r="K900" s="5">
        <f t="shared" si="900"/>
        <v>166.0422798</v>
      </c>
      <c r="L900" s="7">
        <f t="shared" si="6"/>
        <v>-0.09233801371</v>
      </c>
    </row>
    <row r="901" ht="15.75" customHeight="1">
      <c r="A901" s="4">
        <f>IF(RETORNOS!A901="","",RETORNOS!A901)</f>
        <v>45722</v>
      </c>
      <c r="B901" s="7">
        <f>IF(RETORNOS!B901="","",OPTIMIZACION!$B$5*RETORNOS!B901+OPTIMIZACION!$B$6*RETORNOS!C901+OPTIMIZACION!$B$7*RETORNOS!D901+OPTIMIZACION!$B$8*RETORNOS!E901+OPTIMIZACION!$B$9*RETORNOS!F901+OPTIMIZACION!$B$10*RETORNOS!G901)</f>
        <v>-0.01585864727</v>
      </c>
      <c r="C901" s="7">
        <f>IF(RETORNOS!H901="","",RETORNOS!H901)</f>
        <v>0.003033898632</v>
      </c>
      <c r="D901" s="7">
        <f>IF(RETORNOS!I901="","",RETORNOS!I901)</f>
        <v>-0.02077586962</v>
      </c>
      <c r="E901" s="7">
        <f t="shared" si="2"/>
        <v>-0.008870985495</v>
      </c>
      <c r="F901" s="7">
        <f t="shared" si="3"/>
        <v>-0.0188925459</v>
      </c>
      <c r="G901" s="7">
        <f t="shared" si="4"/>
        <v>-0.006987661774</v>
      </c>
      <c r="H901" s="5">
        <f t="shared" ref="H901:K901" si="901">IF(B901="","",H900*(1+B901))</f>
        <v>270.492562</v>
      </c>
      <c r="I901" s="5">
        <f t="shared" si="901"/>
        <v>201.6660606</v>
      </c>
      <c r="J901" s="5">
        <f t="shared" si="901"/>
        <v>125.4945122</v>
      </c>
      <c r="K901" s="5">
        <f t="shared" si="901"/>
        <v>164.5693212</v>
      </c>
      <c r="L901" s="7">
        <f t="shared" si="6"/>
        <v>-0.106732305</v>
      </c>
    </row>
    <row r="902" ht="15.75" customHeight="1">
      <c r="A902" s="4">
        <f>IF(RETORNOS!A902="","",RETORNOS!A902)</f>
        <v>45723</v>
      </c>
      <c r="B902" s="7">
        <f>IF(RETORNOS!B902="","",OPTIMIZACION!$B$5*RETORNOS!B902+OPTIMIZACION!$B$6*RETORNOS!C902+OPTIMIZACION!$B$7*RETORNOS!D902+OPTIMIZACION!$B$8*RETORNOS!E902+OPTIMIZACION!$B$9*RETORNOS!F902+OPTIMIZACION!$B$10*RETORNOS!G902)</f>
        <v>0.01250016392</v>
      </c>
      <c r="C902" s="7">
        <f>IF(RETORNOS!H902="","",RETORNOS!H902)</f>
        <v>0.01710001779</v>
      </c>
      <c r="D902" s="7">
        <f>IF(RETORNOS!I902="","",RETORNOS!I902)</f>
        <v>0.01858152529</v>
      </c>
      <c r="E902" s="7">
        <f t="shared" si="2"/>
        <v>0.01784077154</v>
      </c>
      <c r="F902" s="7">
        <f t="shared" si="3"/>
        <v>-0.004599853873</v>
      </c>
      <c r="G902" s="7">
        <f t="shared" si="4"/>
        <v>-0.005340607622</v>
      </c>
      <c r="H902" s="5">
        <f t="shared" ref="H902:K902" si="902">IF(B902="","",H901*(1+B902))</f>
        <v>273.8737634</v>
      </c>
      <c r="I902" s="5">
        <f t="shared" si="902"/>
        <v>205.1145538</v>
      </c>
      <c r="J902" s="5">
        <f t="shared" si="902"/>
        <v>127.8263917</v>
      </c>
      <c r="K902" s="5">
        <f t="shared" si="902"/>
        <v>167.5053648</v>
      </c>
      <c r="L902" s="7">
        <f t="shared" si="6"/>
        <v>-0.09556631238</v>
      </c>
    </row>
    <row r="903" ht="15.75" customHeight="1">
      <c r="A903" s="4">
        <f>IF(RETORNOS!A903="","",RETORNOS!A903)</f>
        <v>45726</v>
      </c>
      <c r="B903" s="7">
        <f>IF(RETORNOS!B903="","",OPTIMIZACION!$B$5*RETORNOS!B903+OPTIMIZACION!$B$6*RETORNOS!C903+OPTIMIZACION!$B$7*RETORNOS!D903+OPTIMIZACION!$B$8*RETORNOS!E903+OPTIMIZACION!$B$9*RETORNOS!F903+OPTIMIZACION!$B$10*RETORNOS!G903)</f>
        <v>-0.003848630009</v>
      </c>
      <c r="C903" s="7">
        <f>IF(RETORNOS!H903="","",RETORNOS!H903)</f>
        <v>0.007434671811</v>
      </c>
      <c r="D903" s="7">
        <f>IF(RETORNOS!I903="","",RETORNOS!I903)</f>
        <v>0.01099503613</v>
      </c>
      <c r="E903" s="7">
        <f t="shared" si="2"/>
        <v>0.009214853971</v>
      </c>
      <c r="F903" s="7">
        <f t="shared" si="3"/>
        <v>-0.01128330182</v>
      </c>
      <c r="G903" s="7">
        <f t="shared" si="4"/>
        <v>-0.01306348398</v>
      </c>
      <c r="H903" s="5">
        <f t="shared" ref="H903:K903" si="903">IF(B903="","",H902*(1+B903))</f>
        <v>272.8197246</v>
      </c>
      <c r="I903" s="5">
        <f t="shared" si="903"/>
        <v>206.6395132</v>
      </c>
      <c r="J903" s="5">
        <f t="shared" si="903"/>
        <v>129.2318475</v>
      </c>
      <c r="K903" s="5">
        <f t="shared" si="903"/>
        <v>169.0489023</v>
      </c>
      <c r="L903" s="7">
        <f t="shared" si="6"/>
        <v>-0.09904714301</v>
      </c>
    </row>
    <row r="904" ht="15.75" customHeight="1">
      <c r="A904" s="4">
        <f>IF(RETORNOS!A904="","",RETORNOS!A904)</f>
        <v>45727</v>
      </c>
      <c r="B904" s="7">
        <f>IF(RETORNOS!B904="","",OPTIMIZACION!$B$5*RETORNOS!B904+OPTIMIZACION!$B$6*RETORNOS!C904+OPTIMIZACION!$B$7*RETORNOS!D904+OPTIMIZACION!$B$8*RETORNOS!E904+OPTIMIZACION!$B$9*RETORNOS!F904+OPTIMIZACION!$B$10*RETORNOS!G904)</f>
        <v>-0.002002423049</v>
      </c>
      <c r="C904" s="7">
        <f>IF(RETORNOS!H904="","",RETORNOS!H904)</f>
        <v>-0.007947663218</v>
      </c>
      <c r="D904" s="7">
        <f>IF(RETORNOS!I904="","",RETORNOS!I904)</f>
        <v>-0.009340627517</v>
      </c>
      <c r="E904" s="7">
        <f t="shared" si="2"/>
        <v>-0.008644145368</v>
      </c>
      <c r="F904" s="7">
        <f t="shared" si="3"/>
        <v>0.005945240169</v>
      </c>
      <c r="G904" s="7">
        <f t="shared" si="4"/>
        <v>0.006641722318</v>
      </c>
      <c r="H904" s="5">
        <f t="shared" ref="H904:K904" si="904">IF(B904="","",H903*(1+B904))</f>
        <v>272.2734241</v>
      </c>
      <c r="I904" s="5">
        <f t="shared" si="904"/>
        <v>204.9972119</v>
      </c>
      <c r="J904" s="5">
        <f t="shared" si="904"/>
        <v>128.0247409</v>
      </c>
      <c r="K904" s="5">
        <f t="shared" si="904"/>
        <v>167.587619</v>
      </c>
      <c r="L904" s="7">
        <f t="shared" si="6"/>
        <v>-0.1008512318</v>
      </c>
    </row>
    <row r="905" ht="15.75" customHeight="1">
      <c r="A905" s="4">
        <f>IF(RETORNOS!A905="","",RETORNOS!A905)</f>
        <v>45728</v>
      </c>
      <c r="B905" s="7">
        <f>IF(RETORNOS!B905="","",OPTIMIZACION!$B$5*RETORNOS!B905+OPTIMIZACION!$B$6*RETORNOS!C905+OPTIMIZACION!$B$7*RETORNOS!D905+OPTIMIZACION!$B$8*RETORNOS!E905+OPTIMIZACION!$B$9*RETORNOS!F905+OPTIMIZACION!$B$10*RETORNOS!G905)</f>
        <v>0.01723361206</v>
      </c>
      <c r="C905" s="7">
        <f>IF(RETORNOS!H905="","",RETORNOS!H905)</f>
        <v>0.004576891782</v>
      </c>
      <c r="D905" s="7">
        <f>IF(RETORNOS!I905="","",RETORNOS!I905)</f>
        <v>-0.003098608018</v>
      </c>
      <c r="E905" s="7">
        <f t="shared" si="2"/>
        <v>0.0007391418819</v>
      </c>
      <c r="F905" s="7">
        <f t="shared" si="3"/>
        <v>0.01265672028</v>
      </c>
      <c r="G905" s="7">
        <f t="shared" si="4"/>
        <v>0.01649447018</v>
      </c>
      <c r="H905" s="5">
        <f t="shared" ref="H905:K905" si="905">IF(B905="","",H904*(1+B905))</f>
        <v>276.9656787</v>
      </c>
      <c r="I905" s="5">
        <f t="shared" si="905"/>
        <v>205.935462</v>
      </c>
      <c r="J905" s="5">
        <f t="shared" si="905"/>
        <v>127.6280424</v>
      </c>
      <c r="K905" s="5">
        <f t="shared" si="905"/>
        <v>167.7114901</v>
      </c>
      <c r="L905" s="7">
        <f t="shared" si="6"/>
        <v>-0.08535565072</v>
      </c>
    </row>
    <row r="906" ht="15.75" customHeight="1">
      <c r="A906" s="4">
        <f>IF(RETORNOS!A906="","",RETORNOS!A906)</f>
        <v>45729</v>
      </c>
      <c r="B906" s="7">
        <f>IF(RETORNOS!B906="","",OPTIMIZACION!$B$5*RETORNOS!B906+OPTIMIZACION!$B$6*RETORNOS!C906+OPTIMIZACION!$B$7*RETORNOS!D906+OPTIMIZACION!$B$8*RETORNOS!E906+OPTIMIZACION!$B$9*RETORNOS!F906+OPTIMIZACION!$B$10*RETORNOS!G906)</f>
        <v>-0.005404034512</v>
      </c>
      <c r="C906" s="7">
        <f>IF(RETORNOS!H906="","",RETORNOS!H906)</f>
        <v>-0.006835236196</v>
      </c>
      <c r="D906" s="7">
        <f>IF(RETORNOS!I906="","",RETORNOS!I906)</f>
        <v>0.002460467249</v>
      </c>
      <c r="E906" s="7">
        <f t="shared" si="2"/>
        <v>-0.002187384474</v>
      </c>
      <c r="F906" s="7">
        <f t="shared" si="3"/>
        <v>0.001431201683</v>
      </c>
      <c r="G906" s="7">
        <f t="shared" si="4"/>
        <v>-0.003216650039</v>
      </c>
      <c r="H906" s="5">
        <f t="shared" ref="H906:K906" si="906">IF(B906="","",H905*(1+B906))</f>
        <v>275.4689466</v>
      </c>
      <c r="I906" s="5">
        <f t="shared" si="906"/>
        <v>204.5278444</v>
      </c>
      <c r="J906" s="5">
        <f t="shared" si="906"/>
        <v>127.9420671</v>
      </c>
      <c r="K906" s="5">
        <f t="shared" si="906"/>
        <v>167.3446406</v>
      </c>
      <c r="L906" s="7">
        <f t="shared" si="6"/>
        <v>-0.09029842035</v>
      </c>
    </row>
    <row r="907" ht="15.75" customHeight="1">
      <c r="A907" s="4">
        <f>IF(RETORNOS!A907="","",RETORNOS!A907)</f>
        <v>45730</v>
      </c>
      <c r="B907" s="7">
        <f>IF(RETORNOS!B907="","",OPTIMIZACION!$B$5*RETORNOS!B907+OPTIMIZACION!$B$6*RETORNOS!C907+OPTIMIZACION!$B$7*RETORNOS!D907+OPTIMIZACION!$B$8*RETORNOS!E907+OPTIMIZACION!$B$9*RETORNOS!F907+OPTIMIZACION!$B$10*RETORNOS!G907)</f>
        <v>0.02851138555</v>
      </c>
      <c r="C907" s="7">
        <f>IF(RETORNOS!H907="","",RETORNOS!H907)</f>
        <v>0.02959640405</v>
      </c>
      <c r="D907" s="7">
        <f>IF(RETORNOS!I907="","",RETORNOS!I907)</f>
        <v>0.01951842151</v>
      </c>
      <c r="E907" s="7">
        <f t="shared" si="2"/>
        <v>0.02455741278</v>
      </c>
      <c r="F907" s="7">
        <f t="shared" si="3"/>
        <v>-0.001085018502</v>
      </c>
      <c r="G907" s="7">
        <f t="shared" si="4"/>
        <v>0.003953972769</v>
      </c>
      <c r="H907" s="5">
        <f t="shared" ref="H907:K907" si="907">IF(B907="","",H906*(1+B907))</f>
        <v>283.3229479</v>
      </c>
      <c r="I907" s="5">
        <f t="shared" si="907"/>
        <v>210.5811332</v>
      </c>
      <c r="J907" s="5">
        <f t="shared" si="907"/>
        <v>130.4392942</v>
      </c>
      <c r="K907" s="5">
        <f t="shared" si="907"/>
        <v>171.454192</v>
      </c>
      <c r="L907" s="7">
        <f t="shared" si="6"/>
        <v>-0.06436156788</v>
      </c>
    </row>
    <row r="908" ht="15.75" customHeight="1">
      <c r="A908" s="4">
        <f>IF(RETORNOS!A908="","",RETORNOS!A908)</f>
        <v>45733</v>
      </c>
      <c r="B908" s="7">
        <f>IF(RETORNOS!B908="","",OPTIMIZACION!$B$5*RETORNOS!B908+OPTIMIZACION!$B$6*RETORNOS!C908+OPTIMIZACION!$B$7*RETORNOS!D908+OPTIMIZACION!$B$8*RETORNOS!E908+OPTIMIZACION!$B$9*RETORNOS!F908+OPTIMIZACION!$B$10*RETORNOS!G908)</f>
        <v>0.01233059207</v>
      </c>
      <c r="C908" s="7">
        <f>IF(RETORNOS!H908="","",RETORNOS!H908)</f>
        <v>0.0159316773</v>
      </c>
      <c r="D908" s="7">
        <f>IF(RETORNOS!I908="","",RETORNOS!I908)</f>
        <v>0.004186283076</v>
      </c>
      <c r="E908" s="7">
        <f t="shared" si="2"/>
        <v>0.01005898019</v>
      </c>
      <c r="F908" s="7">
        <f t="shared" si="3"/>
        <v>-0.003601085233</v>
      </c>
      <c r="G908" s="7">
        <f t="shared" si="4"/>
        <v>0.002271611882</v>
      </c>
      <c r="H908" s="5">
        <f t="shared" ref="H908:K908" si="908">IF(B908="","",H907*(1+B908))</f>
        <v>286.8164876</v>
      </c>
      <c r="I908" s="5">
        <f t="shared" si="908"/>
        <v>213.9360438</v>
      </c>
      <c r="J908" s="5">
        <f t="shared" si="908"/>
        <v>130.9853501</v>
      </c>
      <c r="K908" s="5">
        <f t="shared" si="908"/>
        <v>173.1788463</v>
      </c>
      <c r="L908" s="7">
        <f t="shared" si="6"/>
        <v>-0.05282459205</v>
      </c>
    </row>
    <row r="909" ht="15.75" customHeight="1">
      <c r="A909" s="4">
        <f>IF(RETORNOS!A909="","",RETORNOS!A909)</f>
        <v>45734</v>
      </c>
      <c r="B909" s="7">
        <f>IF(RETORNOS!B909="","",OPTIMIZACION!$B$5*RETORNOS!B909+OPTIMIZACION!$B$6*RETORNOS!C909+OPTIMIZACION!$B$7*RETORNOS!D909+OPTIMIZACION!$B$8*RETORNOS!E909+OPTIMIZACION!$B$9*RETORNOS!F909+OPTIMIZACION!$B$10*RETORNOS!G909)</f>
        <v>-0.01135747958</v>
      </c>
      <c r="C909" s="7">
        <f>IF(RETORNOS!H909="","",RETORNOS!H909)</f>
        <v>0.001645471214</v>
      </c>
      <c r="D909" s="7">
        <f>IF(RETORNOS!I909="","",RETORNOS!I909)</f>
        <v>-0.006945454545</v>
      </c>
      <c r="E909" s="7">
        <f t="shared" si="2"/>
        <v>-0.002649991666</v>
      </c>
      <c r="F909" s="7">
        <f t="shared" si="3"/>
        <v>-0.01300295079</v>
      </c>
      <c r="G909" s="7">
        <f t="shared" si="4"/>
        <v>-0.008707487915</v>
      </c>
      <c r="H909" s="5">
        <f t="shared" ref="H909:K909" si="909">IF(B909="","",H908*(1+B909))</f>
        <v>283.5589752</v>
      </c>
      <c r="I909" s="5">
        <f t="shared" si="909"/>
        <v>214.2880694</v>
      </c>
      <c r="J909" s="5">
        <f t="shared" si="909"/>
        <v>130.0755973</v>
      </c>
      <c r="K909" s="5">
        <f t="shared" si="909"/>
        <v>172.7199238</v>
      </c>
      <c r="L909" s="7">
        <f t="shared" si="6"/>
        <v>-0.0635821174</v>
      </c>
    </row>
    <row r="910" ht="15.75" customHeight="1">
      <c r="A910" s="4">
        <f>IF(RETORNOS!A910="","",RETORNOS!A910)</f>
        <v>45735</v>
      </c>
      <c r="B910" s="7">
        <f>IF(RETORNOS!B910="","",OPTIMIZACION!$B$5*RETORNOS!B910+OPTIMIZACION!$B$6*RETORNOS!C910+OPTIMIZACION!$B$7*RETORNOS!D910+OPTIMIZACION!$B$8*RETORNOS!E910+OPTIMIZACION!$B$9*RETORNOS!F910+OPTIMIZACION!$B$10*RETORNOS!G910)</f>
        <v>0.01597995713</v>
      </c>
      <c r="C910" s="7">
        <f>IF(RETORNOS!H910="","",RETORNOS!H910)</f>
        <v>0.0163122798</v>
      </c>
      <c r="D910" s="7">
        <f>IF(RETORNOS!I910="","",RETORNOS!I910)</f>
        <v>0.003685336598</v>
      </c>
      <c r="E910" s="7">
        <f t="shared" si="2"/>
        <v>0.009998808201</v>
      </c>
      <c r="F910" s="7">
        <f t="shared" si="3"/>
        <v>-0.0003323226741</v>
      </c>
      <c r="G910" s="7">
        <f t="shared" si="4"/>
        <v>0.005981148929</v>
      </c>
      <c r="H910" s="5">
        <f t="shared" ref="H910:K910" si="910">IF(B910="","",H909*(1+B910))</f>
        <v>288.0902355</v>
      </c>
      <c r="I910" s="5">
        <f t="shared" si="910"/>
        <v>217.7835964</v>
      </c>
      <c r="J910" s="5">
        <f t="shared" si="910"/>
        <v>130.5549696</v>
      </c>
      <c r="K910" s="5">
        <f t="shared" si="910"/>
        <v>174.4469172</v>
      </c>
      <c r="L910" s="7">
        <f t="shared" si="6"/>
        <v>-0.04861819978</v>
      </c>
    </row>
    <row r="911" ht="15.75" customHeight="1">
      <c r="A911" s="4">
        <f>IF(RETORNOS!A911="","",RETORNOS!A911)</f>
        <v>45736</v>
      </c>
      <c r="B911" s="7">
        <f>IF(RETORNOS!B911="","",OPTIMIZACION!$B$5*RETORNOS!B911+OPTIMIZACION!$B$6*RETORNOS!C911+OPTIMIZACION!$B$7*RETORNOS!D911+OPTIMIZACION!$B$8*RETORNOS!E911+OPTIMIZACION!$B$9*RETORNOS!F911+OPTIMIZACION!$B$10*RETORNOS!G911)</f>
        <v>0.00559253711</v>
      </c>
      <c r="C911" s="7">
        <f>IF(RETORNOS!H911="","",RETORNOS!H911)</f>
        <v>0.003660279731</v>
      </c>
      <c r="D911" s="7">
        <f>IF(RETORNOS!I911="","",RETORNOS!I911)</f>
        <v>0.004057487589</v>
      </c>
      <c r="E911" s="7">
        <f t="shared" si="2"/>
        <v>0.00385888366</v>
      </c>
      <c r="F911" s="7">
        <f t="shared" si="3"/>
        <v>0.001932257379</v>
      </c>
      <c r="G911" s="7">
        <f t="shared" si="4"/>
        <v>0.00173365345</v>
      </c>
      <c r="H911" s="5">
        <f t="shared" ref="H911:K911" si="911">IF(B911="","",H910*(1+B911))</f>
        <v>289.7013908</v>
      </c>
      <c r="I911" s="5">
        <f t="shared" si="911"/>
        <v>218.5807453</v>
      </c>
      <c r="J911" s="5">
        <f t="shared" si="911"/>
        <v>131.0846948</v>
      </c>
      <c r="K911" s="5">
        <f t="shared" si="911"/>
        <v>175.1200875</v>
      </c>
      <c r="L911" s="7">
        <f t="shared" si="6"/>
        <v>-0.04329756176</v>
      </c>
    </row>
    <row r="912" ht="15.75" customHeight="1">
      <c r="A912" s="4">
        <f>IF(RETORNOS!A912="","",RETORNOS!A912)</f>
        <v>45737</v>
      </c>
      <c r="B912" s="7">
        <f>IF(RETORNOS!B912="","",OPTIMIZACION!$B$5*RETORNOS!B912+OPTIMIZACION!$B$6*RETORNOS!C912+OPTIMIZACION!$B$7*RETORNOS!D912+OPTIMIZACION!$B$8*RETORNOS!E912+OPTIMIZACION!$B$9*RETORNOS!F912+OPTIMIZACION!$B$10*RETORNOS!G912)</f>
        <v>-0.00127660324</v>
      </c>
      <c r="C912" s="7">
        <f>IF(RETORNOS!H912="","",RETORNOS!H912)</f>
        <v>-0.00697442268</v>
      </c>
      <c r="D912" s="7">
        <f>IF(RETORNOS!I912="","",RETORNOS!I912)</f>
        <v>-0.006436676599</v>
      </c>
      <c r="E912" s="7">
        <f t="shared" si="2"/>
        <v>-0.006705549639</v>
      </c>
      <c r="F912" s="7">
        <f t="shared" si="3"/>
        <v>0.00569781944</v>
      </c>
      <c r="G912" s="7">
        <f t="shared" si="4"/>
        <v>0.005428946399</v>
      </c>
      <c r="H912" s="5">
        <f t="shared" ref="H912:K912" si="912">IF(B912="","",H911*(1+B912))</f>
        <v>289.3315571</v>
      </c>
      <c r="I912" s="5">
        <f t="shared" si="912"/>
        <v>217.0562708</v>
      </c>
      <c r="J912" s="5">
        <f t="shared" si="912"/>
        <v>130.240945</v>
      </c>
      <c r="K912" s="5">
        <f t="shared" si="912"/>
        <v>173.9458111</v>
      </c>
      <c r="L912" s="7">
        <f t="shared" si="6"/>
        <v>-0.04451889119</v>
      </c>
    </row>
    <row r="913" ht="15.75" customHeight="1">
      <c r="A913" s="4">
        <f>IF(RETORNOS!A913="","",RETORNOS!A913)</f>
        <v>45740</v>
      </c>
      <c r="B913" s="7">
        <f>IF(RETORNOS!B913="","",OPTIMIZACION!$B$5*RETORNOS!B913+OPTIMIZACION!$B$6*RETORNOS!C913+OPTIMIZACION!$B$7*RETORNOS!D913+OPTIMIZACION!$B$8*RETORNOS!E913+OPTIMIZACION!$B$9*RETORNOS!F913+OPTIMIZACION!$B$10*RETORNOS!G913)</f>
        <v>0.009164664549</v>
      </c>
      <c r="C913" s="7">
        <f>IF(RETORNOS!H913="","",RETORNOS!H913)</f>
        <v>0.01139739884</v>
      </c>
      <c r="D913" s="7">
        <f>IF(RETORNOS!I913="","",RETORNOS!I913)</f>
        <v>-0.0003213065421</v>
      </c>
      <c r="E913" s="7">
        <f t="shared" si="2"/>
        <v>0.005538046148</v>
      </c>
      <c r="F913" s="7">
        <f t="shared" si="3"/>
        <v>-0.002232734289</v>
      </c>
      <c r="G913" s="7">
        <f t="shared" si="4"/>
        <v>0.003626618401</v>
      </c>
      <c r="H913" s="5">
        <f t="shared" ref="H913:K913" si="913">IF(B913="","",H912*(1+B913))</f>
        <v>291.9831838</v>
      </c>
      <c r="I913" s="5">
        <f t="shared" si="913"/>
        <v>219.5301476</v>
      </c>
      <c r="J913" s="5">
        <f t="shared" si="913"/>
        <v>130.1990977</v>
      </c>
      <c r="K913" s="5">
        <f t="shared" si="913"/>
        <v>174.909131</v>
      </c>
      <c r="L913" s="7">
        <f t="shared" si="6"/>
        <v>-0.03576222735</v>
      </c>
    </row>
    <row r="914" ht="15.75" customHeight="1">
      <c r="A914" s="4">
        <f>IF(RETORNOS!A914="","",RETORNOS!A914)</f>
        <v>45741</v>
      </c>
      <c r="B914" s="7">
        <f>IF(RETORNOS!B914="","",OPTIMIZACION!$B$5*RETORNOS!B914+OPTIMIZACION!$B$6*RETORNOS!C914+OPTIMIZACION!$B$7*RETORNOS!D914+OPTIMIZACION!$B$8*RETORNOS!E914+OPTIMIZACION!$B$9*RETORNOS!F914+OPTIMIZACION!$B$10*RETORNOS!G914)</f>
        <v>-0.001228721326</v>
      </c>
      <c r="C914" s="7">
        <f>IF(RETORNOS!H914="","",RETORNOS!H914)</f>
        <v>0.004092784507</v>
      </c>
      <c r="D914" s="7">
        <f>IF(RETORNOS!I914="","",RETORNOS!I914)</f>
        <v>-0.01598948493</v>
      </c>
      <c r="E914" s="7">
        <f t="shared" si="2"/>
        <v>-0.005948350214</v>
      </c>
      <c r="F914" s="7">
        <f t="shared" si="3"/>
        <v>-0.005321505833</v>
      </c>
      <c r="G914" s="7">
        <f t="shared" si="4"/>
        <v>0.004719628888</v>
      </c>
      <c r="H914" s="5">
        <f t="shared" ref="H914:K914" si="914">IF(B914="","",H913*(1+B914))</f>
        <v>291.6244178</v>
      </c>
      <c r="I914" s="5">
        <f t="shared" si="914"/>
        <v>220.4286372</v>
      </c>
      <c r="J914" s="5">
        <f t="shared" si="914"/>
        <v>128.1172812</v>
      </c>
      <c r="K914" s="5">
        <f t="shared" si="914"/>
        <v>173.8687103</v>
      </c>
      <c r="L914" s="7">
        <f t="shared" si="6"/>
        <v>-0.03694700686</v>
      </c>
    </row>
    <row r="915" ht="15.75" customHeight="1">
      <c r="A915" s="4">
        <f>IF(RETORNOS!A915="","",RETORNOS!A915)</f>
        <v>45742</v>
      </c>
      <c r="B915" s="7">
        <f>IF(RETORNOS!B915="","",OPTIMIZACION!$B$5*RETORNOS!B915+OPTIMIZACION!$B$6*RETORNOS!C915+OPTIMIZACION!$B$7*RETORNOS!D915+OPTIMIZACION!$B$8*RETORNOS!E915+OPTIMIZACION!$B$9*RETORNOS!F915+OPTIMIZACION!$B$10*RETORNOS!G915)</f>
        <v>-0.007619007799</v>
      </c>
      <c r="C915" s="7">
        <f>IF(RETORNOS!H915="","",RETORNOS!H915)</f>
        <v>0.005899679059</v>
      </c>
      <c r="D915" s="7">
        <f>IF(RETORNOS!I915="","",RETORNOS!I915)</f>
        <v>0.006628249728</v>
      </c>
      <c r="E915" s="7">
        <f t="shared" si="2"/>
        <v>0.006263964394</v>
      </c>
      <c r="F915" s="7">
        <f t="shared" si="3"/>
        <v>-0.01351868686</v>
      </c>
      <c r="G915" s="7">
        <f t="shared" si="4"/>
        <v>-0.01388297219</v>
      </c>
      <c r="H915" s="5">
        <f t="shared" ref="H915:K915" si="915">IF(B915="","",H914*(1+B915))</f>
        <v>289.4025291</v>
      </c>
      <c r="I915" s="5">
        <f t="shared" si="915"/>
        <v>221.7290954</v>
      </c>
      <c r="J915" s="5">
        <f t="shared" si="915"/>
        <v>128.9664746</v>
      </c>
      <c r="K915" s="5">
        <f t="shared" si="915"/>
        <v>174.9578177</v>
      </c>
      <c r="L915" s="7">
        <f t="shared" si="6"/>
        <v>-0.04428451513</v>
      </c>
    </row>
    <row r="916" ht="15.75" customHeight="1">
      <c r="A916" s="4">
        <f>IF(RETORNOS!A916="","",RETORNOS!A916)</f>
        <v>45743</v>
      </c>
      <c r="B916" s="7">
        <f>IF(RETORNOS!B916="","",OPTIMIZACION!$B$5*RETORNOS!B916+OPTIMIZACION!$B$6*RETORNOS!C916+OPTIMIZACION!$B$7*RETORNOS!D916+OPTIMIZACION!$B$8*RETORNOS!E916+OPTIMIZACION!$B$9*RETORNOS!F916+OPTIMIZACION!$B$10*RETORNOS!G916)</f>
        <v>-0.004897609551</v>
      </c>
      <c r="C916" s="7">
        <f>IF(RETORNOS!H916="","",RETORNOS!H916)</f>
        <v>-0.009702962935</v>
      </c>
      <c r="D916" s="7">
        <f>IF(RETORNOS!I916="","",RETORNOS!I916)</f>
        <v>-0.0002558921138</v>
      </c>
      <c r="E916" s="7">
        <f t="shared" si="2"/>
        <v>-0.004979427525</v>
      </c>
      <c r="F916" s="7">
        <f t="shared" si="3"/>
        <v>0.004805353384</v>
      </c>
      <c r="G916" s="7">
        <f t="shared" si="4"/>
        <v>0.00008181797362</v>
      </c>
      <c r="H916" s="5">
        <f t="shared" ref="H916:K916" si="916">IF(B916="","",H915*(1+B916))</f>
        <v>287.9851485</v>
      </c>
      <c r="I916" s="5">
        <f t="shared" si="916"/>
        <v>219.5776663</v>
      </c>
      <c r="J916" s="5">
        <f t="shared" si="916"/>
        <v>128.9334731</v>
      </c>
      <c r="K916" s="5">
        <f t="shared" si="916"/>
        <v>174.0866279</v>
      </c>
      <c r="L916" s="7">
        <f t="shared" si="6"/>
        <v>-0.04896523641</v>
      </c>
    </row>
    <row r="917" ht="15.75" customHeight="1">
      <c r="A917" s="4">
        <f>IF(RETORNOS!A917="","",RETORNOS!A917)</f>
        <v>45744</v>
      </c>
      <c r="B917" s="7">
        <f>IF(RETORNOS!B917="","",OPTIMIZACION!$B$5*RETORNOS!B917+OPTIMIZACION!$B$6*RETORNOS!C917+OPTIMIZACION!$B$7*RETORNOS!D917+OPTIMIZACION!$B$8*RETORNOS!E917+OPTIMIZACION!$B$9*RETORNOS!F917+OPTIMIZACION!$B$10*RETORNOS!G917)</f>
        <v>-0.004375741834</v>
      </c>
      <c r="C917" s="7">
        <f>IF(RETORNOS!H917="","",RETORNOS!H917)</f>
        <v>-0.004738917866</v>
      </c>
      <c r="D917" s="7">
        <f>IF(RETORNOS!I917="","",RETORNOS!I917)</f>
        <v>0.007364718486</v>
      </c>
      <c r="E917" s="7">
        <f t="shared" si="2"/>
        <v>0.00131290031</v>
      </c>
      <c r="F917" s="7">
        <f t="shared" si="3"/>
        <v>0.0003631760324</v>
      </c>
      <c r="G917" s="7">
        <f t="shared" si="4"/>
        <v>-0.005688642144</v>
      </c>
      <c r="H917" s="5">
        <f t="shared" ref="H917:K917" si="917">IF(B917="","",H916*(1+B917))</f>
        <v>286.7249998</v>
      </c>
      <c r="I917" s="5">
        <f t="shared" si="917"/>
        <v>218.5371057</v>
      </c>
      <c r="J917" s="5">
        <f t="shared" si="917"/>
        <v>129.8830318</v>
      </c>
      <c r="K917" s="5">
        <f t="shared" si="917"/>
        <v>174.3151863</v>
      </c>
      <c r="L917" s="7">
        <f t="shared" si="6"/>
        <v>-0.05312671901</v>
      </c>
    </row>
    <row r="918" ht="15.75" customHeight="1">
      <c r="A918" s="4">
        <f>IF(RETORNOS!A918="","",RETORNOS!A918)</f>
        <v>45747</v>
      </c>
      <c r="B918" s="7">
        <f>IF(RETORNOS!B918="","",OPTIMIZACION!$B$5*RETORNOS!B918+OPTIMIZACION!$B$6*RETORNOS!C918+OPTIMIZACION!$B$7*RETORNOS!D918+OPTIMIZACION!$B$8*RETORNOS!E918+OPTIMIZACION!$B$9*RETORNOS!F918+OPTIMIZACION!$B$10*RETORNOS!G918)</f>
        <v>0.00185121348</v>
      </c>
      <c r="C918" s="7">
        <f>IF(RETORNOS!H918="","",RETORNOS!H918)</f>
        <v>0.01103394719</v>
      </c>
      <c r="D918" s="7">
        <f>IF(RETORNOS!I918="","",RETORNOS!I918)</f>
        <v>0.01115360436</v>
      </c>
      <c r="E918" s="7">
        <f t="shared" si="2"/>
        <v>0.01109377578</v>
      </c>
      <c r="F918" s="7">
        <f t="shared" si="3"/>
        <v>-0.009182733713</v>
      </c>
      <c r="G918" s="7">
        <f t="shared" si="4"/>
        <v>-0.009242562296</v>
      </c>
      <c r="H918" s="5">
        <f t="shared" ref="H918:K918" si="918">IF(B918="","",H917*(1+B918))</f>
        <v>287.255789</v>
      </c>
      <c r="I918" s="5">
        <f t="shared" si="918"/>
        <v>220.9484326</v>
      </c>
      <c r="J918" s="5">
        <f t="shared" si="918"/>
        <v>131.3316957</v>
      </c>
      <c r="K918" s="5">
        <f t="shared" si="918"/>
        <v>176.2489999</v>
      </c>
      <c r="L918" s="7">
        <f t="shared" si="6"/>
        <v>-0.05137385443</v>
      </c>
    </row>
    <row r="919" ht="15.75" customHeight="1">
      <c r="A919" s="4">
        <f>IF(RETORNOS!A919="","",RETORNOS!A919)</f>
        <v>45748</v>
      </c>
      <c r="B919" s="7">
        <f>IF(RETORNOS!B919="","",OPTIMIZACION!$B$5*RETORNOS!B919+OPTIMIZACION!$B$6*RETORNOS!C919+OPTIMIZACION!$B$7*RETORNOS!D919+OPTIMIZACION!$B$8*RETORNOS!E919+OPTIMIZACION!$B$9*RETORNOS!F919+OPTIMIZACION!$B$10*RETORNOS!G919)</f>
        <v>0.009780158614</v>
      </c>
      <c r="C919" s="7">
        <f>IF(RETORNOS!H919="","",RETORNOS!H919)</f>
        <v>0.005885799685</v>
      </c>
      <c r="D919" s="7">
        <f>IF(RETORNOS!I919="","",RETORNOS!I919)</f>
        <v>0.002538741717</v>
      </c>
      <c r="E919" s="7">
        <f t="shared" si="2"/>
        <v>0.004212270701</v>
      </c>
      <c r="F919" s="7">
        <f t="shared" si="3"/>
        <v>0.003894358929</v>
      </c>
      <c r="G919" s="7">
        <f t="shared" si="4"/>
        <v>0.005567887913</v>
      </c>
      <c r="H919" s="5">
        <f t="shared" ref="H919:K919" si="919">IF(B919="","",H918*(1+B919))</f>
        <v>290.0651962</v>
      </c>
      <c r="I919" s="5">
        <f t="shared" si="919"/>
        <v>222.2488908</v>
      </c>
      <c r="J919" s="5">
        <f t="shared" si="919"/>
        <v>131.665113</v>
      </c>
      <c r="K919" s="5">
        <f t="shared" si="919"/>
        <v>176.9914084</v>
      </c>
      <c r="L919" s="7">
        <f t="shared" si="6"/>
        <v>-0.04209614026</v>
      </c>
    </row>
    <row r="920" ht="15.75" customHeight="1">
      <c r="A920" s="4">
        <f>IF(RETORNOS!A920="","",RETORNOS!A920)</f>
        <v>45749</v>
      </c>
      <c r="B920" s="7">
        <f>IF(RETORNOS!B920="","",OPTIMIZACION!$B$5*RETORNOS!B920+OPTIMIZACION!$B$6*RETORNOS!C920+OPTIMIZACION!$B$7*RETORNOS!D920+OPTIMIZACION!$B$8*RETORNOS!E920+OPTIMIZACION!$B$9*RETORNOS!F920+OPTIMIZACION!$B$10*RETORNOS!G920)</f>
        <v>0.007837983323</v>
      </c>
      <c r="C920" s="7">
        <f>IF(RETORNOS!H920="","",RETORNOS!H920)</f>
        <v>0.001383207339</v>
      </c>
      <c r="D920" s="7">
        <f>IF(RETORNOS!I920="","",RETORNOS!I920)</f>
        <v>0.004679610747</v>
      </c>
      <c r="E920" s="7">
        <f t="shared" si="2"/>
        <v>0.003031409043</v>
      </c>
      <c r="F920" s="7">
        <f t="shared" si="3"/>
        <v>0.006454775984</v>
      </c>
      <c r="G920" s="7">
        <f t="shared" si="4"/>
        <v>0.00480657428</v>
      </c>
      <c r="H920" s="5">
        <f t="shared" ref="H920:K920" si="920">IF(B920="","",H919*(1+B920))</f>
        <v>292.3387224</v>
      </c>
      <c r="I920" s="5">
        <f t="shared" si="920"/>
        <v>222.5563071</v>
      </c>
      <c r="J920" s="5">
        <f t="shared" si="920"/>
        <v>132.2812545</v>
      </c>
      <c r="K920" s="5">
        <f t="shared" si="920"/>
        <v>177.5279417</v>
      </c>
      <c r="L920" s="7">
        <f t="shared" si="6"/>
        <v>-0.03458810579</v>
      </c>
    </row>
    <row r="921" ht="15.75" customHeight="1">
      <c r="A921" s="4">
        <f>IF(RETORNOS!A921="","",RETORNOS!A921)</f>
        <v>45750</v>
      </c>
      <c r="B921" s="7">
        <f>IF(RETORNOS!B921="","",OPTIMIZACION!$B$5*RETORNOS!B921+OPTIMIZACION!$B$6*RETORNOS!C921+OPTIMIZACION!$B$7*RETORNOS!D921+OPTIMIZACION!$B$8*RETORNOS!E921+OPTIMIZACION!$B$9*RETORNOS!F921+OPTIMIZACION!$B$10*RETORNOS!G921)</f>
        <v>-0.04655483785</v>
      </c>
      <c r="C921" s="7">
        <f>IF(RETORNOS!H921="","",RETORNOS!H921)</f>
        <v>-0.07850950676</v>
      </c>
      <c r="D921" s="7">
        <f>IF(RETORNOS!I921="","",RETORNOS!I921)</f>
        <v>-0.006293578595</v>
      </c>
      <c r="E921" s="7">
        <f t="shared" si="2"/>
        <v>-0.04240154268</v>
      </c>
      <c r="F921" s="7">
        <f t="shared" si="3"/>
        <v>0.03195466891</v>
      </c>
      <c r="G921" s="7">
        <f t="shared" si="4"/>
        <v>-0.004153295173</v>
      </c>
      <c r="H921" s="5">
        <f t="shared" ref="H921:K921" si="921">IF(B921="","",H920*(1+B921))</f>
        <v>278.7289406</v>
      </c>
      <c r="I921" s="5">
        <f t="shared" si="921"/>
        <v>205.0835212</v>
      </c>
      <c r="J921" s="5">
        <f t="shared" si="921"/>
        <v>131.448732</v>
      </c>
      <c r="K921" s="5">
        <f t="shared" si="921"/>
        <v>170.0004831</v>
      </c>
      <c r="L921" s="7">
        <f t="shared" si="6"/>
        <v>-0.07953269998</v>
      </c>
    </row>
    <row r="922" ht="15.75" customHeight="1">
      <c r="A922" s="4">
        <f>IF(RETORNOS!A922="","",RETORNOS!A922)</f>
        <v>45751</v>
      </c>
      <c r="B922" s="7">
        <f>IF(RETORNOS!B922="","",OPTIMIZACION!$B$5*RETORNOS!B922+OPTIMIZACION!$B$6*RETORNOS!C922+OPTIMIZACION!$B$7*RETORNOS!D922+OPTIMIZACION!$B$8*RETORNOS!E922+OPTIMIZACION!$B$9*RETORNOS!F922+OPTIMIZACION!$B$10*RETORNOS!G922)</f>
        <v>-0.06832284199</v>
      </c>
      <c r="C922" s="7">
        <f>IF(RETORNOS!H922="","",RETORNOS!H922)</f>
        <v>-0.0919981842</v>
      </c>
      <c r="D922" s="7">
        <f>IF(RETORNOS!I922="","",RETORNOS!I922)</f>
        <v>-0.05562658854</v>
      </c>
      <c r="E922" s="7">
        <f t="shared" si="2"/>
        <v>-0.07381238637</v>
      </c>
      <c r="F922" s="7">
        <f t="shared" si="3"/>
        <v>0.02367534221</v>
      </c>
      <c r="G922" s="7">
        <f t="shared" si="4"/>
        <v>0.005489544378</v>
      </c>
      <c r="H922" s="5">
        <f t="shared" ref="H922:K922" si="922">IF(B922="","",H921*(1+B922))</f>
        <v>259.6853872</v>
      </c>
      <c r="I922" s="5">
        <f t="shared" si="922"/>
        <v>186.2162097</v>
      </c>
      <c r="J922" s="5">
        <f t="shared" si="922"/>
        <v>124.1366875</v>
      </c>
      <c r="K922" s="5">
        <f t="shared" si="922"/>
        <v>157.4523418</v>
      </c>
      <c r="L922" s="7">
        <f t="shared" si="6"/>
        <v>-0.1424216419</v>
      </c>
    </row>
    <row r="923" ht="15.75" customHeight="1">
      <c r="A923" s="4">
        <f>IF(RETORNOS!A923="","",RETORNOS!A923)</f>
        <v>45754</v>
      </c>
      <c r="B923" s="7">
        <f>IF(RETORNOS!B923="","",OPTIMIZACION!$B$5*RETORNOS!B923+OPTIMIZACION!$B$6*RETORNOS!C923+OPTIMIZACION!$B$7*RETORNOS!D923+OPTIMIZACION!$B$8*RETORNOS!E923+OPTIMIZACION!$B$9*RETORNOS!F923+OPTIMIZACION!$B$10*RETORNOS!G923)</f>
        <v>-0.00507986163</v>
      </c>
      <c r="C923" s="7">
        <f>IF(RETORNOS!H923="","",RETORNOS!H923)</f>
        <v>-0.006473233466</v>
      </c>
      <c r="D923" s="7">
        <f>IF(RETORNOS!I923="","",RETORNOS!I923)</f>
        <v>-0.0152985995</v>
      </c>
      <c r="E923" s="7">
        <f t="shared" si="2"/>
        <v>-0.01088591648</v>
      </c>
      <c r="F923" s="7">
        <f t="shared" si="3"/>
        <v>0.001393371836</v>
      </c>
      <c r="G923" s="7">
        <f t="shared" si="4"/>
        <v>0.005806054854</v>
      </c>
      <c r="H923" s="5">
        <f t="shared" ref="H923:K923" si="923">IF(B923="","",H922*(1+B923))</f>
        <v>258.3662214</v>
      </c>
      <c r="I923" s="5">
        <f t="shared" si="923"/>
        <v>185.0107887</v>
      </c>
      <c r="J923" s="5">
        <f t="shared" si="923"/>
        <v>122.23757</v>
      </c>
      <c r="K923" s="5">
        <f t="shared" si="923"/>
        <v>155.7383288</v>
      </c>
      <c r="L923" s="7">
        <f t="shared" si="6"/>
        <v>-0.1467780213</v>
      </c>
    </row>
    <row r="924" ht="15.75" customHeight="1">
      <c r="A924" s="4">
        <f>IF(RETORNOS!A924="","",RETORNOS!A924)</f>
        <v>45755</v>
      </c>
      <c r="B924" s="7">
        <f>IF(RETORNOS!B924="","",OPTIMIZACION!$B$5*RETORNOS!B924+OPTIMIZACION!$B$6*RETORNOS!C924+OPTIMIZACION!$B$7*RETORNOS!D924+OPTIMIZACION!$B$8*RETORNOS!E924+OPTIMIZACION!$B$9*RETORNOS!F924+OPTIMIZACION!$B$10*RETORNOS!G924)</f>
        <v>-0.01372953301</v>
      </c>
      <c r="C924" s="7">
        <f>IF(RETORNOS!H924="","",RETORNOS!H924)</f>
        <v>-0.02312891652</v>
      </c>
      <c r="D924" s="7">
        <f>IF(RETORNOS!I924="","",RETORNOS!I924)</f>
        <v>-0.004085858698</v>
      </c>
      <c r="E924" s="7">
        <f t="shared" si="2"/>
        <v>-0.01360738761</v>
      </c>
      <c r="F924" s="7">
        <f t="shared" si="3"/>
        <v>0.00939938351</v>
      </c>
      <c r="G924" s="7">
        <f t="shared" si="4"/>
        <v>-0.0001221453999</v>
      </c>
      <c r="H924" s="5">
        <f t="shared" ref="H924:K924" si="924">IF(B924="","",H923*(1+B924))</f>
        <v>254.8189738</v>
      </c>
      <c r="I924" s="5">
        <f t="shared" si="924"/>
        <v>180.7316896</v>
      </c>
      <c r="J924" s="5">
        <f t="shared" si="924"/>
        <v>121.7381246</v>
      </c>
      <c r="K924" s="5">
        <f t="shared" si="924"/>
        <v>153.6191369</v>
      </c>
      <c r="L924" s="7">
        <f t="shared" si="6"/>
        <v>-0.1584923606</v>
      </c>
    </row>
    <row r="925" ht="15.75" customHeight="1">
      <c r="A925" s="4">
        <f>IF(RETORNOS!A925="","",RETORNOS!A925)</f>
        <v>45756</v>
      </c>
      <c r="B925" s="7">
        <f>IF(RETORNOS!B925="","",OPTIMIZACION!$B$5*RETORNOS!B925+OPTIMIZACION!$B$6*RETORNOS!C925+OPTIMIZACION!$B$7*RETORNOS!D925+OPTIMIZACION!$B$8*RETORNOS!E925+OPTIMIZACION!$B$9*RETORNOS!F925+OPTIMIZACION!$B$10*RETORNOS!G925)</f>
        <v>0.06007531574</v>
      </c>
      <c r="C925" s="7">
        <f>IF(RETORNOS!H925="","",RETORNOS!H925)</f>
        <v>0.07744170074</v>
      </c>
      <c r="D925" s="7">
        <f>IF(RETORNOS!I925="","",RETORNOS!I925)</f>
        <v>0.03940528757</v>
      </c>
      <c r="E925" s="7">
        <f t="shared" si="2"/>
        <v>0.05842349416</v>
      </c>
      <c r="F925" s="7">
        <f t="shared" si="3"/>
        <v>-0.017366385</v>
      </c>
      <c r="G925" s="7">
        <f t="shared" si="4"/>
        <v>0.001651821581</v>
      </c>
      <c r="H925" s="5">
        <f t="shared" ref="H925:K925" si="925">IF(B925="","",H924*(1+B925))</f>
        <v>270.1273041</v>
      </c>
      <c r="I925" s="5">
        <f t="shared" si="925"/>
        <v>194.727859</v>
      </c>
      <c r="J925" s="5">
        <f t="shared" si="925"/>
        <v>126.5352504</v>
      </c>
      <c r="K925" s="5">
        <f t="shared" si="925"/>
        <v>162.5941037</v>
      </c>
      <c r="L925" s="7">
        <f t="shared" si="6"/>
        <v>-0.1079385235</v>
      </c>
    </row>
    <row r="926" ht="15.75" customHeight="1">
      <c r="A926" s="4">
        <f>IF(RETORNOS!A926="","",RETORNOS!A926)</f>
        <v>45757</v>
      </c>
      <c r="B926" s="7">
        <f>IF(RETORNOS!B926="","",OPTIMIZACION!$B$5*RETORNOS!B926+OPTIMIZACION!$B$6*RETORNOS!C926+OPTIMIZACION!$B$7*RETORNOS!D926+OPTIMIZACION!$B$8*RETORNOS!E926+OPTIMIZACION!$B$9*RETORNOS!F926+OPTIMIZACION!$B$10*RETORNOS!G926)</f>
        <v>-0.03430595081</v>
      </c>
      <c r="C926" s="7">
        <f>IF(RETORNOS!H926="","",RETORNOS!H926)</f>
        <v>-0.0653217031</v>
      </c>
      <c r="D926" s="7">
        <f>IF(RETORNOS!I926="","",RETORNOS!I926)</f>
        <v>-0.007504302</v>
      </c>
      <c r="E926" s="7">
        <f t="shared" si="2"/>
        <v>-0.03641300255</v>
      </c>
      <c r="F926" s="7">
        <f t="shared" si="3"/>
        <v>0.03101575229</v>
      </c>
      <c r="G926" s="7">
        <f t="shared" si="4"/>
        <v>0.002107051744</v>
      </c>
      <c r="H926" s="5">
        <f t="shared" ref="H926:K926" si="926">IF(B926="","",H925*(1+B926))</f>
        <v>260.8603301</v>
      </c>
      <c r="I926" s="5">
        <f t="shared" si="926"/>
        <v>182.0079036</v>
      </c>
      <c r="J926" s="5">
        <f t="shared" si="926"/>
        <v>125.5856916</v>
      </c>
      <c r="K926" s="5">
        <f t="shared" si="926"/>
        <v>156.6735642</v>
      </c>
      <c r="L926" s="7">
        <f t="shared" si="6"/>
        <v>-0.1385415406</v>
      </c>
    </row>
    <row r="927" ht="15.75" customHeight="1">
      <c r="A927" s="4">
        <f>IF(RETORNOS!A927="","",RETORNOS!A927)</f>
        <v>45758</v>
      </c>
      <c r="B927" s="7">
        <f>IF(RETORNOS!B927="","",OPTIMIZACION!$B$5*RETORNOS!B927+OPTIMIZACION!$B$6*RETORNOS!C927+OPTIMIZACION!$B$7*RETORNOS!D927+OPTIMIZACION!$B$8*RETORNOS!E927+OPTIMIZACION!$B$9*RETORNOS!F927+OPTIMIZACION!$B$10*RETORNOS!G927)</f>
        <v>0.0291937316</v>
      </c>
      <c r="C927" s="7">
        <f>IF(RETORNOS!H927="","",RETORNOS!H927)</f>
        <v>0.02481058386</v>
      </c>
      <c r="D927" s="7">
        <f>IF(RETORNOS!I927="","",RETORNOS!I927)</f>
        <v>0.01220169643</v>
      </c>
      <c r="E927" s="7">
        <f t="shared" si="2"/>
        <v>0.01850614014</v>
      </c>
      <c r="F927" s="7">
        <f t="shared" si="3"/>
        <v>0.004383147743</v>
      </c>
      <c r="G927" s="7">
        <f t="shared" si="4"/>
        <v>0.01068759146</v>
      </c>
      <c r="H927" s="5">
        <f t="shared" ref="H927:K927" si="927">IF(B927="","",H926*(1+B927))</f>
        <v>268.4758166</v>
      </c>
      <c r="I927" s="5">
        <f t="shared" si="927"/>
        <v>186.523626</v>
      </c>
      <c r="J927" s="5">
        <f t="shared" si="927"/>
        <v>127.1180501</v>
      </c>
      <c r="K927" s="5">
        <f t="shared" si="927"/>
        <v>159.5729871</v>
      </c>
      <c r="L927" s="7">
        <f t="shared" si="6"/>
        <v>-0.1133923535</v>
      </c>
    </row>
    <row r="928" ht="15.75" customHeight="1">
      <c r="A928" s="4">
        <f>IF(RETORNOS!A928="","",RETORNOS!A928)</f>
        <v>45761</v>
      </c>
      <c r="B928" s="7">
        <f>IF(RETORNOS!B928="","",OPTIMIZACION!$B$5*RETORNOS!B928+OPTIMIZACION!$B$6*RETORNOS!C928+OPTIMIZACION!$B$7*RETORNOS!D928+OPTIMIZACION!$B$8*RETORNOS!E928+OPTIMIZACION!$B$9*RETORNOS!F928+OPTIMIZACION!$B$10*RETORNOS!G928)</f>
        <v>0.01897141416</v>
      </c>
      <c r="C928" s="7">
        <f>IF(RETORNOS!H928="","",RETORNOS!H928)</f>
        <v>0.003551031125</v>
      </c>
      <c r="D928" s="7">
        <f>IF(RETORNOS!I928="","",RETORNOS!I928)</f>
        <v>0.01795076987</v>
      </c>
      <c r="E928" s="7">
        <f t="shared" si="2"/>
        <v>0.0107509005</v>
      </c>
      <c r="F928" s="7">
        <f t="shared" si="3"/>
        <v>0.01542038304</v>
      </c>
      <c r="G928" s="7">
        <f t="shared" si="4"/>
        <v>0.008220513663</v>
      </c>
      <c r="H928" s="5">
        <f t="shared" ref="H928:K928" si="928">IF(B928="","",H927*(1+B928))</f>
        <v>273.5691825</v>
      </c>
      <c r="I928" s="5">
        <f t="shared" si="928"/>
        <v>187.1859772</v>
      </c>
      <c r="J928" s="5">
        <f t="shared" si="928"/>
        <v>129.399917</v>
      </c>
      <c r="K928" s="5">
        <f t="shared" si="928"/>
        <v>161.2885404</v>
      </c>
      <c r="L928" s="7">
        <f t="shared" si="6"/>
        <v>-0.09657215268</v>
      </c>
    </row>
    <row r="929" ht="15.75" customHeight="1">
      <c r="A929" s="4">
        <f>IF(RETORNOS!A929="","",RETORNOS!A929)</f>
        <v>45762</v>
      </c>
      <c r="B929" s="7">
        <f>IF(RETORNOS!B929="","",OPTIMIZACION!$B$5*RETORNOS!B929+OPTIMIZACION!$B$6*RETORNOS!C929+OPTIMIZACION!$B$7*RETORNOS!D929+OPTIMIZACION!$B$8*RETORNOS!E929+OPTIMIZACION!$B$9*RETORNOS!F929+OPTIMIZACION!$B$10*RETORNOS!G929)</f>
        <v>0.001595306853</v>
      </c>
      <c r="C929" s="7">
        <f>IF(RETORNOS!H929="","",RETORNOS!H929)</f>
        <v>-0.00151537523</v>
      </c>
      <c r="D929" s="7">
        <f>IF(RETORNOS!I929="","",RETORNOS!I929)</f>
        <v>-0.0001288320976</v>
      </c>
      <c r="E929" s="7">
        <f t="shared" si="2"/>
        <v>-0.0008221036639</v>
      </c>
      <c r="F929" s="7">
        <f t="shared" si="3"/>
        <v>0.003110682083</v>
      </c>
      <c r="G929" s="7">
        <f t="shared" si="4"/>
        <v>0.002417410517</v>
      </c>
      <c r="H929" s="5">
        <f t="shared" ref="H929:K929" si="929">IF(B929="","",H928*(1+B929))</f>
        <v>274.0056093</v>
      </c>
      <c r="I929" s="5">
        <f t="shared" si="929"/>
        <v>186.9023202</v>
      </c>
      <c r="J929" s="5">
        <f t="shared" si="929"/>
        <v>129.3832461</v>
      </c>
      <c r="K929" s="5">
        <f t="shared" si="929"/>
        <v>161.1559445</v>
      </c>
      <c r="L929" s="7">
        <f t="shared" si="6"/>
        <v>-0.09513090805</v>
      </c>
    </row>
    <row r="930" ht="15.75" customHeight="1">
      <c r="A930" s="4">
        <f>IF(RETORNOS!A930="","",RETORNOS!A930)</f>
        <v>45763</v>
      </c>
      <c r="B930" s="7">
        <f>IF(RETORNOS!B930="","",OPTIMIZACION!$B$5*RETORNOS!B930+OPTIMIZACION!$B$6*RETORNOS!C930+OPTIMIZACION!$B$7*RETORNOS!D930+OPTIMIZACION!$B$8*RETORNOS!E930+OPTIMIZACION!$B$9*RETORNOS!F930+OPTIMIZACION!$B$10*RETORNOS!G930)</f>
        <v>-0.0005514757323</v>
      </c>
      <c r="C930" s="7">
        <f>IF(RETORNOS!H930="","",RETORNOS!H930)</f>
        <v>0.008221388582</v>
      </c>
      <c r="D930" s="7">
        <f>IF(RETORNOS!I930="","",RETORNOS!I930)</f>
        <v>-0.009011520125</v>
      </c>
      <c r="E930" s="7">
        <f t="shared" si="2"/>
        <v>-0.0003950657717</v>
      </c>
      <c r="F930" s="7">
        <f t="shared" si="3"/>
        <v>-0.008772864314</v>
      </c>
      <c r="G930" s="7">
        <f t="shared" si="4"/>
        <v>-0.0001564099605</v>
      </c>
      <c r="H930" s="5">
        <f t="shared" ref="H930:K930" si="930">IF(B930="","",H929*(1+B930))</f>
        <v>273.8545018</v>
      </c>
      <c r="I930" s="5">
        <f t="shared" si="930"/>
        <v>188.4389168</v>
      </c>
      <c r="J930" s="5">
        <f t="shared" si="930"/>
        <v>128.2173064</v>
      </c>
      <c r="K930" s="5">
        <f t="shared" si="930"/>
        <v>161.0922773</v>
      </c>
      <c r="L930" s="7">
        <f t="shared" si="6"/>
        <v>-0.09562992139</v>
      </c>
    </row>
    <row r="931" ht="15.75" customHeight="1">
      <c r="A931" s="4">
        <f>IF(RETORNOS!A931="","",RETORNOS!A931)</f>
        <v>45764</v>
      </c>
      <c r="B931" s="7">
        <f>IF(RETORNOS!B931="","",OPTIMIZACION!$B$5*RETORNOS!B931+OPTIMIZACION!$B$6*RETORNOS!C931+OPTIMIZACION!$B$7*RETORNOS!D931+OPTIMIZACION!$B$8*RETORNOS!E931+OPTIMIZACION!$B$9*RETORNOS!F931+OPTIMIZACION!$B$10*RETORNOS!G931)</f>
        <v>0.01260475202</v>
      </c>
      <c r="C931" s="7">
        <f>IF(RETORNOS!H931="","",RETORNOS!H931)</f>
        <v>0.02258463771</v>
      </c>
      <c r="D931" s="7">
        <f>IF(RETORNOS!I931="","",RETORNOS!I931)</f>
        <v>0.01026364949</v>
      </c>
      <c r="E931" s="7">
        <f t="shared" si="2"/>
        <v>0.0164241436</v>
      </c>
      <c r="F931" s="7">
        <f t="shared" si="3"/>
        <v>-0.009979885694</v>
      </c>
      <c r="G931" s="7">
        <f t="shared" si="4"/>
        <v>-0.003819391582</v>
      </c>
      <c r="H931" s="5">
        <f t="shared" ref="H931:K931" si="931">IF(B931="","",H930*(1+B931))</f>
        <v>277.3063699</v>
      </c>
      <c r="I931" s="5">
        <f t="shared" si="931"/>
        <v>192.6947414</v>
      </c>
      <c r="J931" s="5">
        <f t="shared" si="931"/>
        <v>129.5332839</v>
      </c>
      <c r="K931" s="5">
        <f t="shared" si="931"/>
        <v>163.73808</v>
      </c>
      <c r="L931" s="7">
        <f t="shared" si="6"/>
        <v>-0.08423056082</v>
      </c>
    </row>
    <row r="932" ht="15.75" customHeight="1">
      <c r="A932" s="4">
        <f>IF(RETORNOS!A932="","",RETORNOS!A932)</f>
        <v>45768</v>
      </c>
      <c r="B932" s="7">
        <f>IF(RETORNOS!B932="","",OPTIMIZACION!$B$5*RETORNOS!B932+OPTIMIZACION!$B$6*RETORNOS!C932+OPTIMIZACION!$B$7*RETORNOS!D932+OPTIMIZACION!$B$8*RETORNOS!E932+OPTIMIZACION!$B$9*RETORNOS!F932+OPTIMIZACION!$B$10*RETORNOS!G932)</f>
        <v>-0.03022928427</v>
      </c>
      <c r="C932" s="7">
        <f>IF(RETORNOS!H932="","",RETORNOS!H932)</f>
        <v>-0.02613461364</v>
      </c>
      <c r="D932" s="7">
        <f>IF(RETORNOS!I932="","",RETORNOS!I932)</f>
        <v>-0.02366231365</v>
      </c>
      <c r="E932" s="7">
        <f t="shared" si="2"/>
        <v>-0.02489846365</v>
      </c>
      <c r="F932" s="7">
        <f t="shared" si="3"/>
        <v>-0.004094670623</v>
      </c>
      <c r="G932" s="7">
        <f t="shared" si="4"/>
        <v>-0.00533082062</v>
      </c>
      <c r="H932" s="5">
        <f t="shared" ref="H932:K932" si="932">IF(B932="","",H931*(1+B932))</f>
        <v>268.9235968</v>
      </c>
      <c r="I932" s="5">
        <f t="shared" si="932"/>
        <v>187.6587388</v>
      </c>
      <c r="J932" s="5">
        <f t="shared" si="932"/>
        <v>126.4682267</v>
      </c>
      <c r="K932" s="5">
        <f t="shared" si="932"/>
        <v>159.6612534</v>
      </c>
      <c r="L932" s="7">
        <f t="shared" si="6"/>
        <v>-0.1119136155</v>
      </c>
    </row>
    <row r="933" ht="15.75" customHeight="1">
      <c r="A933" s="4">
        <f>IF(RETORNOS!A933="","",RETORNOS!A933)</f>
        <v>45769</v>
      </c>
      <c r="B933" s="7">
        <f>IF(RETORNOS!B933="","",OPTIMIZACION!$B$5*RETORNOS!B933+OPTIMIZACION!$B$6*RETORNOS!C933+OPTIMIZACION!$B$7*RETORNOS!D933+OPTIMIZACION!$B$8*RETORNOS!E933+OPTIMIZACION!$B$9*RETORNOS!F933+OPTIMIZACION!$B$10*RETORNOS!G933)</f>
        <v>0.0300651775</v>
      </c>
      <c r="C933" s="7">
        <f>IF(RETORNOS!H933="","",RETORNOS!H933)</f>
        <v>0.02544842876</v>
      </c>
      <c r="D933" s="7">
        <f>IF(RETORNOS!I933="","",RETORNOS!I933)</f>
        <v>0.02726223559</v>
      </c>
      <c r="E933" s="7">
        <f t="shared" si="2"/>
        <v>0.02635533217</v>
      </c>
      <c r="F933" s="7">
        <f t="shared" si="3"/>
        <v>0.004616748742</v>
      </c>
      <c r="G933" s="7">
        <f t="shared" si="4"/>
        <v>0.003709845325</v>
      </c>
      <c r="H933" s="5">
        <f t="shared" ref="H933:K933" si="933">IF(B933="","",H932*(1+B933))</f>
        <v>277.0088325</v>
      </c>
      <c r="I933" s="5">
        <f t="shared" si="933"/>
        <v>192.4343589</v>
      </c>
      <c r="J933" s="5">
        <f t="shared" si="933"/>
        <v>129.9160333</v>
      </c>
      <c r="K933" s="5">
        <f t="shared" si="933"/>
        <v>163.8691788</v>
      </c>
      <c r="L933" s="7">
        <f t="shared" si="6"/>
        <v>-0.08521314073</v>
      </c>
    </row>
    <row r="934" ht="15.75" customHeight="1">
      <c r="A934" s="4">
        <f>IF(RETORNOS!A934="","",RETORNOS!A934)</f>
        <v>45770</v>
      </c>
      <c r="B934" s="7">
        <f>IF(RETORNOS!B934="","",OPTIMIZACION!$B$5*RETORNOS!B934+OPTIMIZACION!$B$6*RETORNOS!C934+OPTIMIZACION!$B$7*RETORNOS!D934+OPTIMIZACION!$B$8*RETORNOS!E934+OPTIMIZACION!$B$9*RETORNOS!F934+OPTIMIZACION!$B$10*RETORNOS!G934)</f>
        <v>0.005589868193</v>
      </c>
      <c r="C934" s="7">
        <f>IF(RETORNOS!H934="","",RETORNOS!H934)</f>
        <v>-0.001841926892</v>
      </c>
      <c r="D934" s="7">
        <f>IF(RETORNOS!I934="","",RETORNOS!I934)</f>
        <v>0.004229331923</v>
      </c>
      <c r="E934" s="7">
        <f t="shared" si="2"/>
        <v>0.001193702515</v>
      </c>
      <c r="F934" s="7">
        <f t="shared" si="3"/>
        <v>0.007431795085</v>
      </c>
      <c r="G934" s="7">
        <f t="shared" si="4"/>
        <v>0.004396165677</v>
      </c>
      <c r="H934" s="5">
        <f t="shared" ref="H934:K934" si="934">IF(B934="","",H933*(1+B934))</f>
        <v>278.5572753</v>
      </c>
      <c r="I934" s="5">
        <f t="shared" si="934"/>
        <v>192.0799088</v>
      </c>
      <c r="J934" s="5">
        <f t="shared" si="934"/>
        <v>130.4654913</v>
      </c>
      <c r="K934" s="5">
        <f t="shared" si="934"/>
        <v>164.0647898</v>
      </c>
      <c r="L934" s="7">
        <f t="shared" si="6"/>
        <v>-0.08009960277</v>
      </c>
    </row>
    <row r="935" ht="15.75" customHeight="1">
      <c r="A935" s="4">
        <f>IF(RETORNOS!A935="","",RETORNOS!A935)</f>
        <v>45771</v>
      </c>
      <c r="B935" s="7">
        <f>IF(RETORNOS!B935="","",OPTIMIZACION!$B$5*RETORNOS!B935+OPTIMIZACION!$B$6*RETORNOS!C935+OPTIMIZACION!$B$7*RETORNOS!D935+OPTIMIZACION!$B$8*RETORNOS!E935+OPTIMIZACION!$B$9*RETORNOS!F935+OPTIMIZACION!$B$10*RETORNOS!G935)</f>
        <v>0.01296915869</v>
      </c>
      <c r="C935" s="7">
        <f>IF(RETORNOS!H935="","",RETORNOS!H935)</f>
        <v>0.01600208009</v>
      </c>
      <c r="D935" s="7">
        <f>IF(RETORNOS!I935="","",RETORNOS!I935)</f>
        <v>0.00153596612</v>
      </c>
      <c r="E935" s="7">
        <f t="shared" si="2"/>
        <v>0.008769023107</v>
      </c>
      <c r="F935" s="7">
        <f t="shared" si="3"/>
        <v>-0.0030329214</v>
      </c>
      <c r="G935" s="7">
        <f t="shared" si="4"/>
        <v>0.004200135586</v>
      </c>
      <c r="H935" s="5">
        <f t="shared" ref="H935:K935" si="935">IF(B935="","",H934*(1+B935))</f>
        <v>282.1699289</v>
      </c>
      <c r="I935" s="5">
        <f t="shared" si="935"/>
        <v>195.1535869</v>
      </c>
      <c r="J935" s="5">
        <f t="shared" si="935"/>
        <v>130.6658819</v>
      </c>
      <c r="K935" s="5">
        <f t="shared" si="935"/>
        <v>165.5034777</v>
      </c>
      <c r="L935" s="7">
        <f t="shared" si="6"/>
        <v>-0.06816926853</v>
      </c>
    </row>
    <row r="936" ht="15.75" customHeight="1">
      <c r="A936" s="4">
        <f>IF(RETORNOS!A936="","",RETORNOS!A936)</f>
        <v>45772</v>
      </c>
      <c r="B936" s="7">
        <f>IF(RETORNOS!B936="","",OPTIMIZACION!$B$5*RETORNOS!B936+OPTIMIZACION!$B$6*RETORNOS!C936+OPTIMIZACION!$B$7*RETORNOS!D936+OPTIMIZACION!$B$8*RETORNOS!E936+OPTIMIZACION!$B$9*RETORNOS!F936+OPTIMIZACION!$B$10*RETORNOS!G936)</f>
        <v>-0.001963759743</v>
      </c>
      <c r="C936" s="7">
        <f>IF(RETORNOS!H936="","",RETORNOS!H936)</f>
        <v>-0.001818746506</v>
      </c>
      <c r="D936" s="7">
        <f>IF(RETORNOS!I936="","",RETORNOS!I936)</f>
        <v>-0.003059409833</v>
      </c>
      <c r="E936" s="7">
        <f t="shared" si="2"/>
        <v>-0.00243907817</v>
      </c>
      <c r="F936" s="7">
        <f t="shared" si="3"/>
        <v>-0.0001450132373</v>
      </c>
      <c r="G936" s="7">
        <f t="shared" si="4"/>
        <v>0.0004753184264</v>
      </c>
      <c r="H936" s="5">
        <f t="shared" ref="H936:K936" si="936">IF(B936="","",H935*(1+B936))</f>
        <v>281.6158149</v>
      </c>
      <c r="I936" s="5">
        <f t="shared" si="936"/>
        <v>194.798652</v>
      </c>
      <c r="J936" s="5">
        <f t="shared" si="936"/>
        <v>130.2661214</v>
      </c>
      <c r="K936" s="5">
        <f t="shared" si="936"/>
        <v>165.0998018</v>
      </c>
      <c r="L936" s="7">
        <f t="shared" si="6"/>
        <v>-0.06999916021</v>
      </c>
    </row>
    <row r="937" ht="15.75" customHeight="1">
      <c r="A937" s="4">
        <f>IF(RETORNOS!A937="","",RETORNOS!A937)</f>
        <v>45775</v>
      </c>
      <c r="B937" s="7">
        <f>IF(RETORNOS!B937="","",OPTIMIZACION!$B$5*RETORNOS!B937+OPTIMIZACION!$B$6*RETORNOS!C937+OPTIMIZACION!$B$7*RETORNOS!D937+OPTIMIZACION!$B$8*RETORNOS!E937+OPTIMIZACION!$B$9*RETORNOS!F937+OPTIMIZACION!$B$10*RETORNOS!G937)</f>
        <v>0.003417771411</v>
      </c>
      <c r="C937" s="7">
        <f>IF(RETORNOS!H937="","",RETORNOS!H937)</f>
        <v>0.00704181529</v>
      </c>
      <c r="D937" s="7">
        <f>IF(RETORNOS!I937="","",RETORNOS!I937)</f>
        <v>0.006137597092</v>
      </c>
      <c r="E937" s="7">
        <f t="shared" si="2"/>
        <v>0.006589706191</v>
      </c>
      <c r="F937" s="7">
        <f t="shared" si="3"/>
        <v>-0.003624043879</v>
      </c>
      <c r="G937" s="7">
        <f t="shared" si="4"/>
        <v>-0.00317193478</v>
      </c>
      <c r="H937" s="5">
        <f t="shared" ref="H937:K937" si="937">IF(B937="","",H936*(1+B937))</f>
        <v>282.5783134</v>
      </c>
      <c r="I937" s="5">
        <f t="shared" si="937"/>
        <v>196.1703881</v>
      </c>
      <c r="J937" s="5">
        <f t="shared" si="937"/>
        <v>131.0656424</v>
      </c>
      <c r="K937" s="5">
        <f t="shared" si="937"/>
        <v>166.187761</v>
      </c>
      <c r="L937" s="7">
        <f t="shared" si="6"/>
        <v>-0.06682062993</v>
      </c>
    </row>
    <row r="938" ht="15.75" customHeight="1">
      <c r="A938" s="4">
        <f>IF(RETORNOS!A938="","",RETORNOS!A938)</f>
        <v>45776</v>
      </c>
      <c r="B938" s="7">
        <f>IF(RETORNOS!B938="","",OPTIMIZACION!$B$5*RETORNOS!B938+OPTIMIZACION!$B$6*RETORNOS!C938+OPTIMIZACION!$B$7*RETORNOS!D938+OPTIMIZACION!$B$8*RETORNOS!E938+OPTIMIZACION!$B$9*RETORNOS!F938+OPTIMIZACION!$B$10*RETORNOS!G938)</f>
        <v>0.001124534773</v>
      </c>
      <c r="C938" s="7">
        <f>IF(RETORNOS!H938="","",RETORNOS!H938)</f>
        <v>-0.002894416816</v>
      </c>
      <c r="D938" s="7">
        <f>IF(RETORNOS!I938="","",RETORNOS!I938)</f>
        <v>0.007751092837</v>
      </c>
      <c r="E938" s="7">
        <f t="shared" si="2"/>
        <v>0.00242833801</v>
      </c>
      <c r="F938" s="7">
        <f t="shared" si="3"/>
        <v>0.004018951589</v>
      </c>
      <c r="G938" s="7">
        <f t="shared" si="4"/>
        <v>-0.001303803237</v>
      </c>
      <c r="H938" s="5">
        <f t="shared" ref="H938:K938" si="938">IF(B938="","",H937*(1+B938))</f>
        <v>282.8960825</v>
      </c>
      <c r="I938" s="5">
        <f t="shared" si="938"/>
        <v>195.6025893</v>
      </c>
      <c r="J938" s="5">
        <f t="shared" si="938"/>
        <v>132.0815443</v>
      </c>
      <c r="K938" s="5">
        <f t="shared" si="938"/>
        <v>166.5913211</v>
      </c>
      <c r="L938" s="7">
        <f t="shared" si="6"/>
        <v>-0.06577123728</v>
      </c>
    </row>
    <row r="939" ht="15.75" customHeight="1">
      <c r="A939" s="4">
        <f>IF(RETORNOS!A939="","",RETORNOS!A939)</f>
        <v>45777</v>
      </c>
      <c r="B939" s="7">
        <f>IF(RETORNOS!B939="","",OPTIMIZACION!$B$5*RETORNOS!B939+OPTIMIZACION!$B$6*RETORNOS!C939+OPTIMIZACION!$B$7*RETORNOS!D939+OPTIMIZACION!$B$8*RETORNOS!E939+OPTIMIZACION!$B$9*RETORNOS!F939+OPTIMIZACION!$B$10*RETORNOS!G939)</f>
        <v>-0.01155703927</v>
      </c>
      <c r="C939" s="7">
        <f>IF(RETORNOS!H939="","",RETORNOS!H939)</f>
        <v>-0.02695332932</v>
      </c>
      <c r="D939" s="7">
        <f>IF(RETORNOS!I939="","",RETORNOS!I939)</f>
        <v>-0.005043506035</v>
      </c>
      <c r="E939" s="7">
        <f t="shared" si="2"/>
        <v>-0.01599841768</v>
      </c>
      <c r="F939" s="7">
        <f t="shared" si="3"/>
        <v>0.01539629005</v>
      </c>
      <c r="G939" s="7">
        <f t="shared" si="4"/>
        <v>0.004441378408</v>
      </c>
      <c r="H939" s="5">
        <f t="shared" ref="H939:K939" si="939">IF(B939="","",H938*(1+B939))</f>
        <v>279.6266414</v>
      </c>
      <c r="I939" s="5">
        <f t="shared" si="939"/>
        <v>190.3304483</v>
      </c>
      <c r="J939" s="5">
        <f t="shared" si="939"/>
        <v>131.4153903</v>
      </c>
      <c r="K939" s="5">
        <f t="shared" si="939"/>
        <v>163.9261235</v>
      </c>
      <c r="L939" s="7">
        <f t="shared" si="6"/>
        <v>-0.07656815577</v>
      </c>
    </row>
    <row r="940" ht="15.75" customHeight="1">
      <c r="A940" s="4">
        <f>IF(RETORNOS!A940="","",RETORNOS!A940)</f>
        <v>45778</v>
      </c>
      <c r="B940" s="7">
        <f>IF(RETORNOS!B940="","",OPTIMIZACION!$B$5*RETORNOS!B940+OPTIMIZACION!$B$6*RETORNOS!C940+OPTIMIZACION!$B$7*RETORNOS!D940+OPTIMIZACION!$B$8*RETORNOS!E940+OPTIMIZACION!$B$9*RETORNOS!F940+OPTIMIZACION!$B$10*RETORNOS!G940)</f>
        <v>0.006484641554</v>
      </c>
      <c r="C940" s="7">
        <f>IF(RETORNOS!H940="","",RETORNOS!H940)</f>
        <v>0.003727122651</v>
      </c>
      <c r="D940" s="7">
        <f>IF(RETORNOS!I940="","",RETORNOS!I940)</f>
        <v>0.002915104695</v>
      </c>
      <c r="E940" s="7">
        <f t="shared" si="2"/>
        <v>0.003321113673</v>
      </c>
      <c r="F940" s="7">
        <f t="shared" si="3"/>
        <v>0.002757518903</v>
      </c>
      <c r="G940" s="7">
        <f t="shared" si="4"/>
        <v>0.003163527881</v>
      </c>
      <c r="H940" s="5">
        <f t="shared" ref="H940:K940" si="940">IF(B940="","",H939*(1+B940))</f>
        <v>281.4399199</v>
      </c>
      <c r="I940" s="5">
        <f t="shared" si="940"/>
        <v>191.0398332</v>
      </c>
      <c r="J940" s="5">
        <f t="shared" si="940"/>
        <v>131.7984799</v>
      </c>
      <c r="K940" s="5">
        <f t="shared" si="940"/>
        <v>164.4705408</v>
      </c>
      <c r="L940" s="7">
        <f t="shared" si="6"/>
        <v>-0.07058003126</v>
      </c>
    </row>
    <row r="941" ht="15.75" customHeight="1">
      <c r="A941" s="4">
        <f>IF(RETORNOS!A941="","",RETORNOS!A941)</f>
        <v>45779</v>
      </c>
      <c r="B941" s="7">
        <f>IF(RETORNOS!B941="","",OPTIMIZACION!$B$5*RETORNOS!B941+OPTIMIZACION!$B$6*RETORNOS!C941+OPTIMIZACION!$B$7*RETORNOS!D941+OPTIMIZACION!$B$8*RETORNOS!E941+OPTIMIZACION!$B$9*RETORNOS!F941+OPTIMIZACION!$B$10*RETORNOS!G941)</f>
        <v>0.004259862884</v>
      </c>
      <c r="C941" s="7">
        <f>IF(RETORNOS!H941="","",RETORNOS!H941)</f>
        <v>0.01460185639</v>
      </c>
      <c r="D941" s="7">
        <f>IF(RETORNOS!I941="","",RETORNOS!I941)</f>
        <v>0.007834482047</v>
      </c>
      <c r="E941" s="7">
        <f t="shared" si="2"/>
        <v>0.01121816922</v>
      </c>
      <c r="F941" s="7">
        <f t="shared" si="3"/>
        <v>-0.0103419935</v>
      </c>
      <c r="G941" s="7">
        <f t="shared" si="4"/>
        <v>-0.006958306333</v>
      </c>
      <c r="H941" s="5">
        <f t="shared" ref="H941:K941" si="941">IF(B941="","",H940*(1+B941))</f>
        <v>282.6388154</v>
      </c>
      <c r="I941" s="5">
        <f t="shared" si="941"/>
        <v>193.8293694</v>
      </c>
      <c r="J941" s="5">
        <f t="shared" si="941"/>
        <v>132.8310527</v>
      </c>
      <c r="K941" s="5">
        <f t="shared" si="941"/>
        <v>166.3155992</v>
      </c>
      <c r="L941" s="7">
        <f t="shared" si="6"/>
        <v>-0.06662082964</v>
      </c>
    </row>
    <row r="942" ht="15.75" customHeight="1">
      <c r="A942" s="4">
        <f>IF(RETORNOS!A942="","",RETORNOS!A942)</f>
        <v>45782</v>
      </c>
      <c r="B942" s="7">
        <f>IF(RETORNOS!B942="","",OPTIMIZACION!$B$5*RETORNOS!B942+OPTIMIZACION!$B$6*RETORNOS!C942+OPTIMIZACION!$B$7*RETORNOS!D942+OPTIMIZACION!$B$8*RETORNOS!E942+OPTIMIZACION!$B$9*RETORNOS!F942+OPTIMIZACION!$B$10*RETORNOS!G942)</f>
        <v>-0.00961690386</v>
      </c>
      <c r="C942" s="7">
        <f>IF(RETORNOS!H942="","",RETORNOS!H942)</f>
        <v>-0.01805155299</v>
      </c>
      <c r="D942" s="7">
        <f>IF(RETORNOS!I942="","",RETORNOS!I942)</f>
        <v>-0.002510085164</v>
      </c>
      <c r="E942" s="7">
        <f t="shared" si="2"/>
        <v>-0.01028081908</v>
      </c>
      <c r="F942" s="7">
        <f t="shared" si="3"/>
        <v>0.008434649134</v>
      </c>
      <c r="G942" s="7">
        <f t="shared" si="4"/>
        <v>0.000663915219</v>
      </c>
      <c r="H942" s="5">
        <f t="shared" ref="H942:K942" si="942">IF(B942="","",H941*(1+B942))</f>
        <v>279.9207051</v>
      </c>
      <c r="I942" s="5">
        <f t="shared" si="942"/>
        <v>190.3304483</v>
      </c>
      <c r="J942" s="5">
        <f t="shared" si="942"/>
        <v>132.4976355</v>
      </c>
      <c r="K942" s="5">
        <f t="shared" si="942"/>
        <v>164.6057386</v>
      </c>
      <c r="L942" s="7">
        <f t="shared" si="6"/>
        <v>-0.07559704738</v>
      </c>
    </row>
    <row r="943" ht="15.75" customHeight="1">
      <c r="A943" s="4">
        <f>IF(RETORNOS!A943="","",RETORNOS!A943)</f>
        <v>45783</v>
      </c>
      <c r="B943" s="7">
        <f>IF(RETORNOS!B943="","",OPTIMIZACION!$B$5*RETORNOS!B943+OPTIMIZACION!$B$6*RETORNOS!C943+OPTIMIZACION!$B$7*RETORNOS!D943+OPTIMIZACION!$B$8*RETORNOS!E943+OPTIMIZACION!$B$9*RETORNOS!F943+OPTIMIZACION!$B$10*RETORNOS!G943)</f>
        <v>0.009739923069</v>
      </c>
      <c r="C943" s="7">
        <f>IF(RETORNOS!H943="","",RETORNOS!H943)</f>
        <v>0.0002471161293</v>
      </c>
      <c r="D943" s="7">
        <f>IF(RETORNOS!I943="","",RETORNOS!I943)</f>
        <v>0.01219684423</v>
      </c>
      <c r="E943" s="7">
        <f t="shared" si="2"/>
        <v>0.006221980178</v>
      </c>
      <c r="F943" s="7">
        <f t="shared" si="3"/>
        <v>0.009492806939</v>
      </c>
      <c r="G943" s="7">
        <f t="shared" si="4"/>
        <v>0.003517942891</v>
      </c>
      <c r="H943" s="5">
        <f t="shared" ref="H943:K943" si="943">IF(B943="","",H942*(1+B943))</f>
        <v>282.6471112</v>
      </c>
      <c r="I943" s="5">
        <f t="shared" si="943"/>
        <v>190.377482</v>
      </c>
      <c r="J943" s="5">
        <f t="shared" si="943"/>
        <v>134.1136885</v>
      </c>
      <c r="K943" s="5">
        <f t="shared" si="943"/>
        <v>165.6299122</v>
      </c>
      <c r="L943" s="7">
        <f t="shared" si="6"/>
        <v>-0.06659343374</v>
      </c>
    </row>
    <row r="944" ht="15.75" customHeight="1">
      <c r="A944" s="4">
        <f>IF(RETORNOS!A944="","",RETORNOS!A944)</f>
        <v>45784</v>
      </c>
      <c r="B944" s="7">
        <f>IF(RETORNOS!B944="","",OPTIMIZACION!$B$5*RETORNOS!B944+OPTIMIZACION!$B$6*RETORNOS!C944+OPTIMIZACION!$B$7*RETORNOS!D944+OPTIMIZACION!$B$8*RETORNOS!E944+OPTIMIZACION!$B$9*RETORNOS!F944+OPTIMIZACION!$B$10*RETORNOS!G944)</f>
        <v>0.001028087158</v>
      </c>
      <c r="C944" s="7">
        <f>IF(RETORNOS!H944="","",RETORNOS!H944)</f>
        <v>0.0003744030564</v>
      </c>
      <c r="D944" s="7">
        <f>IF(RETORNOS!I944="","",RETORNOS!I944)</f>
        <v>0.002853917477</v>
      </c>
      <c r="E944" s="7">
        <f t="shared" si="2"/>
        <v>0.001614160267</v>
      </c>
      <c r="F944" s="7">
        <f t="shared" si="3"/>
        <v>0.0006536841016</v>
      </c>
      <c r="G944" s="7">
        <f t="shared" si="4"/>
        <v>-0.0005860731089</v>
      </c>
      <c r="H944" s="5">
        <f t="shared" ref="H944:K944" si="944">IF(B944="","",H943*(1+B944))</f>
        <v>282.9376971</v>
      </c>
      <c r="I944" s="5">
        <f t="shared" si="944"/>
        <v>190.4487599</v>
      </c>
      <c r="J944" s="5">
        <f t="shared" si="944"/>
        <v>134.4964379</v>
      </c>
      <c r="K944" s="5">
        <f t="shared" si="944"/>
        <v>165.8972655</v>
      </c>
      <c r="L944" s="7">
        <f t="shared" si="6"/>
        <v>-0.06563381044</v>
      </c>
    </row>
    <row r="945" ht="15.75" customHeight="1">
      <c r="A945" s="4">
        <f>IF(RETORNOS!A945="","",RETORNOS!A945)</f>
        <v>45785</v>
      </c>
      <c r="B945" s="7">
        <f>IF(RETORNOS!B945="","",OPTIMIZACION!$B$5*RETORNOS!B945+OPTIMIZACION!$B$6*RETORNOS!C945+OPTIMIZACION!$B$7*RETORNOS!D945+OPTIMIZACION!$B$8*RETORNOS!E945+OPTIMIZACION!$B$9*RETORNOS!F945+OPTIMIZACION!$B$10*RETORNOS!G945)</f>
        <v>-0.003280288139</v>
      </c>
      <c r="C945" s="7">
        <f>IF(RETORNOS!H945="","",RETORNOS!H945)</f>
        <v>0.01315776074</v>
      </c>
      <c r="D945" s="7">
        <f>IF(RETORNOS!I945="","",RETORNOS!I945)</f>
        <v>-0.008049175352</v>
      </c>
      <c r="E945" s="7">
        <f t="shared" si="2"/>
        <v>0.002554292692</v>
      </c>
      <c r="F945" s="7">
        <f t="shared" si="3"/>
        <v>-0.01643804888</v>
      </c>
      <c r="G945" s="7">
        <f t="shared" si="4"/>
        <v>-0.005834580831</v>
      </c>
      <c r="H945" s="5">
        <f t="shared" ref="H945:K945" si="945">IF(B945="","",H944*(1+B945))</f>
        <v>282.0095799</v>
      </c>
      <c r="I945" s="5">
        <f t="shared" si="945"/>
        <v>192.9546391</v>
      </c>
      <c r="J945" s="5">
        <f t="shared" si="945"/>
        <v>133.4138525</v>
      </c>
      <c r="K945" s="5">
        <f t="shared" si="945"/>
        <v>166.3210156</v>
      </c>
      <c r="L945" s="7">
        <f t="shared" si="6"/>
        <v>-0.06869880076</v>
      </c>
    </row>
    <row r="946" ht="15.75" customHeight="1">
      <c r="A946" s="4">
        <f>IF(RETORNOS!A946="","",RETORNOS!A946)</f>
        <v>45786</v>
      </c>
      <c r="B946" s="7">
        <f>IF(RETORNOS!B946="","",OPTIMIZACION!$B$5*RETORNOS!B946+OPTIMIZACION!$B$6*RETORNOS!C946+OPTIMIZACION!$B$7*RETORNOS!D946+OPTIMIZACION!$B$8*RETORNOS!E946+OPTIMIZACION!$B$9*RETORNOS!F946+OPTIMIZACION!$B$10*RETORNOS!G946)</f>
        <v>0.008427297973</v>
      </c>
      <c r="C946" s="7">
        <f>IF(RETORNOS!H946="","",RETORNOS!H946)</f>
        <v>0.01004925366</v>
      </c>
      <c r="D946" s="7">
        <f>IF(RETORNOS!I946="","",RETORNOS!I946)</f>
        <v>0.001746834023</v>
      </c>
      <c r="E946" s="7">
        <f t="shared" si="2"/>
        <v>0.00589804384</v>
      </c>
      <c r="F946" s="7">
        <f t="shared" si="3"/>
        <v>-0.001621955683</v>
      </c>
      <c r="G946" s="7">
        <f t="shared" si="4"/>
        <v>0.002529254134</v>
      </c>
      <c r="H946" s="5">
        <f t="shared" ref="H946:K946" si="946">IF(B946="","",H945*(1+B946))</f>
        <v>284.3861587</v>
      </c>
      <c r="I946" s="5">
        <f t="shared" si="946"/>
        <v>194.8936892</v>
      </c>
      <c r="J946" s="5">
        <f t="shared" si="946"/>
        <v>133.6469043</v>
      </c>
      <c r="K946" s="5">
        <f t="shared" si="946"/>
        <v>167.3019843</v>
      </c>
      <c r="L946" s="7">
        <f t="shared" si="6"/>
        <v>-0.06085044806</v>
      </c>
    </row>
    <row r="947" ht="15.75" customHeight="1">
      <c r="A947" s="4">
        <f>IF(RETORNOS!A947="","",RETORNOS!A947)</f>
        <v>45789</v>
      </c>
      <c r="B947" s="7">
        <f>IF(RETORNOS!B947="","",OPTIMIZACION!$B$5*RETORNOS!B947+OPTIMIZACION!$B$6*RETORNOS!C947+OPTIMIZACION!$B$7*RETORNOS!D947+OPTIMIZACION!$B$8*RETORNOS!E947+OPTIMIZACION!$B$9*RETORNOS!F947+OPTIMIZACION!$B$10*RETORNOS!G947)</f>
        <v>0.01557531266</v>
      </c>
      <c r="C947" s="7">
        <f>IF(RETORNOS!H947="","",RETORNOS!H947)</f>
        <v>0.02608355994</v>
      </c>
      <c r="D947" s="7">
        <f>IF(RETORNOS!I947="","",RETORNOS!I947)</f>
        <v>-0.005982338101</v>
      </c>
      <c r="E947" s="7">
        <f t="shared" si="2"/>
        <v>0.01005061092</v>
      </c>
      <c r="F947" s="7">
        <f t="shared" si="3"/>
        <v>-0.01050824729</v>
      </c>
      <c r="G947" s="7">
        <f t="shared" si="4"/>
        <v>0.005524701736</v>
      </c>
      <c r="H947" s="5">
        <f t="shared" ref="H947:K947" si="947">IF(B947="","",H946*(1+B947))</f>
        <v>288.815562</v>
      </c>
      <c r="I947" s="5">
        <f t="shared" si="947"/>
        <v>199.9772105</v>
      </c>
      <c r="J947" s="5">
        <f t="shared" si="947"/>
        <v>132.8473834</v>
      </c>
      <c r="K947" s="5">
        <f t="shared" si="947"/>
        <v>168.9834714</v>
      </c>
      <c r="L947" s="7">
        <f t="shared" si="6"/>
        <v>-0.04622290015</v>
      </c>
    </row>
    <row r="948" ht="15.75" customHeight="1">
      <c r="A948" s="4">
        <f>IF(RETORNOS!A948="","",RETORNOS!A948)</f>
        <v>45790</v>
      </c>
      <c r="B948" s="7">
        <f>IF(RETORNOS!B948="","",OPTIMIZACION!$B$5*RETORNOS!B948+OPTIMIZACION!$B$6*RETORNOS!C948+OPTIMIZACION!$B$7*RETORNOS!D948+OPTIMIZACION!$B$8*RETORNOS!E948+OPTIMIZACION!$B$9*RETORNOS!F948+OPTIMIZACION!$B$10*RETORNOS!G948)</f>
        <v>0.007540849118</v>
      </c>
      <c r="C948" s="7">
        <f>IF(RETORNOS!H948="","",RETORNOS!H948)</f>
        <v>0.01406808059</v>
      </c>
      <c r="D948" s="7">
        <f>IF(RETORNOS!I948="","",RETORNOS!I948)</f>
        <v>-0.001375255139</v>
      </c>
      <c r="E948" s="7">
        <f t="shared" si="2"/>
        <v>0.006346412724</v>
      </c>
      <c r="F948" s="7">
        <f t="shared" si="3"/>
        <v>-0.00652723147</v>
      </c>
      <c r="G948" s="7">
        <f t="shared" si="4"/>
        <v>0.001194436394</v>
      </c>
      <c r="H948" s="5">
        <f t="shared" ref="H948:K948" si="948">IF(B948="","",H947*(1+B948))</f>
        <v>290.9934766</v>
      </c>
      <c r="I948" s="5">
        <f t="shared" si="948"/>
        <v>202.790506</v>
      </c>
      <c r="J948" s="5">
        <f t="shared" si="948"/>
        <v>132.6646843</v>
      </c>
      <c r="K948" s="5">
        <f t="shared" si="948"/>
        <v>170.0559103</v>
      </c>
      <c r="L948" s="7">
        <f t="shared" si="6"/>
        <v>-0.03903061095</v>
      </c>
    </row>
    <row r="949" ht="15.75" customHeight="1">
      <c r="A949" s="4">
        <f>IF(RETORNOS!A949="","",RETORNOS!A949)</f>
        <v>45791</v>
      </c>
      <c r="B949" s="7">
        <f>IF(RETORNOS!B949="","",OPTIMIZACION!$B$5*RETORNOS!B949+OPTIMIZACION!$B$6*RETORNOS!C949+OPTIMIZACION!$B$7*RETORNOS!D949+OPTIMIZACION!$B$8*RETORNOS!E949+OPTIMIZACION!$B$9*RETORNOS!F949+OPTIMIZACION!$B$10*RETORNOS!G949)</f>
        <v>-0.00348234167</v>
      </c>
      <c r="C949" s="7">
        <f>IF(RETORNOS!H949="","",RETORNOS!H949)</f>
        <v>-0.006063721681</v>
      </c>
      <c r="D949" s="7">
        <f>IF(RETORNOS!I949="","",RETORNOS!I949)</f>
        <v>-0.004395593123</v>
      </c>
      <c r="E949" s="7">
        <f t="shared" si="2"/>
        <v>-0.005229657402</v>
      </c>
      <c r="F949" s="7">
        <f t="shared" si="3"/>
        <v>0.002581380011</v>
      </c>
      <c r="G949" s="7">
        <f t="shared" si="4"/>
        <v>0.001747315732</v>
      </c>
      <c r="H949" s="5">
        <f t="shared" ref="H949:K949" si="949">IF(B949="","",H948*(1+B949))</f>
        <v>289.9801379</v>
      </c>
      <c r="I949" s="5">
        <f t="shared" si="949"/>
        <v>201.5608408</v>
      </c>
      <c r="J949" s="5">
        <f t="shared" si="949"/>
        <v>132.0815443</v>
      </c>
      <c r="K949" s="5">
        <f t="shared" si="949"/>
        <v>169.1665761</v>
      </c>
      <c r="L949" s="7">
        <f t="shared" si="6"/>
        <v>-0.0423770347</v>
      </c>
    </row>
    <row r="950" ht="15.75" customHeight="1">
      <c r="A950" s="4">
        <f>IF(RETORNOS!A950="","",RETORNOS!A950)</f>
        <v>45792</v>
      </c>
      <c r="B950" s="7">
        <f>IF(RETORNOS!B950="","",OPTIMIZACION!$B$5*RETORNOS!B950+OPTIMIZACION!$B$6*RETORNOS!C950+OPTIMIZACION!$B$7*RETORNOS!D950+OPTIMIZACION!$B$8*RETORNOS!E950+OPTIMIZACION!$B$9*RETORNOS!F950+OPTIMIZACION!$B$10*RETORNOS!G950)</f>
        <v>0.005755701041</v>
      </c>
      <c r="C950" s="7">
        <f>IF(RETORNOS!H950="","",RETORNOS!H950)</f>
        <v>0.004221906281</v>
      </c>
      <c r="D950" s="7">
        <f>IF(RETORNOS!I950="","",RETORNOS!I950)</f>
        <v>0.02131254798</v>
      </c>
      <c r="E950" s="7">
        <f t="shared" si="2"/>
        <v>0.01276722713</v>
      </c>
      <c r="F950" s="7">
        <f t="shared" si="3"/>
        <v>0.00153379476</v>
      </c>
      <c r="G950" s="7">
        <f t="shared" si="4"/>
        <v>-0.007011526087</v>
      </c>
      <c r="H950" s="5">
        <f t="shared" ref="H950:K950" si="950">IF(B950="","",H949*(1+B950))</f>
        <v>291.6491769</v>
      </c>
      <c r="I950" s="5">
        <f t="shared" si="950"/>
        <v>202.4118118</v>
      </c>
      <c r="J950" s="5">
        <f t="shared" si="950"/>
        <v>134.8965386</v>
      </c>
      <c r="K950" s="5">
        <f t="shared" si="950"/>
        <v>171.3263642</v>
      </c>
      <c r="L950" s="7">
        <f t="shared" si="6"/>
        <v>-0.0368652432</v>
      </c>
    </row>
    <row r="951" ht="15.75" customHeight="1">
      <c r="A951" s="4">
        <f>IF(RETORNOS!A951="","",RETORNOS!A951)</f>
        <v>45793</v>
      </c>
      <c r="B951" s="7">
        <f>IF(RETORNOS!B951="","",OPTIMIZACION!$B$5*RETORNOS!B951+OPTIMIZACION!$B$6*RETORNOS!C951+OPTIMIZACION!$B$7*RETORNOS!D951+OPTIMIZACION!$B$8*RETORNOS!E951+OPTIMIZACION!$B$9*RETORNOS!F951+OPTIMIZACION!$B$10*RETORNOS!G951)</f>
        <v>0.006970113981</v>
      </c>
      <c r="C951" s="7">
        <f>IF(RETORNOS!H951="","",RETORNOS!H951)</f>
        <v>-0.001516371058</v>
      </c>
      <c r="D951" s="7">
        <f>IF(RETORNOS!I951="","",RETORNOS!I951)</f>
        <v>0.01469119487</v>
      </c>
      <c r="E951" s="7">
        <f t="shared" si="2"/>
        <v>0.006587411904</v>
      </c>
      <c r="F951" s="7">
        <f t="shared" si="3"/>
        <v>0.00848648504</v>
      </c>
      <c r="G951" s="7">
        <f t="shared" si="4"/>
        <v>0.0003827020771</v>
      </c>
      <c r="H951" s="5">
        <f t="shared" ref="H951:K951" si="951">IF(B951="","",H950*(1+B951))</f>
        <v>293.6820049</v>
      </c>
      <c r="I951" s="5">
        <f t="shared" si="951"/>
        <v>202.1048804</v>
      </c>
      <c r="J951" s="5">
        <f t="shared" si="951"/>
        <v>136.8783299</v>
      </c>
      <c r="K951" s="5">
        <f t="shared" si="951"/>
        <v>172.4549616</v>
      </c>
      <c r="L951" s="7">
        <f t="shared" si="6"/>
        <v>-0.03015208416</v>
      </c>
    </row>
    <row r="952" ht="15.75" customHeight="1">
      <c r="A952" s="4">
        <f>IF(RETORNOS!A952="","",RETORNOS!A952)</f>
        <v>45796</v>
      </c>
      <c r="B952" s="7">
        <f>IF(RETORNOS!B952="","",OPTIMIZACION!$B$5*RETORNOS!B952+OPTIMIZACION!$B$6*RETORNOS!C952+OPTIMIZACION!$B$7*RETORNOS!D952+OPTIMIZACION!$B$8*RETORNOS!E952+OPTIMIZACION!$B$9*RETORNOS!F952+OPTIMIZACION!$B$10*RETORNOS!G952)</f>
        <v>0.0007294947717</v>
      </c>
      <c r="C952" s="7">
        <f>IF(RETORNOS!H952="","",RETORNOS!H952)</f>
        <v>-0.01298430224</v>
      </c>
      <c r="D952" s="7">
        <f>IF(RETORNOS!I952="","",RETORNOS!I952)</f>
        <v>0.004260279727</v>
      </c>
      <c r="E952" s="7">
        <f t="shared" si="2"/>
        <v>-0.004362011255</v>
      </c>
      <c r="F952" s="7">
        <f t="shared" si="3"/>
        <v>0.01371379701</v>
      </c>
      <c r="G952" s="7">
        <f t="shared" si="4"/>
        <v>0.005091506027</v>
      </c>
      <c r="H952" s="5">
        <f t="shared" ref="H952:K952" si="952">IF(B952="","",H951*(1+B952))</f>
        <v>293.8962443</v>
      </c>
      <c r="I952" s="5">
        <f t="shared" si="952"/>
        <v>199.4806895</v>
      </c>
      <c r="J952" s="5">
        <f t="shared" si="952"/>
        <v>137.4614699</v>
      </c>
      <c r="K952" s="5">
        <f t="shared" si="952"/>
        <v>171.7027111</v>
      </c>
      <c r="L952" s="7">
        <f t="shared" si="6"/>
        <v>-0.02944458518</v>
      </c>
    </row>
    <row r="953" ht="15.75" customHeight="1">
      <c r="A953" s="4">
        <f>IF(RETORNOS!A953="","",RETORNOS!A953)</f>
        <v>45797</v>
      </c>
      <c r="B953" s="7">
        <f>IF(RETORNOS!B953="","",OPTIMIZACION!$B$5*RETORNOS!B953+OPTIMIZACION!$B$6*RETORNOS!C953+OPTIMIZACION!$B$7*RETORNOS!D953+OPTIMIZACION!$B$8*RETORNOS!E953+OPTIMIZACION!$B$9*RETORNOS!F953+OPTIMIZACION!$B$10*RETORNOS!G953)</f>
        <v>-0.0006224791818</v>
      </c>
      <c r="C953" s="7">
        <f>IF(RETORNOS!H953="","",RETORNOS!H953)</f>
        <v>-0.009246497925</v>
      </c>
      <c r="D953" s="7">
        <f>IF(RETORNOS!I953="","",RETORNOS!I953)</f>
        <v>0.002908163897</v>
      </c>
      <c r="E953" s="7">
        <f t="shared" si="2"/>
        <v>-0.003169167014</v>
      </c>
      <c r="F953" s="7">
        <f t="shared" si="3"/>
        <v>0.008624018744</v>
      </c>
      <c r="G953" s="7">
        <f t="shared" si="4"/>
        <v>0.002546687833</v>
      </c>
      <c r="H953" s="5">
        <f t="shared" ref="H953:K953" si="953">IF(B953="","",H952*(1+B953))</f>
        <v>293.7133001</v>
      </c>
      <c r="I953" s="5">
        <f t="shared" si="953"/>
        <v>197.6361917</v>
      </c>
      <c r="J953" s="5">
        <f t="shared" si="953"/>
        <v>137.8612304</v>
      </c>
      <c r="K953" s="5">
        <f t="shared" si="953"/>
        <v>171.1585565</v>
      </c>
      <c r="L953" s="7">
        <f t="shared" si="6"/>
        <v>-0.03004873572</v>
      </c>
    </row>
    <row r="954" ht="15.75" customHeight="1">
      <c r="A954" s="4">
        <f>IF(RETORNOS!A954="","",RETORNOS!A954)</f>
        <v>45798</v>
      </c>
      <c r="B954" s="7">
        <f>IF(RETORNOS!B954="","",OPTIMIZACION!$B$5*RETORNOS!B954+OPTIMIZACION!$B$6*RETORNOS!C954+OPTIMIZACION!$B$7*RETORNOS!D954+OPTIMIZACION!$B$8*RETORNOS!E954+OPTIMIZACION!$B$9*RETORNOS!F954+OPTIMIZACION!$B$10*RETORNOS!G954)</f>
        <v>-0.01567557421</v>
      </c>
      <c r="C954" s="7">
        <f>IF(RETORNOS!H954="","",RETORNOS!H954)</f>
        <v>-0.01842515242</v>
      </c>
      <c r="D954" s="7">
        <f>IF(RETORNOS!I954="","",RETORNOS!I954)</f>
        <v>-0.01824486069</v>
      </c>
      <c r="E954" s="7">
        <f t="shared" si="2"/>
        <v>-0.01833500655</v>
      </c>
      <c r="F954" s="7">
        <f t="shared" si="3"/>
        <v>0.002749578204</v>
      </c>
      <c r="G954" s="7">
        <f t="shared" si="4"/>
        <v>0.00265943234</v>
      </c>
      <c r="H954" s="5">
        <f t="shared" ref="H954:K954" si="954">IF(B954="","",H953*(1+B954))</f>
        <v>289.1091754</v>
      </c>
      <c r="I954" s="5">
        <f t="shared" si="954"/>
        <v>193.9947148</v>
      </c>
      <c r="J954" s="5">
        <f t="shared" si="954"/>
        <v>135.3459714</v>
      </c>
      <c r="K954" s="5">
        <f t="shared" si="954"/>
        <v>168.0203633</v>
      </c>
      <c r="L954" s="7">
        <f t="shared" si="6"/>
        <v>-0.04525327875</v>
      </c>
    </row>
    <row r="955" ht="15.75" customHeight="1">
      <c r="A955" s="4">
        <f>IF(RETORNOS!A955="","",RETORNOS!A955)</f>
        <v>45799</v>
      </c>
      <c r="B955" s="7">
        <f>IF(RETORNOS!B955="","",OPTIMIZACION!$B$5*RETORNOS!B955+OPTIMIZACION!$B$6*RETORNOS!C955+OPTIMIZACION!$B$7*RETORNOS!D955+OPTIMIZACION!$B$8*RETORNOS!E955+OPTIMIZACION!$B$9*RETORNOS!F955+OPTIMIZACION!$B$10*RETORNOS!G955)</f>
        <v>-0.002691428359</v>
      </c>
      <c r="C955" s="7">
        <f>IF(RETORNOS!H955="","",RETORNOS!H955)</f>
        <v>-0.003896671957</v>
      </c>
      <c r="D955" s="7">
        <f>IF(RETORNOS!I955="","",RETORNOS!I955)</f>
        <v>-0.01427540804</v>
      </c>
      <c r="E955" s="7">
        <f t="shared" si="2"/>
        <v>-0.009086039998</v>
      </c>
      <c r="F955" s="7">
        <f t="shared" si="3"/>
        <v>0.001205243598</v>
      </c>
      <c r="G955" s="7">
        <f t="shared" si="4"/>
        <v>0.006394611639</v>
      </c>
      <c r="H955" s="5">
        <f t="shared" ref="H955:K955" si="955">IF(B955="","",H954*(1+B955))</f>
        <v>288.3310588</v>
      </c>
      <c r="I955" s="5">
        <f t="shared" si="955"/>
        <v>193.238781</v>
      </c>
      <c r="J955" s="5">
        <f t="shared" si="955"/>
        <v>133.4138525</v>
      </c>
      <c r="K955" s="5">
        <f t="shared" si="955"/>
        <v>166.4937235</v>
      </c>
      <c r="L955" s="7">
        <f t="shared" si="6"/>
        <v>-0.04782291115</v>
      </c>
    </row>
    <row r="956" ht="15.75" customHeight="1">
      <c r="A956" s="4">
        <f>IF(RETORNOS!A956="","",RETORNOS!A956)</f>
        <v>45800</v>
      </c>
      <c r="B956" s="7">
        <f>IF(RETORNOS!B956="","",OPTIMIZACION!$B$5*RETORNOS!B956+OPTIMIZACION!$B$6*RETORNOS!C956+OPTIMIZACION!$B$7*RETORNOS!D956+OPTIMIZACION!$B$8*RETORNOS!E956+OPTIMIZACION!$B$9*RETORNOS!F956+OPTIMIZACION!$B$10*RETORNOS!G956)</f>
        <v>0.01001896035</v>
      </c>
      <c r="C956" s="7">
        <f>IF(RETORNOS!H956="","",RETORNOS!H956)</f>
        <v>0.003181724655</v>
      </c>
      <c r="D956" s="7">
        <f>IF(RETORNOS!I956="","",RETORNOS!I956)</f>
        <v>0.01198557651</v>
      </c>
      <c r="E956" s="7">
        <f t="shared" si="2"/>
        <v>0.007583650581</v>
      </c>
      <c r="F956" s="7">
        <f t="shared" si="3"/>
        <v>0.006837235695</v>
      </c>
      <c r="G956" s="7">
        <f t="shared" si="4"/>
        <v>0.002435309769</v>
      </c>
      <c r="H956" s="5">
        <f t="shared" ref="H956:K956" si="956">IF(B956="","",H955*(1+B956))</f>
        <v>291.2198362</v>
      </c>
      <c r="I956" s="5">
        <f t="shared" si="956"/>
        <v>193.8536136</v>
      </c>
      <c r="J956" s="5">
        <f t="shared" si="956"/>
        <v>135.0128944</v>
      </c>
      <c r="K956" s="5">
        <f t="shared" si="956"/>
        <v>167.7563537</v>
      </c>
      <c r="L956" s="7">
        <f t="shared" si="6"/>
        <v>-0.03828308665</v>
      </c>
    </row>
    <row r="957" ht="15.75" customHeight="1">
      <c r="A957" s="4">
        <f>IF(RETORNOS!A957="","",RETORNOS!A957)</f>
        <v>45804</v>
      </c>
      <c r="B957" s="7">
        <f>IF(RETORNOS!B957="","",OPTIMIZACION!$B$5*RETORNOS!B957+OPTIMIZACION!$B$6*RETORNOS!C957+OPTIMIZACION!$B$7*RETORNOS!D957+OPTIMIZACION!$B$8*RETORNOS!E957+OPTIMIZACION!$B$9*RETORNOS!F957+OPTIMIZACION!$B$10*RETORNOS!G957)</f>
        <v>0.0116855065</v>
      </c>
      <c r="C957" s="7">
        <f>IF(RETORNOS!H957="","",RETORNOS!H957)</f>
        <v>0.008654457045</v>
      </c>
      <c r="D957" s="7">
        <f>IF(RETORNOS!I957="","",RETORNOS!I957)</f>
        <v>0.007527000942</v>
      </c>
      <c r="E957" s="7">
        <f t="shared" si="2"/>
        <v>0.008090728994</v>
      </c>
      <c r="F957" s="7">
        <f t="shared" si="3"/>
        <v>0.003031049453</v>
      </c>
      <c r="G957" s="7">
        <f t="shared" si="4"/>
        <v>0.003594777504</v>
      </c>
      <c r="H957" s="5">
        <f t="shared" ref="H957:K957" si="957">IF(B957="","",H956*(1+B957))</f>
        <v>294.6228875</v>
      </c>
      <c r="I957" s="5">
        <f t="shared" si="957"/>
        <v>195.5313114</v>
      </c>
      <c r="J957" s="5">
        <f t="shared" si="957"/>
        <v>136.0291366</v>
      </c>
      <c r="K957" s="5">
        <f t="shared" si="957"/>
        <v>169.1136249</v>
      </c>
      <c r="L957" s="7">
        <f t="shared" si="6"/>
        <v>-0.02704493741</v>
      </c>
    </row>
    <row r="958" ht="15.75" customHeight="1">
      <c r="A958" s="4">
        <f>IF(RETORNOS!A958="","",RETORNOS!A958)</f>
        <v>45805</v>
      </c>
      <c r="B958" s="7">
        <f>IF(RETORNOS!B958="","",OPTIMIZACION!$B$5*RETORNOS!B958+OPTIMIZACION!$B$6*RETORNOS!C958+OPTIMIZACION!$B$7*RETORNOS!D958+OPTIMIZACION!$B$8*RETORNOS!E958+OPTIMIZACION!$B$9*RETORNOS!F958+OPTIMIZACION!$B$10*RETORNOS!G958)</f>
        <v>-0.007008857237</v>
      </c>
      <c r="C958" s="7">
        <f>IF(RETORNOS!H958="","",RETORNOS!H958)</f>
        <v>-0.01269423242</v>
      </c>
      <c r="D958" s="7">
        <f>IF(RETORNOS!I958="","",RETORNOS!I958)</f>
        <v>-0.01396360908</v>
      </c>
      <c r="E958" s="7">
        <f t="shared" si="2"/>
        <v>-0.01332892075</v>
      </c>
      <c r="F958" s="7">
        <f t="shared" si="3"/>
        <v>0.005685375182</v>
      </c>
      <c r="G958" s="7">
        <f t="shared" si="4"/>
        <v>0.006320063512</v>
      </c>
      <c r="H958" s="5">
        <f t="shared" ref="H958:K958" si="958">IF(B958="","",H957*(1+B958))</f>
        <v>292.5579178</v>
      </c>
      <c r="I958" s="5">
        <f t="shared" si="958"/>
        <v>193.0491915</v>
      </c>
      <c r="J958" s="5">
        <f t="shared" si="958"/>
        <v>134.1296789</v>
      </c>
      <c r="K958" s="5">
        <f t="shared" si="958"/>
        <v>166.8595228</v>
      </c>
      <c r="L958" s="7">
        <f t="shared" si="6"/>
        <v>-0.03386424054</v>
      </c>
    </row>
    <row r="959" ht="15.75" customHeight="1">
      <c r="A959" s="4">
        <f>IF(RETORNOS!A959="","",RETORNOS!A959)</f>
        <v>45806</v>
      </c>
      <c r="B959" s="7">
        <f>IF(RETORNOS!B959="","",OPTIMIZACION!$B$5*RETORNOS!B959+OPTIMIZACION!$B$6*RETORNOS!C959+OPTIMIZACION!$B$7*RETORNOS!D959+OPTIMIZACION!$B$8*RETORNOS!E959+OPTIMIZACION!$B$9*RETORNOS!F959+OPTIMIZACION!$B$10*RETORNOS!G959)</f>
        <v>-0.002010637689</v>
      </c>
      <c r="C959" s="7">
        <f>IF(RETORNOS!H959="","",RETORNOS!H959)</f>
        <v>0.007472339784</v>
      </c>
      <c r="D959" s="7">
        <f>IF(RETORNOS!I959="","",RETORNOS!I959)</f>
        <v>0.00695765545</v>
      </c>
      <c r="E959" s="7">
        <f t="shared" si="2"/>
        <v>0.007214997617</v>
      </c>
      <c r="F959" s="7">
        <f t="shared" si="3"/>
        <v>-0.009482977474</v>
      </c>
      <c r="G959" s="7">
        <f t="shared" si="4"/>
        <v>-0.009225635307</v>
      </c>
      <c r="H959" s="5">
        <f t="shared" ref="H959:K959" si="959">IF(B959="","",H958*(1+B959))</f>
        <v>291.9696898</v>
      </c>
      <c r="I959" s="5">
        <f t="shared" si="959"/>
        <v>194.4917206</v>
      </c>
      <c r="J959" s="5">
        <f t="shared" si="959"/>
        <v>135.062907</v>
      </c>
      <c r="K959" s="5">
        <f t="shared" si="959"/>
        <v>168.0634139</v>
      </c>
      <c r="L959" s="7">
        <f t="shared" si="6"/>
        <v>-0.03580678951</v>
      </c>
    </row>
    <row r="960" ht="15.75" customHeight="1">
      <c r="A960" s="4">
        <f>IF(RETORNOS!A960="","",RETORNOS!A960)</f>
        <v>45807</v>
      </c>
      <c r="B960" s="7">
        <f>IF(RETORNOS!B960="","",OPTIMIZACION!$B$5*RETORNOS!B960+OPTIMIZACION!$B$6*RETORNOS!C960+OPTIMIZACION!$B$7*RETORNOS!D960+OPTIMIZACION!$B$8*RETORNOS!E960+OPTIMIZACION!$B$9*RETORNOS!F960+OPTIMIZACION!$B$10*RETORNOS!G960)</f>
        <v>0.00004776279401</v>
      </c>
      <c r="C960" s="7">
        <f>IF(RETORNOS!H960="","",RETORNOS!H960)</f>
        <v>-0.008872877764</v>
      </c>
      <c r="D960" s="7">
        <f>IF(RETORNOS!I960="","",RETORNOS!I960)</f>
        <v>0.01023212464</v>
      </c>
      <c r="E960" s="7">
        <f t="shared" si="2"/>
        <v>0.0006796234376</v>
      </c>
      <c r="F960" s="7">
        <f t="shared" si="3"/>
        <v>0.008920640558</v>
      </c>
      <c r="G960" s="7">
        <f t="shared" si="4"/>
        <v>-0.0006318606436</v>
      </c>
      <c r="H960" s="5">
        <f t="shared" ref="H960:K960" si="960">IF(B960="","",H959*(1+B960))</f>
        <v>291.9836351</v>
      </c>
      <c r="I960" s="5">
        <f t="shared" si="960"/>
        <v>192.7660193</v>
      </c>
      <c r="J960" s="5">
        <f t="shared" si="960"/>
        <v>136.4448875</v>
      </c>
      <c r="K960" s="5">
        <f t="shared" si="960"/>
        <v>168.1776337</v>
      </c>
      <c r="L960" s="7">
        <f t="shared" si="6"/>
        <v>-0.03576073695</v>
      </c>
    </row>
    <row r="961" ht="15.75" customHeight="1">
      <c r="A961" s="4">
        <f>IF(RETORNOS!A961="","",RETORNOS!A961)</f>
        <v>45810</v>
      </c>
      <c r="B961" s="7">
        <f>IF(RETORNOS!B961="","",OPTIMIZACION!$B$5*RETORNOS!B961+OPTIMIZACION!$B$6*RETORNOS!C961+OPTIMIZACION!$B$7*RETORNOS!D961+OPTIMIZACION!$B$8*RETORNOS!E961+OPTIMIZACION!$B$9*RETORNOS!F961+OPTIMIZACION!$B$10*RETORNOS!G961)</f>
        <v>0.005908755935</v>
      </c>
      <c r="C961" s="7">
        <f>IF(RETORNOS!H961="","",RETORNOS!H961)</f>
        <v>0.01312032922</v>
      </c>
      <c r="D961" s="7">
        <f>IF(RETORNOS!I961="","",RETORNOS!I961)</f>
        <v>0.003176685027</v>
      </c>
      <c r="E961" s="7">
        <f t="shared" si="2"/>
        <v>0.008148507121</v>
      </c>
      <c r="F961" s="7">
        <f t="shared" si="3"/>
        <v>-0.00721157328</v>
      </c>
      <c r="G961" s="7">
        <f t="shared" si="4"/>
        <v>-0.002239751186</v>
      </c>
      <c r="H961" s="5">
        <f t="shared" ref="H961:K961" si="961">IF(B961="","",H960*(1+B961))</f>
        <v>293.7088951</v>
      </c>
      <c r="I961" s="5">
        <f t="shared" si="961"/>
        <v>195.295173</v>
      </c>
      <c r="J961" s="5">
        <f t="shared" si="961"/>
        <v>136.8783299</v>
      </c>
      <c r="K961" s="5">
        <f t="shared" si="961"/>
        <v>169.5480304</v>
      </c>
      <c r="L961" s="7">
        <f t="shared" si="6"/>
        <v>-0.03006328248</v>
      </c>
    </row>
    <row r="962" ht="15.75" customHeight="1">
      <c r="A962" s="4">
        <f>IF(RETORNOS!A962="","",RETORNOS!A962)</f>
        <v>45811</v>
      </c>
      <c r="B962" s="7">
        <f>IF(RETORNOS!B962="","",OPTIMIZACION!$B$5*RETORNOS!B962+OPTIMIZACION!$B$6*RETORNOS!C962+OPTIMIZACION!$B$7*RETORNOS!D962+OPTIMIZACION!$B$8*RETORNOS!E962+OPTIMIZACION!$B$9*RETORNOS!F962+OPTIMIZACION!$B$10*RETORNOS!G962)</f>
        <v>0.009628806539</v>
      </c>
      <c r="C962" s="7">
        <f>IF(RETORNOS!H962="","",RETORNOS!H962)</f>
        <v>0.01186542095</v>
      </c>
      <c r="D962" s="7">
        <f>IF(RETORNOS!I962="","",RETORNOS!I962)</f>
        <v>0.0026769669</v>
      </c>
      <c r="E962" s="7">
        <f t="shared" si="2"/>
        <v>0.007271193925</v>
      </c>
      <c r="F962" s="7">
        <f t="shared" si="3"/>
        <v>-0.002236614412</v>
      </c>
      <c r="G962" s="7">
        <f t="shared" si="4"/>
        <v>0.002357612614</v>
      </c>
      <c r="H962" s="5">
        <f t="shared" ref="H962:K962" si="962">IF(B962="","",H961*(1+B962))</f>
        <v>296.5369612</v>
      </c>
      <c r="I962" s="5">
        <f t="shared" si="962"/>
        <v>197.6124324</v>
      </c>
      <c r="J962" s="5">
        <f t="shared" si="962"/>
        <v>137.2447487</v>
      </c>
      <c r="K962" s="5">
        <f t="shared" si="962"/>
        <v>170.780847</v>
      </c>
      <c r="L962" s="7">
        <f t="shared" si="6"/>
        <v>-0.02072394947</v>
      </c>
    </row>
    <row r="963" ht="15.75" customHeight="1">
      <c r="A963" s="4">
        <f>IF(RETORNOS!A963="","",RETORNOS!A963)</f>
        <v>45812</v>
      </c>
      <c r="B963" s="7">
        <f>IF(RETORNOS!B963="","",OPTIMIZACION!$B$5*RETORNOS!B963+OPTIMIZACION!$B$6*RETORNOS!C963+OPTIMIZACION!$B$7*RETORNOS!D963+OPTIMIZACION!$B$8*RETORNOS!E963+OPTIMIZACION!$B$9*RETORNOS!F963+OPTIMIZACION!$B$10*RETORNOS!G963)</f>
        <v>-0.01682198923</v>
      </c>
      <c r="C963" s="7">
        <f>IF(RETORNOS!H963="","",RETORNOS!H963)</f>
        <v>-0.01950209302</v>
      </c>
      <c r="D963" s="7">
        <f>IF(RETORNOS!I963="","",RETORNOS!I963)</f>
        <v>-0.01747405788</v>
      </c>
      <c r="E963" s="7">
        <f t="shared" si="2"/>
        <v>-0.01848807545</v>
      </c>
      <c r="F963" s="7">
        <f t="shared" si="3"/>
        <v>0.002680103781</v>
      </c>
      <c r="G963" s="7">
        <f t="shared" si="4"/>
        <v>0.001666086212</v>
      </c>
      <c r="H963" s="5">
        <f t="shared" ref="H963:K963" si="963">IF(B963="","",H962*(1+B963))</f>
        <v>291.5486197</v>
      </c>
      <c r="I963" s="5">
        <f t="shared" si="963"/>
        <v>193.7585764</v>
      </c>
      <c r="J963" s="5">
        <f t="shared" si="963"/>
        <v>134.846526</v>
      </c>
      <c r="K963" s="5">
        <f t="shared" si="963"/>
        <v>167.6234378</v>
      </c>
      <c r="L963" s="7">
        <f t="shared" si="6"/>
        <v>-0.03719732065</v>
      </c>
    </row>
    <row r="964" ht="15.75" customHeight="1">
      <c r="A964" s="4">
        <f>IF(RETORNOS!A964="","",RETORNOS!A964)</f>
        <v>45813</v>
      </c>
      <c r="B964" s="7">
        <f>IF(RETORNOS!B964="","",OPTIMIZACION!$B$5*RETORNOS!B964+OPTIMIZACION!$B$6*RETORNOS!C964+OPTIMIZACION!$B$7*RETORNOS!D964+OPTIMIZACION!$B$8*RETORNOS!E964+OPTIMIZACION!$B$9*RETORNOS!F964+OPTIMIZACION!$B$10*RETORNOS!G964)</f>
        <v>0.0001359779341</v>
      </c>
      <c r="C964" s="7">
        <f>IF(RETORNOS!H964="","",RETORNOS!H964)</f>
        <v>-0.0009759808608</v>
      </c>
      <c r="D964" s="7">
        <f>IF(RETORNOS!I964="","",RETORNOS!I964)</f>
        <v>-0.001609692468</v>
      </c>
      <c r="E964" s="7">
        <f t="shared" si="2"/>
        <v>-0.001292836664</v>
      </c>
      <c r="F964" s="7">
        <f t="shared" si="3"/>
        <v>0.001111958795</v>
      </c>
      <c r="G964" s="7">
        <f t="shared" si="4"/>
        <v>0.001428814599</v>
      </c>
      <c r="H964" s="5">
        <f t="shared" ref="H964:K964" si="964">IF(B964="","",H963*(1+B964))</f>
        <v>291.5882639</v>
      </c>
      <c r="I964" s="5">
        <f t="shared" si="964"/>
        <v>193.5694717</v>
      </c>
      <c r="J964" s="5">
        <f t="shared" si="964"/>
        <v>134.6294646</v>
      </c>
      <c r="K964" s="5">
        <f t="shared" si="964"/>
        <v>167.4067281</v>
      </c>
      <c r="L964" s="7">
        <f t="shared" si="6"/>
        <v>-0.03706640073</v>
      </c>
    </row>
    <row r="965" ht="15.75" customHeight="1">
      <c r="A965" s="4">
        <f>IF(RETORNOS!A965="","",RETORNOS!A965)</f>
        <v>45814</v>
      </c>
      <c r="B965" s="7">
        <f>IF(RETORNOS!B965="","",OPTIMIZACION!$B$5*RETORNOS!B965+OPTIMIZACION!$B$6*RETORNOS!C965+OPTIMIZACION!$B$7*RETORNOS!D965+OPTIMIZACION!$B$8*RETORNOS!E965+OPTIMIZACION!$B$9*RETORNOS!F965+OPTIMIZACION!$B$10*RETORNOS!G965)</f>
        <v>0.009933763529</v>
      </c>
      <c r="C965" s="7">
        <f>IF(RETORNOS!H965="","",RETORNOS!H965)</f>
        <v>0.01880974329</v>
      </c>
      <c r="D965" s="7">
        <f>IF(RETORNOS!I965="","",RETORNOS!I965)</f>
        <v>0.00445527165</v>
      </c>
      <c r="E965" s="7">
        <f t="shared" si="2"/>
        <v>0.01163250747</v>
      </c>
      <c r="F965" s="7">
        <f t="shared" si="3"/>
        <v>-0.008875979763</v>
      </c>
      <c r="G965" s="7">
        <f t="shared" si="4"/>
        <v>-0.001698743942</v>
      </c>
      <c r="H965" s="5">
        <f t="shared" ref="H965:K965" si="965">IF(B965="","",H964*(1+B965))</f>
        <v>294.4848327</v>
      </c>
      <c r="I965" s="5">
        <f t="shared" si="965"/>
        <v>197.2104638</v>
      </c>
      <c r="J965" s="5">
        <f t="shared" si="965"/>
        <v>135.2292754</v>
      </c>
      <c r="K965" s="5">
        <f t="shared" si="965"/>
        <v>169.3540881</v>
      </c>
      <c r="L965" s="7">
        <f t="shared" si="6"/>
        <v>-0.02750084607</v>
      </c>
    </row>
    <row r="966" ht="15.75" customHeight="1">
      <c r="A966" s="4">
        <f>IF(RETORNOS!A966="","",RETORNOS!A966)</f>
        <v>45817</v>
      </c>
      <c r="B966" s="7">
        <f>IF(RETORNOS!B966="","",OPTIMIZACION!$B$5*RETORNOS!B966+OPTIMIZACION!$B$6*RETORNOS!C966+OPTIMIZACION!$B$7*RETORNOS!D966+OPTIMIZACION!$B$8*RETORNOS!E966+OPTIMIZACION!$B$9*RETORNOS!F966+OPTIMIZACION!$B$10*RETORNOS!G966)</f>
        <v>-0.006397685248</v>
      </c>
      <c r="C966" s="7">
        <f>IF(RETORNOS!H966="","",RETORNOS!H966)</f>
        <v>0.00191779542</v>
      </c>
      <c r="D966" s="7">
        <f>IF(RETORNOS!I966="","",RETORNOS!I966)</f>
        <v>-0.006402934532</v>
      </c>
      <c r="E966" s="7">
        <f t="shared" si="2"/>
        <v>-0.002242569556</v>
      </c>
      <c r="F966" s="7">
        <f t="shared" si="3"/>
        <v>-0.008315480669</v>
      </c>
      <c r="G966" s="7">
        <f t="shared" si="4"/>
        <v>-0.004155115693</v>
      </c>
      <c r="H966" s="5">
        <f t="shared" ref="H966:K966" si="966">IF(B966="","",H965*(1+B966))</f>
        <v>292.6008114</v>
      </c>
      <c r="I966" s="5">
        <f t="shared" si="966"/>
        <v>197.5886731</v>
      </c>
      <c r="J966" s="5">
        <f t="shared" si="966"/>
        <v>134.3634112</v>
      </c>
      <c r="K966" s="5">
        <f t="shared" si="966"/>
        <v>168.9742998</v>
      </c>
      <c r="L966" s="7">
        <f t="shared" si="6"/>
        <v>-0.03372258956</v>
      </c>
    </row>
    <row r="967" ht="15.75" customHeight="1">
      <c r="A967" s="4">
        <f>IF(RETORNOS!A967="","",RETORNOS!A967)</f>
        <v>45818</v>
      </c>
      <c r="B967" s="7">
        <f>IF(RETORNOS!B967="","",OPTIMIZACION!$B$5*RETORNOS!B967+OPTIMIZACION!$B$6*RETORNOS!C967+OPTIMIZACION!$B$7*RETORNOS!D967+OPTIMIZACION!$B$8*RETORNOS!E967+OPTIMIZACION!$B$9*RETORNOS!F967+OPTIMIZACION!$B$10*RETORNOS!G967)</f>
        <v>0.009656771207</v>
      </c>
      <c r="C967" s="7">
        <f>IF(RETORNOS!H967="","",RETORNOS!H967)</f>
        <v>0.01782835211</v>
      </c>
      <c r="D967" s="7">
        <f>IF(RETORNOS!I967="","",RETORNOS!I967)</f>
        <v>0.002352321557</v>
      </c>
      <c r="E967" s="7">
        <f t="shared" si="2"/>
        <v>0.01009033683</v>
      </c>
      <c r="F967" s="7">
        <f t="shared" si="3"/>
        <v>-0.008171580903</v>
      </c>
      <c r="G967" s="7">
        <f t="shared" si="4"/>
        <v>-0.0004335656264</v>
      </c>
      <c r="H967" s="5">
        <f t="shared" ref="H967:K967" si="967">IF(B967="","",H966*(1+B967))</f>
        <v>295.4263905</v>
      </c>
      <c r="I967" s="5">
        <f t="shared" si="967"/>
        <v>201.1113536</v>
      </c>
      <c r="J967" s="5">
        <f t="shared" si="967"/>
        <v>134.6794771</v>
      </c>
      <c r="K967" s="5">
        <f t="shared" si="967"/>
        <v>170.6793074</v>
      </c>
      <c r="L967" s="7">
        <f t="shared" si="6"/>
        <v>-0.02439146968</v>
      </c>
    </row>
    <row r="968" ht="15.75" customHeight="1">
      <c r="A968" s="4">
        <f>IF(RETORNOS!A968="","",RETORNOS!A968)</f>
        <v>45819</v>
      </c>
      <c r="B968" s="7">
        <f>IF(RETORNOS!B968="","",OPTIMIZACION!$B$5*RETORNOS!B968+OPTIMIZACION!$B$6*RETORNOS!C968+OPTIMIZACION!$B$7*RETORNOS!D968+OPTIMIZACION!$B$8*RETORNOS!E968+OPTIMIZACION!$B$9*RETORNOS!F968+OPTIMIZACION!$B$10*RETORNOS!G968)</f>
        <v>0.00786695588</v>
      </c>
      <c r="C968" s="7">
        <f>IF(RETORNOS!H968="","",RETORNOS!H968)</f>
        <v>0.01446371654</v>
      </c>
      <c r="D968" s="7">
        <f>IF(RETORNOS!I968="","",RETORNOS!I968)</f>
        <v>0.0006189088006</v>
      </c>
      <c r="E968" s="7">
        <f t="shared" si="2"/>
        <v>0.007541312671</v>
      </c>
      <c r="F968" s="7">
        <f t="shared" si="3"/>
        <v>-0.006596760661</v>
      </c>
      <c r="G968" s="7">
        <f t="shared" si="4"/>
        <v>0.0003256432089</v>
      </c>
      <c r="H968" s="5">
        <f t="shared" ref="H968:K968" si="968">IF(B968="","",H967*(1+B968))</f>
        <v>297.7504969</v>
      </c>
      <c r="I968" s="5">
        <f t="shared" si="968"/>
        <v>204.0201712</v>
      </c>
      <c r="J968" s="5">
        <f t="shared" si="968"/>
        <v>134.7628315</v>
      </c>
      <c r="K968" s="5">
        <f t="shared" si="968"/>
        <v>171.9664534</v>
      </c>
      <c r="L968" s="7">
        <f t="shared" si="6"/>
        <v>-0.01671640042</v>
      </c>
    </row>
    <row r="969" ht="15.75" customHeight="1">
      <c r="A969" s="4">
        <f>IF(RETORNOS!A969="","",RETORNOS!A969)</f>
        <v>45820</v>
      </c>
      <c r="B969" s="7">
        <f>IF(RETORNOS!B969="","",OPTIMIZACION!$B$5*RETORNOS!B969+OPTIMIZACION!$B$6*RETORNOS!C969+OPTIMIZACION!$B$7*RETORNOS!D969+OPTIMIZACION!$B$8*RETORNOS!E969+OPTIMIZACION!$B$9*RETORNOS!F969+OPTIMIZACION!$B$10*RETORNOS!G969)</f>
        <v>0.01191707004</v>
      </c>
      <c r="C969" s="7">
        <f>IF(RETORNOS!H969="","",RETORNOS!H969)</f>
        <v>0.003474656634</v>
      </c>
      <c r="D969" s="7">
        <f>IF(RETORNOS!I969="","",RETORNOS!I969)</f>
        <v>0.01211301101</v>
      </c>
      <c r="E969" s="7">
        <f t="shared" si="2"/>
        <v>0.007793833822</v>
      </c>
      <c r="F969" s="7">
        <f t="shared" si="3"/>
        <v>0.008442413406</v>
      </c>
      <c r="G969" s="7">
        <f t="shared" si="4"/>
        <v>0.004123236218</v>
      </c>
      <c r="H969" s="5">
        <f t="shared" ref="H969:K969" si="969">IF(B969="","",H968*(1+B969))</f>
        <v>301.2988104</v>
      </c>
      <c r="I969" s="5">
        <f t="shared" si="969"/>
        <v>204.7290712</v>
      </c>
      <c r="J969" s="5">
        <f t="shared" si="969"/>
        <v>136.3952151</v>
      </c>
      <c r="K969" s="5">
        <f t="shared" si="969"/>
        <v>173.3067313</v>
      </c>
      <c r="L969" s="7">
        <f t="shared" si="6"/>
        <v>-0.004998540892</v>
      </c>
    </row>
    <row r="970" ht="15.75" customHeight="1">
      <c r="A970" s="4">
        <f>IF(RETORNOS!A970="","",RETORNOS!A970)</f>
        <v>45821</v>
      </c>
      <c r="B970" s="7">
        <f>IF(RETORNOS!B970="","",OPTIMIZACION!$B$5*RETORNOS!B970+OPTIMIZACION!$B$6*RETORNOS!C970+OPTIMIZACION!$B$7*RETORNOS!D970+OPTIMIZACION!$B$8*RETORNOS!E970+OPTIMIZACION!$B$9*RETORNOS!F970+OPTIMIZACION!$B$10*RETORNOS!G970)</f>
        <v>0.002548605455</v>
      </c>
      <c r="C970" s="7">
        <f>IF(RETORNOS!H970="","",RETORNOS!H970)</f>
        <v>0.01743865209</v>
      </c>
      <c r="D970" s="7">
        <f>IF(RETORNOS!I970="","",RETORNOS!I970)</f>
        <v>-0.005739571615</v>
      </c>
      <c r="E970" s="7">
        <f t="shared" si="2"/>
        <v>0.005849540236</v>
      </c>
      <c r="F970" s="7">
        <f t="shared" si="3"/>
        <v>-0.01489004663</v>
      </c>
      <c r="G970" s="7">
        <f t="shared" si="4"/>
        <v>-0.00330093478</v>
      </c>
      <c r="H970" s="5">
        <f t="shared" ref="H970:K970" si="970">IF(B970="","",H969*(1+B970))</f>
        <v>302.0667022</v>
      </c>
      <c r="I970" s="5">
        <f t="shared" si="970"/>
        <v>208.2992702</v>
      </c>
      <c r="J970" s="5">
        <f t="shared" si="970"/>
        <v>135.612365</v>
      </c>
      <c r="K970" s="5">
        <f t="shared" si="970"/>
        <v>174.320496</v>
      </c>
      <c r="L970" s="7">
        <f t="shared" si="6"/>
        <v>-0.002462674745</v>
      </c>
    </row>
    <row r="971" ht="15.75" customHeight="1">
      <c r="A971" s="4">
        <f>IF(RETORNOS!A971="","",RETORNOS!A971)</f>
        <v>45824</v>
      </c>
      <c r="B971" s="7">
        <f>IF(RETORNOS!B971="","",OPTIMIZACION!$B$5*RETORNOS!B971+OPTIMIZACION!$B$6*RETORNOS!C971+OPTIMIZACION!$B$7*RETORNOS!D971+OPTIMIZACION!$B$8*RETORNOS!E971+OPTIMIZACION!$B$9*RETORNOS!F971+OPTIMIZACION!$B$10*RETORNOS!G971)</f>
        <v>-0.001019254518</v>
      </c>
      <c r="C971" s="7">
        <f>IF(RETORNOS!H971="","",RETORNOS!H971)</f>
        <v>-0.002949351236</v>
      </c>
      <c r="D971" s="7">
        <f>IF(RETORNOS!I971="","",RETORNOS!I971)</f>
        <v>-0.004912192674</v>
      </c>
      <c r="E971" s="7">
        <f t="shared" si="2"/>
        <v>-0.003930771955</v>
      </c>
      <c r="F971" s="7">
        <f t="shared" si="3"/>
        <v>0.001930096718</v>
      </c>
      <c r="G971" s="7">
        <f t="shared" si="4"/>
        <v>0.002911517437</v>
      </c>
      <c r="H971" s="5">
        <f t="shared" ref="H971:K971" si="971">IF(B971="","",H970*(1+B971))</f>
        <v>301.7588194</v>
      </c>
      <c r="I971" s="5">
        <f t="shared" si="971"/>
        <v>207.6849225</v>
      </c>
      <c r="J971" s="5">
        <f t="shared" si="971"/>
        <v>134.946211</v>
      </c>
      <c r="K971" s="5">
        <f t="shared" si="971"/>
        <v>173.6352819</v>
      </c>
      <c r="L971" s="7">
        <f t="shared" si="6"/>
        <v>-0.003479419171</v>
      </c>
    </row>
    <row r="972" ht="15.75" customHeight="1">
      <c r="A972" s="4">
        <f>IF(RETORNOS!A972="","",RETORNOS!A972)</f>
        <v>45825</v>
      </c>
      <c r="B972" s="7">
        <f>IF(RETORNOS!B972="","",OPTIMIZACION!$B$5*RETORNOS!B972+OPTIMIZACION!$B$6*RETORNOS!C972+OPTIMIZACION!$B$7*RETORNOS!D972+OPTIMIZACION!$B$8*RETORNOS!E972+OPTIMIZACION!$B$9*RETORNOS!F972+OPTIMIZACION!$B$10*RETORNOS!G972)</f>
        <v>-0.002330493347</v>
      </c>
      <c r="C972" s="7">
        <f>IF(RETORNOS!H972="","",RETORNOS!H972)</f>
        <v>0.00933416449</v>
      </c>
      <c r="D972" s="7">
        <f>IF(RETORNOS!I972="","",RETORNOS!I972)</f>
        <v>-0.008269421796</v>
      </c>
      <c r="E972" s="7">
        <f t="shared" si="2"/>
        <v>0.0005323713468</v>
      </c>
      <c r="F972" s="7">
        <f t="shared" si="3"/>
        <v>-0.01166465784</v>
      </c>
      <c r="G972" s="7">
        <f t="shared" si="4"/>
        <v>-0.002862864694</v>
      </c>
      <c r="H972" s="5">
        <f t="shared" ref="H972:K972" si="972">IF(B972="","",H971*(1+B972))</f>
        <v>301.0555725</v>
      </c>
      <c r="I972" s="5">
        <f t="shared" si="972"/>
        <v>209.6234878</v>
      </c>
      <c r="J972" s="5">
        <f t="shared" si="972"/>
        <v>133.8302838</v>
      </c>
      <c r="K972" s="5">
        <f t="shared" si="972"/>
        <v>173.7277204</v>
      </c>
      <c r="L972" s="7">
        <f t="shared" si="6"/>
        <v>-0.005801803754</v>
      </c>
    </row>
    <row r="973" ht="15.75" customHeight="1">
      <c r="A973" s="4">
        <f>IF(RETORNOS!A973="","",RETORNOS!A973)</f>
        <v>45826</v>
      </c>
      <c r="B973" s="7">
        <f>IF(RETORNOS!B973="","",OPTIMIZACION!$B$5*RETORNOS!B973+OPTIMIZACION!$B$6*RETORNOS!C973+OPTIMIZACION!$B$7*RETORNOS!D973+OPTIMIZACION!$B$8*RETORNOS!E973+OPTIMIZACION!$B$9*RETORNOS!F973+OPTIMIZACION!$B$10*RETORNOS!G973)</f>
        <v>0.003731424262</v>
      </c>
      <c r="C973" s="7">
        <f>IF(RETORNOS!H973="","",RETORNOS!H973)</f>
        <v>-0.006541496171</v>
      </c>
      <c r="D973" s="7">
        <f>IF(RETORNOS!I973="","",RETORNOS!I973)</f>
        <v>0.002610826669</v>
      </c>
      <c r="E973" s="7">
        <f t="shared" si="2"/>
        <v>-0.001965334751</v>
      </c>
      <c r="F973" s="7">
        <f t="shared" si="3"/>
        <v>0.01027292043</v>
      </c>
      <c r="G973" s="7">
        <f t="shared" si="4"/>
        <v>0.005696759013</v>
      </c>
      <c r="H973" s="5">
        <f t="shared" ref="H973:K973" si="973">IF(B973="","",H972*(1+B973))</f>
        <v>302.1789385</v>
      </c>
      <c r="I973" s="5">
        <f t="shared" si="973"/>
        <v>208.2522365</v>
      </c>
      <c r="J973" s="5">
        <f t="shared" si="973"/>
        <v>134.1796915</v>
      </c>
      <c r="K973" s="5">
        <f t="shared" si="973"/>
        <v>173.3862872</v>
      </c>
      <c r="L973" s="7">
        <f t="shared" si="6"/>
        <v>-0.002092028484</v>
      </c>
    </row>
    <row r="974" ht="15.75" customHeight="1">
      <c r="A974" s="4">
        <f>IF(RETORNOS!A974="","",RETORNOS!A974)</f>
        <v>45828</v>
      </c>
      <c r="B974" s="7">
        <f>IF(RETORNOS!B974="","",OPTIMIZACION!$B$5*RETORNOS!B974+OPTIMIZACION!$B$6*RETORNOS!C974+OPTIMIZACION!$B$7*RETORNOS!D974+OPTIMIZACION!$B$8*RETORNOS!E974+OPTIMIZACION!$B$9*RETORNOS!F974+OPTIMIZACION!$B$10*RETORNOS!G974)</f>
        <v>0.009266701511</v>
      </c>
      <c r="C974" s="7">
        <f>IF(RETORNOS!H974="","",RETORNOS!H974)</f>
        <v>0.01021679251</v>
      </c>
      <c r="D974" s="7">
        <f>IF(RETORNOS!I974="","",RETORNOS!I974)</f>
        <v>0.002733341954</v>
      </c>
      <c r="E974" s="7">
        <f t="shared" si="2"/>
        <v>0.006475067234</v>
      </c>
      <c r="F974" s="7">
        <f t="shared" si="3"/>
        <v>-0.0009500910029</v>
      </c>
      <c r="G974" s="7">
        <f t="shared" si="4"/>
        <v>0.002791634277</v>
      </c>
      <c r="H974" s="5">
        <f t="shared" ref="H974:K974" si="974">IF(B974="","",H973*(1+B974))</f>
        <v>304.9791406</v>
      </c>
      <c r="I974" s="5">
        <f t="shared" si="974"/>
        <v>210.3799064</v>
      </c>
      <c r="J974" s="5">
        <f t="shared" si="974"/>
        <v>134.5464505</v>
      </c>
      <c r="K974" s="5">
        <f t="shared" si="974"/>
        <v>174.5089751</v>
      </c>
      <c r="L974" s="7">
        <f t="shared" si="6"/>
        <v>0</v>
      </c>
    </row>
    <row r="975" ht="15.75" customHeight="1">
      <c r="A975" s="4">
        <f>IF(RETORNOS!A975="","",RETORNOS!A975)</f>
        <v>45831</v>
      </c>
      <c r="B975" s="7">
        <f>IF(RETORNOS!B975="","",OPTIMIZACION!$B$5*RETORNOS!B975+OPTIMIZACION!$B$6*RETORNOS!C975+OPTIMIZACION!$B$7*RETORNOS!D975+OPTIMIZACION!$B$8*RETORNOS!E975+OPTIMIZACION!$B$9*RETORNOS!F975+OPTIMIZACION!$B$10*RETORNOS!G975)</f>
        <v>-0.003912973546</v>
      </c>
      <c r="C975" s="7">
        <f>IF(RETORNOS!H975="","",RETORNOS!H975)</f>
        <v>-0.02528366334</v>
      </c>
      <c r="D975" s="7">
        <f>IF(RETORNOS!I975="","",RETORNOS!I975)</f>
        <v>0.01268373847</v>
      </c>
      <c r="E975" s="7">
        <f t="shared" si="2"/>
        <v>-0.006299962438</v>
      </c>
      <c r="F975" s="7">
        <f t="shared" si="3"/>
        <v>0.0213706898</v>
      </c>
      <c r="G975" s="7">
        <f t="shared" si="4"/>
        <v>0.002386988892</v>
      </c>
      <c r="H975" s="5">
        <f t="shared" ref="H975:K975" si="975">IF(B975="","",H974*(1+B975))</f>
        <v>303.7857652</v>
      </c>
      <c r="I975" s="5">
        <f t="shared" si="975"/>
        <v>205.0607317</v>
      </c>
      <c r="J975" s="5">
        <f t="shared" si="975"/>
        <v>136.2530025</v>
      </c>
      <c r="K975" s="5">
        <f t="shared" si="975"/>
        <v>173.4095751</v>
      </c>
      <c r="L975" s="7">
        <f t="shared" si="6"/>
        <v>-0.003912973546</v>
      </c>
    </row>
    <row r="976" ht="15.75" customHeight="1">
      <c r="A976" s="4">
        <f>IF(RETORNOS!A976="","",RETORNOS!A976)</f>
        <v>45832</v>
      </c>
      <c r="B976" s="7">
        <f>IF(RETORNOS!B976="","",OPTIMIZACION!$B$5*RETORNOS!B976+OPTIMIZACION!$B$6*RETORNOS!C976+OPTIMIZACION!$B$7*RETORNOS!D976+OPTIMIZACION!$B$8*RETORNOS!E976+OPTIMIZACION!$B$9*RETORNOS!F976+OPTIMIZACION!$B$10*RETORNOS!G976)</f>
        <v>-0.0003337898682</v>
      </c>
      <c r="C976" s="7">
        <f>IF(RETORNOS!H976="","",RETORNOS!H976)</f>
        <v>-0.01301941089</v>
      </c>
      <c r="D976" s="7">
        <f>IF(RETORNOS!I976="","",RETORNOS!I976)</f>
        <v>0.004307298937</v>
      </c>
      <c r="E976" s="7">
        <f t="shared" si="2"/>
        <v>-0.004356055975</v>
      </c>
      <c r="F976" s="7">
        <f t="shared" si="3"/>
        <v>0.01268562102</v>
      </c>
      <c r="G976" s="7">
        <f t="shared" si="4"/>
        <v>0.004022266107</v>
      </c>
      <c r="H976" s="5">
        <f t="shared" ref="H976:K976" si="976">IF(B976="","",H975*(1+B976))</f>
        <v>303.6843646</v>
      </c>
      <c r="I976" s="5">
        <f t="shared" si="976"/>
        <v>202.3909618</v>
      </c>
      <c r="J976" s="5">
        <f t="shared" si="976"/>
        <v>136.8398849</v>
      </c>
      <c r="K976" s="5">
        <f t="shared" si="976"/>
        <v>172.6541933</v>
      </c>
      <c r="L976" s="7">
        <f t="shared" si="6"/>
        <v>-0.004245457303</v>
      </c>
    </row>
    <row r="977" ht="15.75" customHeight="1">
      <c r="A977" s="4">
        <f>IF(RETORNOS!A977="","",RETORNOS!A977)</f>
        <v>45833</v>
      </c>
      <c r="B977" s="7">
        <f>IF(RETORNOS!B977="","",OPTIMIZACION!$B$5*RETORNOS!B977+OPTIMIZACION!$B$6*RETORNOS!C977+OPTIMIZACION!$B$7*RETORNOS!D977+OPTIMIZACION!$B$8*RETORNOS!E977+OPTIMIZACION!$B$9*RETORNOS!F977+OPTIMIZACION!$B$10*RETORNOS!G977)</f>
        <v>-0.006625616751</v>
      </c>
      <c r="C977" s="7">
        <f>IF(RETORNOS!H977="","",RETORNOS!H977)</f>
        <v>-0.00436031538</v>
      </c>
      <c r="D977" s="7">
        <f>IF(RETORNOS!I977="","",RETORNOS!I977)</f>
        <v>-0.01335875965</v>
      </c>
      <c r="E977" s="7">
        <f t="shared" si="2"/>
        <v>-0.008859537513</v>
      </c>
      <c r="F977" s="7">
        <f t="shared" si="3"/>
        <v>-0.002265301371</v>
      </c>
      <c r="G977" s="7">
        <f t="shared" si="4"/>
        <v>0.002233920763</v>
      </c>
      <c r="H977" s="5">
        <f t="shared" ref="H977:K977" si="977">IF(B977="","",H976*(1+B977))</f>
        <v>301.6722684</v>
      </c>
      <c r="I977" s="5">
        <f t="shared" si="977"/>
        <v>201.5084733</v>
      </c>
      <c r="J977" s="5">
        <f t="shared" si="977"/>
        <v>135.0118737</v>
      </c>
      <c r="K977" s="5">
        <f t="shared" si="977"/>
        <v>171.124557</v>
      </c>
      <c r="L977" s="7">
        <f t="shared" si="6"/>
        <v>-0.01084294528</v>
      </c>
    </row>
    <row r="978" ht="15.75" customHeight="1">
      <c r="A978" s="4">
        <f>IF(RETORNOS!A978="","",RETORNOS!A978)</f>
        <v>45834</v>
      </c>
      <c r="B978" s="7">
        <f>IF(RETORNOS!B978="","",OPTIMIZACION!$B$5*RETORNOS!B978+OPTIMIZACION!$B$6*RETORNOS!C978+OPTIMIZACION!$B$7*RETORNOS!D978+OPTIMIZACION!$B$8*RETORNOS!E978+OPTIMIZACION!$B$9*RETORNOS!F978+OPTIMIZACION!$B$10*RETORNOS!G978)</f>
        <v>0.01563194214</v>
      </c>
      <c r="C978" s="7">
        <f>IF(RETORNOS!H978="","",RETORNOS!H978)</f>
        <v>0.01431730517</v>
      </c>
      <c r="D978" s="7">
        <f>IF(RETORNOS!I978="","",RETORNOS!I978)</f>
        <v>0.008320838636</v>
      </c>
      <c r="E978" s="7">
        <f t="shared" si="2"/>
        <v>0.0113190719</v>
      </c>
      <c r="F978" s="7">
        <f t="shared" si="3"/>
        <v>0.001314636974</v>
      </c>
      <c r="G978" s="7">
        <f t="shared" si="4"/>
        <v>0.004312870241</v>
      </c>
      <c r="H978" s="5">
        <f t="shared" ref="H978:K978" si="978">IF(B978="","",H977*(1+B978))</f>
        <v>306.3879919</v>
      </c>
      <c r="I978" s="5">
        <f t="shared" si="978"/>
        <v>204.3935317</v>
      </c>
      <c r="J978" s="5">
        <f t="shared" si="978"/>
        <v>136.1352858</v>
      </c>
      <c r="K978" s="5">
        <f t="shared" si="978"/>
        <v>173.0615282</v>
      </c>
      <c r="L978" s="7">
        <f t="shared" si="6"/>
        <v>0</v>
      </c>
    </row>
    <row r="979" ht="15.75" customHeight="1">
      <c r="A979" s="4">
        <f>IF(RETORNOS!A979="","",RETORNOS!A979)</f>
        <v>45835</v>
      </c>
      <c r="B979" s="7">
        <f>IF(RETORNOS!B979="","",OPTIMIZACION!$B$5*RETORNOS!B979+OPTIMIZACION!$B$6*RETORNOS!C979+OPTIMIZACION!$B$7*RETORNOS!D979+OPTIMIZACION!$B$8*RETORNOS!E979+OPTIMIZACION!$B$9*RETORNOS!F979+OPTIMIZACION!$B$10*RETORNOS!G979)</f>
        <v>0.003248376248</v>
      </c>
      <c r="C979" s="7">
        <f>IF(RETORNOS!H979="","",RETORNOS!H979)</f>
        <v>-0.00525228275</v>
      </c>
      <c r="D979" s="7">
        <f>IF(RETORNOS!I979="","",RETORNOS!I979)</f>
        <v>0.00197182465</v>
      </c>
      <c r="E979" s="7">
        <f t="shared" si="2"/>
        <v>-0.00164022905</v>
      </c>
      <c r="F979" s="7">
        <f t="shared" si="3"/>
        <v>0.008500658998</v>
      </c>
      <c r="G979" s="7">
        <f t="shared" si="4"/>
        <v>0.004888605298</v>
      </c>
      <c r="H979" s="5">
        <f t="shared" ref="H979:K979" si="979">IF(B979="","",H978*(1+B979))</f>
        <v>307.3832553</v>
      </c>
      <c r="I979" s="5">
        <f t="shared" si="979"/>
        <v>203.319999</v>
      </c>
      <c r="J979" s="5">
        <f t="shared" si="979"/>
        <v>136.4037207</v>
      </c>
      <c r="K979" s="5">
        <f t="shared" si="979"/>
        <v>172.7776676</v>
      </c>
      <c r="L979" s="7">
        <f t="shared" si="6"/>
        <v>0</v>
      </c>
    </row>
    <row r="980" ht="15.75" customHeight="1">
      <c r="A980" s="4">
        <f>IF(RETORNOS!A980="","",RETORNOS!A980)</f>
        <v>45838</v>
      </c>
      <c r="B980" s="7">
        <f>IF(RETORNOS!B980="","",OPTIMIZACION!$B$5*RETORNOS!B980+OPTIMIZACION!$B$6*RETORNOS!C980+OPTIMIZACION!$B$7*RETORNOS!D980+OPTIMIZACION!$B$8*RETORNOS!E980+OPTIMIZACION!$B$9*RETORNOS!F980+OPTIMIZACION!$B$10*RETORNOS!G980)</f>
        <v>-0.005813464641</v>
      </c>
      <c r="C980" s="7">
        <f>IF(RETORNOS!H980="","",RETORNOS!H980)</f>
        <v>-0.005742672012</v>
      </c>
      <c r="D980" s="7">
        <f>IF(RETORNOS!I980="","",RETORNOS!I980)</f>
        <v>0.004058105486</v>
      </c>
      <c r="E980" s="7">
        <f t="shared" si="2"/>
        <v>-0.000842283263</v>
      </c>
      <c r="F980" s="7">
        <f t="shared" si="3"/>
        <v>-0.00007079262892</v>
      </c>
      <c r="G980" s="7">
        <f t="shared" si="4"/>
        <v>-0.004971181378</v>
      </c>
      <c r="H980" s="5">
        <f t="shared" ref="H980:K980" si="980">IF(B980="","",H979*(1+B980))</f>
        <v>305.5962937</v>
      </c>
      <c r="I980" s="5">
        <f t="shared" si="980"/>
        <v>202.152399</v>
      </c>
      <c r="J980" s="5">
        <f t="shared" si="980"/>
        <v>136.9572614</v>
      </c>
      <c r="K980" s="5">
        <f t="shared" si="980"/>
        <v>172.6321399</v>
      </c>
      <c r="L980" s="7">
        <f t="shared" si="6"/>
        <v>-0.005813464641</v>
      </c>
    </row>
    <row r="981" ht="15.75" customHeight="1">
      <c r="A981" s="4">
        <f>IF(RETORNOS!A981="","",RETORNOS!A981)</f>
        <v>45839</v>
      </c>
      <c r="B981" s="7">
        <f>IF(RETORNOS!B981="","",OPTIMIZACION!$B$5*RETORNOS!B981+OPTIMIZACION!$B$6*RETORNOS!C981+OPTIMIZACION!$B$7*RETORNOS!D981+OPTIMIZACION!$B$8*RETORNOS!E981+OPTIMIZACION!$B$9*RETORNOS!F981+OPTIMIZACION!$B$10*RETORNOS!G981)</f>
        <v>-0.01344467395</v>
      </c>
      <c r="C981" s="7">
        <f>IF(RETORNOS!H981="","",RETORNOS!H981)</f>
        <v>0.007665941488</v>
      </c>
      <c r="D981" s="7">
        <f>IF(RETORNOS!I981="","",RETORNOS!I981)</f>
        <v>0.003430604169</v>
      </c>
      <c r="E981" s="7">
        <f t="shared" si="2"/>
        <v>0.005548272829</v>
      </c>
      <c r="F981" s="7">
        <f t="shared" si="3"/>
        <v>-0.02111061544</v>
      </c>
      <c r="G981" s="7">
        <f t="shared" si="4"/>
        <v>-0.01899294678</v>
      </c>
      <c r="H981" s="5">
        <f t="shared" ref="H981:K981" si="981">IF(B981="","",H980*(1+B981))</f>
        <v>301.4876511</v>
      </c>
      <c r="I981" s="5">
        <f t="shared" si="981"/>
        <v>203.7020874</v>
      </c>
      <c r="J981" s="5">
        <f t="shared" si="981"/>
        <v>137.4271075</v>
      </c>
      <c r="K981" s="5">
        <f t="shared" si="981"/>
        <v>173.5899501</v>
      </c>
      <c r="L981" s="7">
        <f t="shared" si="6"/>
        <v>-0.01917997846</v>
      </c>
    </row>
    <row r="982" ht="15.75" customHeight="1">
      <c r="A982" s="4">
        <f>IF(RETORNOS!A982="","",RETORNOS!A982)</f>
        <v>45840</v>
      </c>
      <c r="B982" s="7">
        <f>IF(RETORNOS!B982="","",OPTIMIZACION!$B$5*RETORNOS!B982+OPTIMIZACION!$B$6*RETORNOS!C982+OPTIMIZACION!$B$7*RETORNOS!D982+OPTIMIZACION!$B$8*RETORNOS!E982+OPTIMIZACION!$B$9*RETORNOS!F982+OPTIMIZACION!$B$10*RETORNOS!G982)</f>
        <v>0.006258425155</v>
      </c>
      <c r="C982" s="7">
        <f>IF(RETORNOS!H982="","",RETORNOS!H982)</f>
        <v>0.01720046179</v>
      </c>
      <c r="D982" s="7">
        <f>IF(RETORNOS!I982="","",RETORNOS!I982)</f>
        <v>-0.008667257522</v>
      </c>
      <c r="E982" s="7">
        <f t="shared" si="2"/>
        <v>0.004266602134</v>
      </c>
      <c r="F982" s="7">
        <f t="shared" si="3"/>
        <v>-0.01094203663</v>
      </c>
      <c r="G982" s="7">
        <f t="shared" si="4"/>
        <v>0.001991823021</v>
      </c>
      <c r="H982" s="5">
        <f t="shared" ref="H982:K982" si="982">IF(B982="","",H981*(1+B982))</f>
        <v>303.374489</v>
      </c>
      <c r="I982" s="5">
        <f t="shared" si="982"/>
        <v>207.2058574</v>
      </c>
      <c r="J982" s="5">
        <f t="shared" si="982"/>
        <v>136.2359914</v>
      </c>
      <c r="K982" s="5">
        <f t="shared" si="982"/>
        <v>174.3305893</v>
      </c>
      <c r="L982" s="7">
        <f t="shared" si="6"/>
        <v>-0.01304158976</v>
      </c>
    </row>
    <row r="983" ht="15.75" customHeight="1">
      <c r="A983" s="4">
        <f>IF(RETORNOS!A983="","",RETORNOS!A983)</f>
        <v>45841</v>
      </c>
      <c r="B983" s="7">
        <f>IF(RETORNOS!B983="","",OPTIMIZACION!$B$5*RETORNOS!B983+OPTIMIZACION!$B$6*RETORNOS!C983+OPTIMIZACION!$B$7*RETORNOS!D983+OPTIMIZACION!$B$8*RETORNOS!E983+OPTIMIZACION!$B$9*RETORNOS!F983+OPTIMIZACION!$B$10*RETORNOS!G983)</f>
        <v>0.006529326519</v>
      </c>
      <c r="C983" s="7">
        <f>IF(RETORNOS!H983="","",RETORNOS!H983)</f>
        <v>0.001148992233</v>
      </c>
      <c r="D983" s="7">
        <f>IF(RETORNOS!I983="","",RETORNOS!I983)</f>
        <v>0.007509371106</v>
      </c>
      <c r="E983" s="7">
        <f t="shared" si="2"/>
        <v>0.004329181669</v>
      </c>
      <c r="F983" s="7">
        <f t="shared" si="3"/>
        <v>0.005380334286</v>
      </c>
      <c r="G983" s="7">
        <f t="shared" si="4"/>
        <v>0.002200144849</v>
      </c>
      <c r="H983" s="5">
        <f t="shared" ref="H983:K983" si="983">IF(B983="","",H982*(1+B983))</f>
        <v>305.3553201</v>
      </c>
      <c r="I983" s="5">
        <f t="shared" si="983"/>
        <v>207.4439353</v>
      </c>
      <c r="J983" s="5">
        <f t="shared" si="983"/>
        <v>137.259038</v>
      </c>
      <c r="K983" s="5">
        <f t="shared" si="983"/>
        <v>175.0852981</v>
      </c>
      <c r="L983" s="7">
        <f t="shared" si="6"/>
        <v>-0.006597416043</v>
      </c>
    </row>
    <row r="984" ht="15.75" customHeight="1">
      <c r="A984" s="4">
        <f>IF(RETORNOS!A984="","",RETORNOS!A984)</f>
        <v>45845</v>
      </c>
      <c r="B984" s="7">
        <f>IF(RETORNOS!B984="","",OPTIMIZACION!$B$5*RETORNOS!B984+OPTIMIZACION!$B$6*RETORNOS!C984+OPTIMIZACION!$B$7*RETORNOS!D984+OPTIMIZACION!$B$8*RETORNOS!E984+OPTIMIZACION!$B$9*RETORNOS!F984+OPTIMIZACION!$B$10*RETORNOS!G984)</f>
        <v>-0.007089026876</v>
      </c>
      <c r="C984" s="7">
        <f>IF(RETORNOS!H984="","",RETORNOS!H984)</f>
        <v>-0.009651210083</v>
      </c>
      <c r="D984" s="7">
        <f>IF(RETORNOS!I984="","",RETORNOS!I984)</f>
        <v>0.002077136625</v>
      </c>
      <c r="E984" s="7">
        <f t="shared" si="2"/>
        <v>-0.003787036729</v>
      </c>
      <c r="F984" s="7">
        <f t="shared" si="3"/>
        <v>0.002562183207</v>
      </c>
      <c r="G984" s="7">
        <f t="shared" si="4"/>
        <v>-0.003301990147</v>
      </c>
      <c r="H984" s="5">
        <f t="shared" ref="H984:K984" si="984">IF(B984="","",H983*(1+B984))</f>
        <v>303.1906481</v>
      </c>
      <c r="I984" s="5">
        <f t="shared" si="984"/>
        <v>205.4418503</v>
      </c>
      <c r="J984" s="5">
        <f t="shared" si="984"/>
        <v>137.5441438</v>
      </c>
      <c r="K984" s="5">
        <f t="shared" si="984"/>
        <v>174.4222437</v>
      </c>
      <c r="L984" s="7">
        <f t="shared" si="6"/>
        <v>-0.01363967366</v>
      </c>
    </row>
    <row r="985" ht="15.75" customHeight="1">
      <c r="A985" s="4">
        <f>IF(RETORNOS!A985="","",RETORNOS!A985)</f>
        <v>45846</v>
      </c>
      <c r="B985" s="7">
        <f>IF(RETORNOS!B985="","",OPTIMIZACION!$B$5*RETORNOS!B985+OPTIMIZACION!$B$6*RETORNOS!C985+OPTIMIZACION!$B$7*RETORNOS!D985+OPTIMIZACION!$B$8*RETORNOS!E985+OPTIMIZACION!$B$9*RETORNOS!F985+OPTIMIZACION!$B$10*RETORNOS!G985)</f>
        <v>0.007856776931</v>
      </c>
      <c r="C985" s="7">
        <f>IF(RETORNOS!H985="","",RETORNOS!H985)</f>
        <v>0.02691571492</v>
      </c>
      <c r="D985" s="7">
        <f>IF(RETORNOS!I985="","",RETORNOS!I985)</f>
        <v>-0.01060903636</v>
      </c>
      <c r="E985" s="7">
        <f t="shared" si="2"/>
        <v>0.00815333928</v>
      </c>
      <c r="F985" s="7">
        <f t="shared" si="3"/>
        <v>-0.01905893799</v>
      </c>
      <c r="G985" s="7">
        <f t="shared" si="4"/>
        <v>-0.000296562349</v>
      </c>
      <c r="H985" s="5">
        <f t="shared" ref="H985:K985" si="985">IF(B985="","",H984*(1+B985))</f>
        <v>305.5727493</v>
      </c>
      <c r="I985" s="5">
        <f t="shared" si="985"/>
        <v>210.9714646</v>
      </c>
      <c r="J985" s="5">
        <f t="shared" si="985"/>
        <v>136.0849329</v>
      </c>
      <c r="K985" s="5">
        <f t="shared" si="985"/>
        <v>175.8443674</v>
      </c>
      <c r="L985" s="7">
        <f t="shared" si="6"/>
        <v>-0.005890060601</v>
      </c>
    </row>
    <row r="986" ht="15.75" customHeight="1">
      <c r="A986" s="4">
        <f>IF(RETORNOS!A986="","",RETORNOS!A986)</f>
        <v>45847</v>
      </c>
      <c r="B986" s="7">
        <f>IF(RETORNOS!B986="","",OPTIMIZACION!$B$5*RETORNOS!B986+OPTIMIZACION!$B$6*RETORNOS!C986+OPTIMIZACION!$B$7*RETORNOS!D986+OPTIMIZACION!$B$8*RETORNOS!E986+OPTIMIZACION!$B$9*RETORNOS!F986+OPTIMIZACION!$B$10*RETORNOS!G986)</f>
        <v>0.002544819814</v>
      </c>
      <c r="C986" s="7">
        <f>IF(RETORNOS!H986="","",RETORNOS!H986)</f>
        <v>-0.005081625477</v>
      </c>
      <c r="D986" s="7">
        <f>IF(RETORNOS!I986="","",RETORNOS!I986)</f>
        <v>0.009367757613</v>
      </c>
      <c r="E986" s="7">
        <f t="shared" si="2"/>
        <v>0.002143066068</v>
      </c>
      <c r="F986" s="7">
        <f t="shared" si="3"/>
        <v>0.00762644529</v>
      </c>
      <c r="G986" s="7">
        <f t="shared" si="4"/>
        <v>0.0004017537452</v>
      </c>
      <c r="H986" s="5">
        <f t="shared" ref="H986:K986" si="986">IF(B986="","",H985*(1+B986))</f>
        <v>306.3503769</v>
      </c>
      <c r="I986" s="5">
        <f t="shared" si="986"/>
        <v>209.8993866</v>
      </c>
      <c r="J986" s="5">
        <f t="shared" si="986"/>
        <v>137.3597436</v>
      </c>
      <c r="K986" s="5">
        <f t="shared" si="986"/>
        <v>176.2212135</v>
      </c>
      <c r="L986" s="7">
        <f t="shared" si="6"/>
        <v>-0.00336022993</v>
      </c>
    </row>
    <row r="987" ht="15.75" customHeight="1">
      <c r="A987" s="4">
        <f>IF(RETORNOS!A987="","",RETORNOS!A987)</f>
        <v>45848</v>
      </c>
      <c r="B987" s="7">
        <f>IF(RETORNOS!B987="","",OPTIMIZACION!$B$5*RETORNOS!B987+OPTIMIZACION!$B$6*RETORNOS!C987+OPTIMIZACION!$B$7*RETORNOS!D987+OPTIMIZACION!$B$8*RETORNOS!E987+OPTIMIZACION!$B$9*RETORNOS!F987+OPTIMIZACION!$B$10*RETORNOS!G987)</f>
        <v>0.00421070415</v>
      </c>
      <c r="C987" s="7">
        <f>IF(RETORNOS!H987="","",RETORNOS!H987)</f>
        <v>0.007609393697</v>
      </c>
      <c r="D987" s="7">
        <f>IF(RETORNOS!I987="","",RETORNOS!I987)</f>
        <v>0.008181088632</v>
      </c>
      <c r="E987" s="7">
        <f t="shared" si="2"/>
        <v>0.007895241165</v>
      </c>
      <c r="F987" s="7">
        <f t="shared" si="3"/>
        <v>-0.003398689547</v>
      </c>
      <c r="G987" s="7">
        <f t="shared" si="4"/>
        <v>-0.003684537014</v>
      </c>
      <c r="H987" s="5">
        <f t="shared" ref="H987:K987" si="987">IF(B987="","",H986*(1+B987))</f>
        <v>307.6403277</v>
      </c>
      <c r="I987" s="5">
        <f t="shared" si="987"/>
        <v>211.4965937</v>
      </c>
      <c r="J987" s="5">
        <f t="shared" si="987"/>
        <v>138.4834958</v>
      </c>
      <c r="K987" s="5">
        <f t="shared" si="987"/>
        <v>177.6125225</v>
      </c>
      <c r="L987" s="7">
        <f t="shared" si="6"/>
        <v>0</v>
      </c>
    </row>
    <row r="988" ht="15.75" customHeight="1">
      <c r="A988" s="4">
        <f>IF(RETORNOS!A988="","",RETORNOS!A988)</f>
        <v>45849</v>
      </c>
      <c r="B988" s="7">
        <f>IF(RETORNOS!B988="","",OPTIMIZACION!$B$5*RETORNOS!B988+OPTIMIZACION!$B$6*RETORNOS!C988+OPTIMIZACION!$B$7*RETORNOS!D988+OPTIMIZACION!$B$8*RETORNOS!E988+OPTIMIZACION!$B$9*RETORNOS!F988+OPTIMIZACION!$B$10*RETORNOS!G988)</f>
        <v>-0.0003659705501</v>
      </c>
      <c r="C988" s="7">
        <f>IF(RETORNOS!H988="","",RETORNOS!H988)</f>
        <v>0.004505020863</v>
      </c>
      <c r="D988" s="7">
        <f>IF(RETORNOS!I988="","",RETORNOS!I988)</f>
        <v>-0.001454406089</v>
      </c>
      <c r="E988" s="7">
        <f t="shared" si="2"/>
        <v>0.001525307387</v>
      </c>
      <c r="F988" s="7">
        <f t="shared" si="3"/>
        <v>-0.004870991413</v>
      </c>
      <c r="G988" s="7">
        <f t="shared" si="4"/>
        <v>-0.001891277937</v>
      </c>
      <c r="H988" s="5">
        <f t="shared" ref="H988:K988" si="988">IF(B988="","",H987*(1+B988))</f>
        <v>307.5277404</v>
      </c>
      <c r="I988" s="5">
        <f t="shared" si="988"/>
        <v>212.4493903</v>
      </c>
      <c r="J988" s="5">
        <f t="shared" si="988"/>
        <v>138.2820846</v>
      </c>
      <c r="K988" s="5">
        <f t="shared" si="988"/>
        <v>177.8834362</v>
      </c>
      <c r="L988" s="7">
        <f t="shared" si="6"/>
        <v>-0.0003659705501</v>
      </c>
    </row>
    <row r="989" ht="15.75" customHeight="1">
      <c r="A989" s="4">
        <f>IF(RETORNOS!A989="","",RETORNOS!A989)</f>
        <v>45852</v>
      </c>
      <c r="B989" s="7">
        <f>IF(RETORNOS!B989="","",OPTIMIZACION!$B$5*RETORNOS!B989+OPTIMIZACION!$B$6*RETORNOS!C989+OPTIMIZACION!$B$7*RETORNOS!D989+OPTIMIZACION!$B$8*RETORNOS!E989+OPTIMIZACION!$B$9*RETORNOS!F989+OPTIMIZACION!$B$10*RETORNOS!G989)</f>
        <v>-0.00103624161</v>
      </c>
      <c r="C989" s="7">
        <f>IF(RETORNOS!H989="","",RETORNOS!H989)</f>
        <v>-0.0109940773</v>
      </c>
      <c r="D989" s="7">
        <f>IF(RETORNOS!I989="","",RETORNOS!I989)</f>
        <v>0.004002981939</v>
      </c>
      <c r="E989" s="7">
        <f t="shared" si="2"/>
        <v>-0.003495547682</v>
      </c>
      <c r="F989" s="7">
        <f t="shared" si="3"/>
        <v>0.009957835693</v>
      </c>
      <c r="G989" s="7">
        <f t="shared" si="4"/>
        <v>0.002459306072</v>
      </c>
      <c r="H989" s="5">
        <f t="shared" ref="H989:K989" si="989">IF(B989="","",H988*(1+B989))</f>
        <v>307.2090674</v>
      </c>
      <c r="I989" s="5">
        <f t="shared" si="989"/>
        <v>210.1137052</v>
      </c>
      <c r="J989" s="5">
        <f t="shared" si="989"/>
        <v>138.8356253</v>
      </c>
      <c r="K989" s="5">
        <f t="shared" si="989"/>
        <v>177.2616362</v>
      </c>
      <c r="L989" s="7">
        <f t="shared" si="6"/>
        <v>-0.001401832926</v>
      </c>
    </row>
    <row r="990" ht="15.75" customHeight="1">
      <c r="A990" s="4">
        <f>IF(RETORNOS!A990="","",RETORNOS!A990)</f>
        <v>45853</v>
      </c>
      <c r="B990" s="7">
        <f>IF(RETORNOS!B990="","",OPTIMIZACION!$B$5*RETORNOS!B990+OPTIMIZACION!$B$6*RETORNOS!C990+OPTIMIZACION!$B$7*RETORNOS!D990+OPTIMIZACION!$B$8*RETORNOS!E990+OPTIMIZACION!$B$9*RETORNOS!F990+OPTIMIZACION!$B$10*RETORNOS!G990)</f>
        <v>-0.004607978424</v>
      </c>
      <c r="C990" s="7">
        <f>IF(RETORNOS!H990="","",RETORNOS!H990)</f>
        <v>-0.0144071004</v>
      </c>
      <c r="D990" s="7">
        <f>IF(RETORNOS!I990="","",RETORNOS!I990)</f>
        <v>-0.00954238692</v>
      </c>
      <c r="E990" s="7">
        <f t="shared" si="2"/>
        <v>-0.01197474366</v>
      </c>
      <c r="F990" s="7">
        <f t="shared" si="3"/>
        <v>0.009799121971</v>
      </c>
      <c r="G990" s="7">
        <f t="shared" si="4"/>
        <v>0.007366765233</v>
      </c>
      <c r="H990" s="5">
        <f t="shared" ref="H990:K990" si="990">IF(B990="","",H989*(1+B990))</f>
        <v>305.7934546</v>
      </c>
      <c r="I990" s="5">
        <f t="shared" si="990"/>
        <v>207.086576</v>
      </c>
      <c r="J990" s="5">
        <f t="shared" si="990"/>
        <v>137.510802</v>
      </c>
      <c r="K990" s="5">
        <f t="shared" si="990"/>
        <v>175.1389735</v>
      </c>
      <c r="L990" s="7">
        <f t="shared" si="6"/>
        <v>-0.006003351735</v>
      </c>
    </row>
    <row r="991" ht="15.75" customHeight="1">
      <c r="A991" s="4">
        <f>IF(RETORNOS!A991="","",RETORNOS!A991)</f>
        <v>45854</v>
      </c>
      <c r="B991" s="7">
        <f>IF(RETORNOS!B991="","",OPTIMIZACION!$B$5*RETORNOS!B991+OPTIMIZACION!$B$6*RETORNOS!C991+OPTIMIZACION!$B$7*RETORNOS!D991+OPTIMIZACION!$B$8*RETORNOS!E991+OPTIMIZACION!$B$9*RETORNOS!F991+OPTIMIZACION!$B$10*RETORNOS!G991)</f>
        <v>-0.004983434609</v>
      </c>
      <c r="C991" s="7">
        <f>IF(RETORNOS!H991="","",RETORNOS!H991)</f>
        <v>-0.008630600466</v>
      </c>
      <c r="D991" s="7">
        <f>IF(RETORNOS!I991="","",RETORNOS!I991)</f>
        <v>0.0004849324558</v>
      </c>
      <c r="E991" s="7">
        <f t="shared" si="2"/>
        <v>-0.004072834005</v>
      </c>
      <c r="F991" s="7">
        <f t="shared" si="3"/>
        <v>0.003647165857</v>
      </c>
      <c r="G991" s="7">
        <f t="shared" si="4"/>
        <v>-0.0009106006041</v>
      </c>
      <c r="H991" s="5">
        <f t="shared" ref="H991:K991" si="991">IF(B991="","",H990*(1+B991))</f>
        <v>304.269553</v>
      </c>
      <c r="I991" s="5">
        <f t="shared" si="991"/>
        <v>205.2992945</v>
      </c>
      <c r="J991" s="5">
        <f t="shared" si="991"/>
        <v>137.5774855</v>
      </c>
      <c r="K991" s="5">
        <f t="shared" si="991"/>
        <v>174.4256615</v>
      </c>
      <c r="L991" s="7">
        <f t="shared" si="6"/>
        <v>-0.01095686903</v>
      </c>
    </row>
    <row r="992" ht="15.75" customHeight="1">
      <c r="A992" s="4">
        <f>IF(RETORNOS!A992="","",RETORNOS!A992)</f>
        <v>45855</v>
      </c>
      <c r="B992" s="7">
        <f>IF(RETORNOS!B992="","",OPTIMIZACION!$B$5*RETORNOS!B992+OPTIMIZACION!$B$6*RETORNOS!C992+OPTIMIZACION!$B$7*RETORNOS!D992+OPTIMIZACION!$B$8*RETORNOS!E992+OPTIMIZACION!$B$9*RETORNOS!F992+OPTIMIZACION!$B$10*RETORNOS!G992)</f>
        <v>0.001557995709</v>
      </c>
      <c r="C992" s="7">
        <f>IF(RETORNOS!H992="","",RETORNOS!H992)</f>
        <v>0.006150227091</v>
      </c>
      <c r="D992" s="7">
        <f>IF(RETORNOS!I992="","",RETORNOS!I992)</f>
        <v>0.004147130393</v>
      </c>
      <c r="E992" s="7">
        <f t="shared" si="2"/>
        <v>0.005148678742</v>
      </c>
      <c r="F992" s="7">
        <f t="shared" si="3"/>
        <v>-0.004592231382</v>
      </c>
      <c r="G992" s="7">
        <f t="shared" si="4"/>
        <v>-0.003590683033</v>
      </c>
      <c r="H992" s="5">
        <f t="shared" ref="H992:K992" si="992">IF(B992="","",H991*(1+B992))</f>
        <v>304.7436036</v>
      </c>
      <c r="I992" s="5">
        <f t="shared" si="992"/>
        <v>206.5619318</v>
      </c>
      <c r="J992" s="5">
        <f t="shared" si="992"/>
        <v>138.1480373</v>
      </c>
      <c r="K992" s="5">
        <f t="shared" si="992"/>
        <v>175.3237232</v>
      </c>
      <c r="L992" s="7">
        <f t="shared" si="6"/>
        <v>-0.009415944079</v>
      </c>
    </row>
    <row r="993" ht="15.75" customHeight="1">
      <c r="A993" s="4">
        <f>IF(RETORNOS!A993="","",RETORNOS!A993)</f>
        <v>45856</v>
      </c>
      <c r="B993" s="7">
        <f>IF(RETORNOS!B993="","",OPTIMIZACION!$B$5*RETORNOS!B993+OPTIMIZACION!$B$6*RETORNOS!C993+OPTIMIZACION!$B$7*RETORNOS!D993+OPTIMIZACION!$B$8*RETORNOS!E993+OPTIMIZACION!$B$9*RETORNOS!F993+OPTIMIZACION!$B$10*RETORNOS!G993)</f>
        <v>0.002606722797</v>
      </c>
      <c r="C993" s="7">
        <f>IF(RETORNOS!H993="","",RETORNOS!H993)</f>
        <v>-0.008077407906</v>
      </c>
      <c r="D993" s="7">
        <f>IF(RETORNOS!I993="","",RETORNOS!I993)</f>
        <v>0.01675397054</v>
      </c>
      <c r="E993" s="7">
        <f t="shared" si="2"/>
        <v>0.004338281318</v>
      </c>
      <c r="F993" s="7">
        <f t="shared" si="3"/>
        <v>0.0106841307</v>
      </c>
      <c r="G993" s="7">
        <f t="shared" si="4"/>
        <v>-0.001731558521</v>
      </c>
      <c r="H993" s="5">
        <f t="shared" ref="H993:K993" si="993">IF(B993="","",H992*(1+B993))</f>
        <v>305.5379857</v>
      </c>
      <c r="I993" s="5">
        <f t="shared" si="993"/>
        <v>204.8934468</v>
      </c>
      <c r="J993" s="5">
        <f t="shared" si="993"/>
        <v>140.4625654</v>
      </c>
      <c r="K993" s="5">
        <f t="shared" si="993"/>
        <v>176.0843269</v>
      </c>
      <c r="L993" s="7">
        <f t="shared" si="6"/>
        <v>-0.006833766038</v>
      </c>
    </row>
    <row r="994" ht="15.75" customHeight="1">
      <c r="A994" s="4">
        <f>IF(RETORNOS!A994="","",RETORNOS!A994)</f>
        <v>45859</v>
      </c>
      <c r="B994" s="7">
        <f>IF(RETORNOS!B994="","",OPTIMIZACION!$B$5*RETORNOS!B994+OPTIMIZACION!$B$6*RETORNOS!C994+OPTIMIZACION!$B$7*RETORNOS!D994+OPTIMIZACION!$B$8*RETORNOS!E994+OPTIMIZACION!$B$9*RETORNOS!F994+OPTIMIZACION!$B$10*RETORNOS!G994)</f>
        <v>-0.007387102147</v>
      </c>
      <c r="C994" s="7">
        <f>IF(RETORNOS!H994="","",RETORNOS!H994)</f>
        <v>-0.01035351025</v>
      </c>
      <c r="D994" s="7">
        <f>IF(RETORNOS!I994="","",RETORNOS!I994)</f>
        <v>0.003223884357</v>
      </c>
      <c r="E994" s="7">
        <f t="shared" si="2"/>
        <v>-0.003564812949</v>
      </c>
      <c r="F994" s="7">
        <f t="shared" si="3"/>
        <v>0.002966408107</v>
      </c>
      <c r="G994" s="7">
        <f t="shared" si="4"/>
        <v>-0.003822289198</v>
      </c>
      <c r="H994" s="5">
        <f t="shared" ref="H994:K994" si="994">IF(B994="","",H993*(1+B994))</f>
        <v>303.2809454</v>
      </c>
      <c r="I994" s="5">
        <f t="shared" si="994"/>
        <v>202.7720804</v>
      </c>
      <c r="J994" s="5">
        <f t="shared" si="994"/>
        <v>140.9154005</v>
      </c>
      <c r="K994" s="5">
        <f t="shared" si="994"/>
        <v>175.4566192</v>
      </c>
      <c r="L994" s="7">
        <f t="shared" si="6"/>
        <v>-0.01417038646</v>
      </c>
    </row>
    <row r="995" ht="15.75" customHeight="1">
      <c r="A995" s="4">
        <f>IF(RETORNOS!A995="","",RETORNOS!A995)</f>
        <v>45860</v>
      </c>
      <c r="B995" s="7">
        <f>IF(RETORNOS!B995="","",OPTIMIZACION!$B$5*RETORNOS!B995+OPTIMIZACION!$B$6*RETORNOS!C995+OPTIMIZACION!$B$7*RETORNOS!D995+OPTIMIZACION!$B$8*RETORNOS!E995+OPTIMIZACION!$B$9*RETORNOS!F995+OPTIMIZACION!$B$10*RETORNOS!G995)</f>
        <v>0.002810264008</v>
      </c>
      <c r="C995" s="7">
        <f>IF(RETORNOS!H995="","",RETORNOS!H995)</f>
        <v>0.004703637368</v>
      </c>
      <c r="D995" s="7">
        <f>IF(RETORNOS!I995="","",RETORNOS!I995)</f>
        <v>0.01226016268</v>
      </c>
      <c r="E995" s="7">
        <f t="shared" si="2"/>
        <v>0.008481900024</v>
      </c>
      <c r="F995" s="7">
        <f t="shared" si="3"/>
        <v>-0.00189337336</v>
      </c>
      <c r="G995" s="7">
        <f t="shared" si="4"/>
        <v>-0.005671636016</v>
      </c>
      <c r="H995" s="5">
        <f t="shared" ref="H995:K995" si="995">IF(B995="","",H994*(1+B995))</f>
        <v>304.1332449</v>
      </c>
      <c r="I995" s="5">
        <f t="shared" si="995"/>
        <v>203.7258467</v>
      </c>
      <c r="J995" s="5">
        <f t="shared" si="995"/>
        <v>142.6430462</v>
      </c>
      <c r="K995" s="5">
        <f t="shared" si="995"/>
        <v>176.9448247</v>
      </c>
      <c r="L995" s="7">
        <f t="shared" si="6"/>
        <v>-0.01139994498</v>
      </c>
    </row>
    <row r="996" ht="15.75" customHeight="1">
      <c r="A996" s="4">
        <f>IF(RETORNOS!A996="","",RETORNOS!A996)</f>
        <v>45861</v>
      </c>
      <c r="B996" s="7">
        <f>IF(RETORNOS!B996="","",OPTIMIZACION!$B$5*RETORNOS!B996+OPTIMIZACION!$B$6*RETORNOS!C996+OPTIMIZACION!$B$7*RETORNOS!D996+OPTIMIZACION!$B$8*RETORNOS!E996+OPTIMIZACION!$B$9*RETORNOS!F996+OPTIMIZACION!$B$10*RETORNOS!G996)</f>
        <v>0.01617879935</v>
      </c>
      <c r="C996" s="7">
        <f>IF(RETORNOS!H996="","",RETORNOS!H996)</f>
        <v>0.01567520481</v>
      </c>
      <c r="D996" s="7">
        <f>IF(RETORNOS!I996="","",RETORNOS!I996)</f>
        <v>-0.007525073641</v>
      </c>
      <c r="E996" s="7">
        <f t="shared" si="2"/>
        <v>0.004075065583</v>
      </c>
      <c r="F996" s="7">
        <f t="shared" si="3"/>
        <v>0.0005035945407</v>
      </c>
      <c r="G996" s="7">
        <f t="shared" si="4"/>
        <v>0.01210373376</v>
      </c>
      <c r="H996" s="5">
        <f t="shared" ref="H996:K996" si="996">IF(B996="","",H995*(1+B996))</f>
        <v>309.0537557</v>
      </c>
      <c r="I996" s="5">
        <f t="shared" si="996"/>
        <v>206.9192911</v>
      </c>
      <c r="J996" s="5">
        <f t="shared" si="996"/>
        <v>141.5696468</v>
      </c>
      <c r="K996" s="5">
        <f t="shared" si="996"/>
        <v>177.6658864</v>
      </c>
      <c r="L996" s="7">
        <f t="shared" si="6"/>
        <v>0</v>
      </c>
    </row>
    <row r="997" ht="15.75" customHeight="1">
      <c r="A997" s="4">
        <f>IF(RETORNOS!A997="","",RETORNOS!A997)</f>
        <v>45862</v>
      </c>
      <c r="B997" s="7">
        <f>IF(RETORNOS!B997="","",OPTIMIZACION!$B$5*RETORNOS!B997+OPTIMIZACION!$B$6*RETORNOS!C997+OPTIMIZACION!$B$7*RETORNOS!D997+OPTIMIZACION!$B$8*RETORNOS!E997+OPTIMIZACION!$B$9*RETORNOS!F997+OPTIMIZACION!$B$10*RETORNOS!G997)</f>
        <v>0.004845748135</v>
      </c>
      <c r="C997" s="7">
        <f>IF(RETORNOS!H997="","",RETORNOS!H997)</f>
        <v>0.007142522379</v>
      </c>
      <c r="D997" s="7">
        <f>IF(RETORNOS!I997="","",RETORNOS!I997)</f>
        <v>-0.001302540194</v>
      </c>
      <c r="E997" s="7">
        <f t="shared" si="2"/>
        <v>0.002919991093</v>
      </c>
      <c r="F997" s="7">
        <f t="shared" si="3"/>
        <v>-0.002296774244</v>
      </c>
      <c r="G997" s="7">
        <f t="shared" si="4"/>
        <v>0.001925757042</v>
      </c>
      <c r="H997" s="5">
        <f t="shared" ref="H997:K997" si="997">IF(B997="","",H996*(1+B997))</f>
        <v>310.5513523</v>
      </c>
      <c r="I997" s="5">
        <f t="shared" si="997"/>
        <v>208.3972168</v>
      </c>
      <c r="J997" s="5">
        <f t="shared" si="997"/>
        <v>141.3852466</v>
      </c>
      <c r="K997" s="5">
        <f t="shared" si="997"/>
        <v>178.1846692</v>
      </c>
      <c r="L997" s="7">
        <f t="shared" si="6"/>
        <v>0</v>
      </c>
    </row>
    <row r="998" ht="15.75" customHeight="1">
      <c r="A998" s="4">
        <f>IF(RETORNOS!A998="","",RETORNOS!A998)</f>
        <v>45863</v>
      </c>
      <c r="B998" s="7">
        <f>IF(RETORNOS!B998="","",OPTIMIZACION!$B$5*RETORNOS!B998+OPTIMIZACION!$B$6*RETORNOS!C998+OPTIMIZACION!$B$7*RETORNOS!D998+OPTIMIZACION!$B$8*RETORNOS!E998+OPTIMIZACION!$B$9*RETORNOS!F998+OPTIMIZACION!$B$10*RETORNOS!G998)</f>
        <v>-0.00094917047</v>
      </c>
      <c r="C998" s="7">
        <f>IF(RETORNOS!H998="","",RETORNOS!H998)</f>
        <v>-0.00377395367</v>
      </c>
      <c r="D998" s="7">
        <f>IF(RETORNOS!I998="","",RETORNOS!I998)</f>
        <v>0.002608478035</v>
      </c>
      <c r="E998" s="7">
        <f t="shared" si="2"/>
        <v>-0.0005827378176</v>
      </c>
      <c r="F998" s="7">
        <f t="shared" si="3"/>
        <v>0.0028247832</v>
      </c>
      <c r="G998" s="7">
        <f t="shared" si="4"/>
        <v>-0.0003664326523</v>
      </c>
      <c r="H998" s="5">
        <f t="shared" ref="H998:K998" si="998">IF(B998="","",H997*(1+B998))</f>
        <v>310.2565862</v>
      </c>
      <c r="I998" s="5">
        <f t="shared" si="998"/>
        <v>207.6107353</v>
      </c>
      <c r="J998" s="5">
        <f t="shared" si="998"/>
        <v>141.7540469</v>
      </c>
      <c r="K998" s="5">
        <f t="shared" si="998"/>
        <v>178.0808343</v>
      </c>
      <c r="L998" s="7">
        <f t="shared" si="6"/>
        <v>-0.00094917047</v>
      </c>
    </row>
    <row r="999" ht="15.75" customHeight="1">
      <c r="A999" s="4">
        <f>IF(RETORNOS!A999="","",RETORNOS!A999)</f>
        <v>45866</v>
      </c>
      <c r="B999" s="7">
        <f>IF(RETORNOS!B999="","",OPTIMIZACION!$B$5*RETORNOS!B999+OPTIMIZACION!$B$6*RETORNOS!C999+OPTIMIZACION!$B$7*RETORNOS!D999+OPTIMIZACION!$B$8*RETORNOS!E999+OPTIMIZACION!$B$9*RETORNOS!F999+OPTIMIZACION!$B$10*RETORNOS!G999)</f>
        <v>0.0008059788171</v>
      </c>
      <c r="C999" s="7">
        <f>IF(RETORNOS!H999="","",RETORNOS!H999)</f>
        <v>0.01136475105</v>
      </c>
      <c r="D999" s="7">
        <f>IF(RETORNOS!I999="","",RETORNOS!I999)</f>
        <v>-0.01064677477</v>
      </c>
      <c r="E999" s="7">
        <f t="shared" si="2"/>
        <v>0.000358988144</v>
      </c>
      <c r="F999" s="7">
        <f t="shared" si="3"/>
        <v>-0.01055877224</v>
      </c>
      <c r="G999" s="7">
        <f t="shared" si="4"/>
        <v>0.0004469906731</v>
      </c>
      <c r="H999" s="5">
        <f t="shared" ref="H999:K999" si="999">IF(B999="","",H998*(1+B999))</f>
        <v>310.5066464</v>
      </c>
      <c r="I999" s="5">
        <f t="shared" si="999"/>
        <v>209.9701796</v>
      </c>
      <c r="J999" s="5">
        <f t="shared" si="999"/>
        <v>140.2448235</v>
      </c>
      <c r="K999" s="5">
        <f t="shared" si="999"/>
        <v>178.1447632</v>
      </c>
      <c r="L999" s="7">
        <f t="shared" si="6"/>
        <v>-0.0001439566641</v>
      </c>
    </row>
    <row r="1000" ht="15.75" customHeight="1">
      <c r="A1000" s="4">
        <f>IF(RETORNOS!A1000="","",RETORNOS!A1000)</f>
        <v>45867</v>
      </c>
      <c r="B1000" s="7">
        <f>IF(RETORNOS!B1000="","",OPTIMIZACION!$B$5*RETORNOS!B1000+OPTIMIZACION!$B$6*RETORNOS!C1000+OPTIMIZACION!$B$7*RETORNOS!D1000+OPTIMIZACION!$B$8*RETORNOS!E1000+OPTIMIZACION!$B$9*RETORNOS!F1000+OPTIMIZACION!$B$10*RETORNOS!G1000)</f>
        <v>0.01555246723</v>
      </c>
      <c r="C1000" s="7">
        <f>IF(RETORNOS!H1000="","",RETORNOS!H1000)</f>
        <v>0.009763712612</v>
      </c>
      <c r="D1000" s="7">
        <f>IF(RETORNOS!I1000="","",RETORNOS!I1000)</f>
        <v>0.01147941856</v>
      </c>
      <c r="E1000" s="7">
        <f t="shared" si="2"/>
        <v>0.01062156558</v>
      </c>
      <c r="F1000" s="7">
        <f t="shared" si="3"/>
        <v>0.005788754617</v>
      </c>
      <c r="G1000" s="7">
        <f t="shared" si="4"/>
        <v>0.004930901645</v>
      </c>
      <c r="H1000" s="5">
        <f t="shared" ref="H1000:K1000" si="1000">IF(B1000="","",H999*(1+B1000))</f>
        <v>315.3357908</v>
      </c>
      <c r="I1000" s="5">
        <f t="shared" si="1000"/>
        <v>212.0202681</v>
      </c>
      <c r="J1000" s="5">
        <f t="shared" si="1000"/>
        <v>141.8547526</v>
      </c>
      <c r="K1000" s="5">
        <f t="shared" si="1000"/>
        <v>180.0369395</v>
      </c>
      <c r="L1000" s="7">
        <f t="shared" si="6"/>
        <v>0</v>
      </c>
    </row>
    <row r="1001" ht="15.75" customHeight="1">
      <c r="A1001" s="4">
        <f>IF(RETORNOS!A1001="","",RETORNOS!A1001)</f>
        <v>45868</v>
      </c>
      <c r="B1001" s="7">
        <f>IF(RETORNOS!B1001="","",OPTIMIZACION!$B$5*RETORNOS!B1001+OPTIMIZACION!$B$6*RETORNOS!C1001+OPTIMIZACION!$B$7*RETORNOS!D1001+OPTIMIZACION!$B$8*RETORNOS!E1001+OPTIMIZACION!$B$9*RETORNOS!F1001+OPTIMIZACION!$B$10*RETORNOS!G1001)</f>
        <v>0.0001786958636</v>
      </c>
      <c r="C1001" s="7">
        <f>IF(RETORNOS!H1001="","",RETORNOS!H1001)</f>
        <v>-0.01427525957</v>
      </c>
      <c r="D1001" s="7">
        <f>IF(RETORNOS!I1001="","",RETORNOS!I1001)</f>
        <v>0.007446971805</v>
      </c>
      <c r="E1001" s="7">
        <f t="shared" si="2"/>
        <v>-0.003414143883</v>
      </c>
      <c r="F1001" s="7">
        <f t="shared" si="3"/>
        <v>0.01445395543</v>
      </c>
      <c r="G1001" s="7">
        <f t="shared" si="4"/>
        <v>0.003592839747</v>
      </c>
      <c r="H1001" s="5">
        <f t="shared" ref="H1001:K1001" si="1001">IF(B1001="","",H1000*(1+B1001))</f>
        <v>315.39214</v>
      </c>
      <c r="I1001" s="5">
        <f t="shared" si="1001"/>
        <v>208.9936238</v>
      </c>
      <c r="J1001" s="5">
        <f t="shared" si="1001"/>
        <v>142.9111409</v>
      </c>
      <c r="K1001" s="5">
        <f t="shared" si="1001"/>
        <v>179.4222675</v>
      </c>
      <c r="L1001" s="7">
        <f t="shared" si="6"/>
        <v>0</v>
      </c>
    </row>
    <row r="1002" ht="15.75" customHeight="1">
      <c r="A1002" s="4">
        <f>IF(RETORNOS!A1002="","",RETORNOS!A1002)</f>
        <v>45869</v>
      </c>
      <c r="B1002" s="7">
        <f>IF(RETORNOS!B1002="","",OPTIMIZACION!$B$5*RETORNOS!B1002+OPTIMIZACION!$B$6*RETORNOS!C1002+OPTIMIZACION!$B$7*RETORNOS!D1002+OPTIMIZACION!$B$8*RETORNOS!E1002+OPTIMIZACION!$B$9*RETORNOS!F1002+OPTIMIZACION!$B$10*RETORNOS!G1002)</f>
        <v>-0.0009800000506</v>
      </c>
      <c r="C1002" s="7">
        <f>IF(RETORNOS!H1002="","",RETORNOS!H1002)</f>
        <v>-0.005361725032</v>
      </c>
      <c r="D1002" s="7">
        <f>IF(RETORNOS!I1002="","",RETORNOS!I1002)</f>
        <v>0.005399318657</v>
      </c>
      <c r="E1002" s="7">
        <f t="shared" si="2"/>
        <v>0.00001879681252</v>
      </c>
      <c r="F1002" s="7">
        <f t="shared" si="3"/>
        <v>0.004381724982</v>
      </c>
      <c r="G1002" s="7">
        <f t="shared" si="4"/>
        <v>-0.0009987968631</v>
      </c>
      <c r="H1002" s="5">
        <f t="shared" ref="H1002:K1002" si="1002">IF(B1002="","",H1001*(1+B1002))</f>
        <v>315.0830557</v>
      </c>
      <c r="I1002" s="5">
        <f t="shared" si="1002"/>
        <v>207.8730574</v>
      </c>
      <c r="J1002" s="5">
        <f t="shared" si="1002"/>
        <v>143.6827637</v>
      </c>
      <c r="K1002" s="5">
        <f t="shared" si="1002"/>
        <v>179.42564</v>
      </c>
      <c r="L1002" s="7">
        <f t="shared" si="6"/>
        <v>-0.0009800000506</v>
      </c>
    </row>
    <row r="1003" ht="15.75" customHeight="1">
      <c r="A1003" s="4">
        <f>IF(RETORNOS!A1003="","",RETORNOS!A1003)</f>
        <v>45870</v>
      </c>
      <c r="B1003" s="7">
        <f>IF(RETORNOS!B1003="","",OPTIMIZACION!$B$5*RETORNOS!B1003+OPTIMIZACION!$B$6*RETORNOS!C1003+OPTIMIZACION!$B$7*RETORNOS!D1003+OPTIMIZACION!$B$8*RETORNOS!E1003+OPTIMIZACION!$B$9*RETORNOS!F1003+OPTIMIZACION!$B$10*RETORNOS!G1003)</f>
        <v>-0.004470208915</v>
      </c>
      <c r="C1003" s="7">
        <f>IF(RETORNOS!H1003="","",RETORNOS!H1003)</f>
        <v>-0.01857679021</v>
      </c>
      <c r="D1003" s="7">
        <f>IF(RETORNOS!I1003="","",RETORNOS!I1003)</f>
        <v>0.001515434942</v>
      </c>
      <c r="E1003" s="7">
        <f t="shared" si="2"/>
        <v>-0.008530677634</v>
      </c>
      <c r="F1003" s="7">
        <f t="shared" si="3"/>
        <v>0.01410658129</v>
      </c>
      <c r="G1003" s="7">
        <f t="shared" si="4"/>
        <v>0.004060468719</v>
      </c>
      <c r="H1003" s="5">
        <f t="shared" ref="H1003:K1003" si="1003">IF(B1003="","",H1002*(1+B1003))</f>
        <v>313.6745686</v>
      </c>
      <c r="I1003" s="5">
        <f t="shared" si="1003"/>
        <v>204.0114433</v>
      </c>
      <c r="J1003" s="5">
        <f t="shared" si="1003"/>
        <v>143.9005056</v>
      </c>
      <c r="K1003" s="5">
        <f t="shared" si="1003"/>
        <v>177.8950178</v>
      </c>
      <c r="L1003" s="7">
        <f t="shared" si="6"/>
        <v>-0.00544582816</v>
      </c>
    </row>
    <row r="1004" ht="15.75" customHeight="1">
      <c r="A1004" s="4">
        <f>IF(RETORNOS!A1004="","",RETORNOS!A1004)</f>
        <v>45873</v>
      </c>
      <c r="B1004" s="7">
        <f>IF(RETORNOS!B1004="","",OPTIMIZACION!$B$5*RETORNOS!B1004+OPTIMIZACION!$B$6*RETORNOS!C1004+OPTIMIZACION!$B$7*RETORNOS!D1004+OPTIMIZACION!$B$8*RETORNOS!E1004+OPTIMIZACION!$B$9*RETORNOS!F1004+OPTIMIZACION!$B$10*RETORNOS!G1004)</f>
        <v>0.00236524418</v>
      </c>
      <c r="C1004" s="7">
        <f>IF(RETORNOS!H1004="","",RETORNOS!H1004)</f>
        <v>-0.002219882446</v>
      </c>
      <c r="D1004" s="7">
        <f>IF(RETORNOS!I1004="","",RETORNOS!I1004)</f>
        <v>0.01771794563</v>
      </c>
      <c r="E1004" s="7">
        <f t="shared" si="2"/>
        <v>0.00774903159</v>
      </c>
      <c r="F1004" s="7">
        <f t="shared" si="3"/>
        <v>0.004585126627</v>
      </c>
      <c r="G1004" s="7">
        <f t="shared" si="4"/>
        <v>-0.00538378741</v>
      </c>
      <c r="H1004" s="5">
        <f t="shared" ref="H1004:K1004" si="1004">IF(B1004="","",H1003*(1+B1004))</f>
        <v>314.4164856</v>
      </c>
      <c r="I1004" s="5">
        <f t="shared" si="1004"/>
        <v>203.5585618</v>
      </c>
      <c r="J1004" s="5">
        <f t="shared" si="1004"/>
        <v>146.4501269</v>
      </c>
      <c r="K1004" s="5">
        <f t="shared" si="1004"/>
        <v>179.2735319</v>
      </c>
      <c r="L1004" s="7">
        <f t="shared" si="6"/>
        <v>-0.003093464693</v>
      </c>
    </row>
    <row r="1005" ht="15.75" customHeight="1">
      <c r="A1005" s="4">
        <f>IF(RETORNOS!A1005="","",RETORNOS!A1005)</f>
        <v>45874</v>
      </c>
      <c r="B1005" s="7">
        <f>IF(RETORNOS!B1005="","",OPTIMIZACION!$B$5*RETORNOS!B1005+OPTIMIZACION!$B$6*RETORNOS!C1005+OPTIMIZACION!$B$7*RETORNOS!D1005+OPTIMIZACION!$B$8*RETORNOS!E1005+OPTIMIZACION!$B$9*RETORNOS!F1005+OPTIMIZACION!$B$10*RETORNOS!G1005)</f>
        <v>-0.01327993025</v>
      </c>
      <c r="C1005" s="7">
        <f>IF(RETORNOS!H1005="","",RETORNOS!H1005)</f>
        <v>0.001291063317</v>
      </c>
      <c r="D1005" s="7">
        <f>IF(RETORNOS!I1005="","",RETORNOS!I1005)</f>
        <v>-0.0106515199</v>
      </c>
      <c r="E1005" s="7">
        <f t="shared" si="2"/>
        <v>-0.004680228293</v>
      </c>
      <c r="F1005" s="7">
        <f t="shared" si="3"/>
        <v>-0.01457099356</v>
      </c>
      <c r="G1005" s="7">
        <f t="shared" si="4"/>
        <v>-0.008599701954</v>
      </c>
      <c r="H1005" s="5">
        <f t="shared" ref="H1005:K1005" si="1005">IF(B1005="","",H1004*(1+B1005))</f>
        <v>310.2410566</v>
      </c>
      <c r="I1005" s="5">
        <f t="shared" si="1005"/>
        <v>203.8213688</v>
      </c>
      <c r="J1005" s="5">
        <f t="shared" si="1005"/>
        <v>144.8902105</v>
      </c>
      <c r="K1005" s="5">
        <f t="shared" si="1005"/>
        <v>178.4344908</v>
      </c>
      <c r="L1005" s="7">
        <f t="shared" si="6"/>
        <v>-0.01633231394</v>
      </c>
    </row>
    <row r="1006" ht="15.75" customHeight="1">
      <c r="A1006" s="4">
        <f>IF(RETORNOS!A1006="","",RETORNOS!A1006)</f>
        <v>45875</v>
      </c>
      <c r="B1006" s="7">
        <f>IF(RETORNOS!B1006="","",OPTIMIZACION!$B$5*RETORNOS!B1006+OPTIMIZACION!$B$6*RETORNOS!C1006+OPTIMIZACION!$B$7*RETORNOS!D1006+OPTIMIZACION!$B$8*RETORNOS!E1006+OPTIMIZACION!$B$9*RETORNOS!F1006+OPTIMIZACION!$B$10*RETORNOS!G1006)</f>
        <v>-0.002715024029</v>
      </c>
      <c r="C1006" s="7">
        <f>IF(RETORNOS!H1006="","",RETORNOS!H1006)</f>
        <v>-0.009239897134</v>
      </c>
      <c r="D1006" s="7">
        <f>IF(RETORNOS!I1006="","",RETORNOS!I1006)</f>
        <v>-0.008911170075</v>
      </c>
      <c r="E1006" s="7">
        <f t="shared" si="2"/>
        <v>-0.009075533604</v>
      </c>
      <c r="F1006" s="7">
        <f t="shared" si="3"/>
        <v>0.006524873105</v>
      </c>
      <c r="G1006" s="7">
        <f t="shared" si="4"/>
        <v>0.006360509576</v>
      </c>
      <c r="H1006" s="5">
        <f t="shared" ref="H1006:K1006" si="1006">IF(B1006="","",H1005*(1+B1006))</f>
        <v>309.3987447</v>
      </c>
      <c r="I1006" s="5">
        <f t="shared" si="1006"/>
        <v>201.9380803</v>
      </c>
      <c r="J1006" s="5">
        <f t="shared" si="1006"/>
        <v>143.5990692</v>
      </c>
      <c r="K1006" s="5">
        <f t="shared" si="1006"/>
        <v>176.8151026</v>
      </c>
      <c r="L1006" s="7">
        <f t="shared" si="6"/>
        <v>-0.01900299535</v>
      </c>
    </row>
    <row r="1007" ht="15.75" customHeight="1">
      <c r="A1007" s="4">
        <f>IF(RETORNOS!A1007="","",RETORNOS!A1007)</f>
        <v>45876</v>
      </c>
      <c r="B1007" s="7">
        <f>IF(RETORNOS!B1007="","",OPTIMIZACION!$B$5*RETORNOS!B1007+OPTIMIZACION!$B$6*RETORNOS!C1007+OPTIMIZACION!$B$7*RETORNOS!D1007+OPTIMIZACION!$B$8*RETORNOS!E1007+OPTIMIZACION!$B$9*RETORNOS!F1007+OPTIMIZACION!$B$10*RETORNOS!G1007)</f>
        <v>-0.0003727599721</v>
      </c>
      <c r="C1007" s="7">
        <f>IF(RETORNOS!H1007="","",RETORNOS!H1007)</f>
        <v>-0.003894666324</v>
      </c>
      <c r="D1007" s="7">
        <f>IF(RETORNOS!I1007="","",RETORNOS!I1007)</f>
        <v>0.01086062904</v>
      </c>
      <c r="E1007" s="7">
        <f t="shared" si="2"/>
        <v>0.003482981356</v>
      </c>
      <c r="F1007" s="7">
        <f t="shared" si="3"/>
        <v>0.003521906352</v>
      </c>
      <c r="G1007" s="7">
        <f t="shared" si="4"/>
        <v>-0.003855741328</v>
      </c>
      <c r="H1007" s="5">
        <f t="shared" ref="H1007:K1007" si="1007">IF(B1007="","",H1006*(1+B1007))</f>
        <v>309.2834132</v>
      </c>
      <c r="I1007" s="5">
        <f t="shared" si="1007"/>
        <v>201.1515989</v>
      </c>
      <c r="J1007" s="5">
        <f t="shared" si="1007"/>
        <v>145.1586454</v>
      </c>
      <c r="K1007" s="5">
        <f t="shared" si="1007"/>
        <v>177.4309463</v>
      </c>
      <c r="L1007" s="7">
        <f t="shared" si="6"/>
        <v>-0.01936867176</v>
      </c>
    </row>
    <row r="1008" ht="15.75" customHeight="1">
      <c r="A1008" s="4">
        <f>IF(RETORNOS!A1008="","",RETORNOS!A1008)</f>
        <v>45877</v>
      </c>
      <c r="B1008" s="7">
        <f>IF(RETORNOS!B1008="","",OPTIMIZACION!$B$5*RETORNOS!B1008+OPTIMIZACION!$B$6*RETORNOS!C1008+OPTIMIZACION!$B$7*RETORNOS!D1008+OPTIMIZACION!$B$8*RETORNOS!E1008+OPTIMIZACION!$B$9*RETORNOS!F1008+OPTIMIZACION!$B$10*RETORNOS!G1008)</f>
        <v>-0.004806060638</v>
      </c>
      <c r="C1008" s="7">
        <f>IF(RETORNOS!H1008="","",RETORNOS!H1008)</f>
        <v>0.006397570177</v>
      </c>
      <c r="D1008" s="7">
        <f>IF(RETORNOS!I1008="","",RETORNOS!I1008)</f>
        <v>-0.004275076818</v>
      </c>
      <c r="E1008" s="7">
        <f t="shared" si="2"/>
        <v>0.00106124668</v>
      </c>
      <c r="F1008" s="7">
        <f t="shared" si="3"/>
        <v>-0.01120363082</v>
      </c>
      <c r="G1008" s="7">
        <f t="shared" si="4"/>
        <v>-0.005867307318</v>
      </c>
      <c r="H1008" s="5">
        <f t="shared" ref="H1008:K1008" si="1008">IF(B1008="","",H1007*(1+B1008))</f>
        <v>307.7969784</v>
      </c>
      <c r="I1008" s="5">
        <f t="shared" si="1008"/>
        <v>202.4384804</v>
      </c>
      <c r="J1008" s="5">
        <f t="shared" si="1008"/>
        <v>144.538081</v>
      </c>
      <c r="K1008" s="5">
        <f t="shared" si="1008"/>
        <v>177.6192443</v>
      </c>
      <c r="L1008" s="7">
        <f t="shared" si="6"/>
        <v>-0.02408164539</v>
      </c>
    </row>
    <row r="1009" ht="15.75" customHeight="1">
      <c r="A1009" s="4">
        <f>IF(RETORNOS!A1009="","",RETORNOS!A1009)</f>
        <v>45880</v>
      </c>
      <c r="B1009" s="7">
        <f>IF(RETORNOS!B1009="","",OPTIMIZACION!$B$5*RETORNOS!B1009+OPTIMIZACION!$B$6*RETORNOS!C1009+OPTIMIZACION!$B$7*RETORNOS!D1009+OPTIMIZACION!$B$8*RETORNOS!E1009+OPTIMIZACION!$B$9*RETORNOS!F1009+OPTIMIZACION!$B$10*RETORNOS!G1009)</f>
        <v>-0.003732637923</v>
      </c>
      <c r="C1009" s="7">
        <f>IF(RETORNOS!H1009="","",RETORNOS!H1009)</f>
        <v>-0.008007204808</v>
      </c>
      <c r="D1009" s="7">
        <f>IF(RETORNOS!I1009="","",RETORNOS!I1009)</f>
        <v>-0.00313298104</v>
      </c>
      <c r="E1009" s="7">
        <f t="shared" si="2"/>
        <v>-0.005570092924</v>
      </c>
      <c r="F1009" s="7">
        <f t="shared" si="3"/>
        <v>0.004274566884</v>
      </c>
      <c r="G1009" s="7">
        <f t="shared" si="4"/>
        <v>0.001837455</v>
      </c>
      <c r="H1009" s="5">
        <f t="shared" ref="H1009:K1009" si="1009">IF(B1009="","",H1008*(1+B1009))</f>
        <v>306.6480837</v>
      </c>
      <c r="I1009" s="5">
        <f t="shared" si="1009"/>
        <v>200.817514</v>
      </c>
      <c r="J1009" s="5">
        <f t="shared" si="1009"/>
        <v>144.0852459</v>
      </c>
      <c r="K1009" s="5">
        <f t="shared" si="1009"/>
        <v>176.6298886</v>
      </c>
      <c r="L1009" s="7">
        <f t="shared" si="6"/>
        <v>-0.02772439525</v>
      </c>
    </row>
    <row r="1010" ht="15.75" customHeight="1">
      <c r="A1010" s="4">
        <f>IF(RETORNOS!A1010="","",RETORNOS!A1010)</f>
        <v>45881</v>
      </c>
      <c r="B1010" s="7">
        <f>IF(RETORNOS!B1010="","",OPTIMIZACION!$B$5*RETORNOS!B1010+OPTIMIZACION!$B$6*RETORNOS!C1010+OPTIMIZACION!$B$7*RETORNOS!D1010+OPTIMIZACION!$B$8*RETORNOS!E1010+OPTIMIZACION!$B$9*RETORNOS!F1010+OPTIMIZACION!$B$10*RETORNOS!G1010)</f>
        <v>0.002666244937</v>
      </c>
      <c r="C1010" s="7">
        <f>IF(RETORNOS!H1010="","",RETORNOS!H1010)</f>
        <v>0.004867731</v>
      </c>
      <c r="D1010" s="7">
        <f>IF(RETORNOS!I1010="","",RETORNOS!I1010)</f>
        <v>0.004304563829</v>
      </c>
      <c r="E1010" s="7">
        <f t="shared" si="2"/>
        <v>0.004586147415</v>
      </c>
      <c r="F1010" s="7">
        <f t="shared" si="3"/>
        <v>-0.002201486063</v>
      </c>
      <c r="G1010" s="7">
        <f t="shared" si="4"/>
        <v>-0.001919902477</v>
      </c>
      <c r="H1010" s="5">
        <f t="shared" ref="H1010:K1010" si="1010">IF(B1010="","",H1009*(1+B1010))</f>
        <v>307.4656826</v>
      </c>
      <c r="I1010" s="5">
        <f t="shared" si="1010"/>
        <v>201.7950396</v>
      </c>
      <c r="J1010" s="5">
        <f t="shared" si="1010"/>
        <v>144.7054701</v>
      </c>
      <c r="K1010" s="5">
        <f t="shared" si="1010"/>
        <v>177.4399393</v>
      </c>
      <c r="L1010" s="7">
        <f t="shared" si="6"/>
        <v>-0.02513207034</v>
      </c>
    </row>
    <row r="1011" ht="15.75" customHeight="1">
      <c r="A1011" s="4">
        <f>IF(RETORNOS!A1011="","",RETORNOS!A1011)</f>
        <v>45882</v>
      </c>
      <c r="B1011" s="7">
        <f>IF(RETORNOS!B1011="","",OPTIMIZACION!$B$5*RETORNOS!B1011+OPTIMIZACION!$B$6*RETORNOS!C1011+OPTIMIZACION!$B$7*RETORNOS!D1011+OPTIMIZACION!$B$8*RETORNOS!E1011+OPTIMIZACION!$B$9*RETORNOS!F1011+OPTIMIZACION!$B$10*RETORNOS!G1011)</f>
        <v>0.001786675912</v>
      </c>
      <c r="C1011" s="7">
        <f>IF(RETORNOS!H1011="","",RETORNOS!H1011)</f>
        <v>0.0115745413</v>
      </c>
      <c r="D1011" s="7">
        <f>IF(RETORNOS!I1011="","",RETORNOS!I1011)</f>
        <v>0.00220301086</v>
      </c>
      <c r="E1011" s="7">
        <f t="shared" si="2"/>
        <v>0.006888776078</v>
      </c>
      <c r="F1011" s="7">
        <f t="shared" si="3"/>
        <v>-0.009787865384</v>
      </c>
      <c r="G1011" s="7">
        <f t="shared" si="4"/>
        <v>-0.005102100166</v>
      </c>
      <c r="H1011" s="5">
        <f t="shared" ref="H1011:K1011" si="1011">IF(B1011="","",H1010*(1+B1011))</f>
        <v>308.0150241</v>
      </c>
      <c r="I1011" s="5">
        <f t="shared" si="1011"/>
        <v>204.1307247</v>
      </c>
      <c r="J1011" s="5">
        <f t="shared" si="1011"/>
        <v>145.0242578</v>
      </c>
      <c r="K1011" s="5">
        <f t="shared" si="1011"/>
        <v>178.6622833</v>
      </c>
      <c r="L1011" s="7">
        <f t="shared" si="6"/>
        <v>-0.0233902973</v>
      </c>
    </row>
    <row r="1012" ht="15.75" customHeight="1">
      <c r="A1012" s="4">
        <f>IF(RETORNOS!A1012="","",RETORNOS!A1012)</f>
        <v>45883</v>
      </c>
      <c r="B1012" s="7">
        <f>IF(RETORNOS!B1012="","",OPTIMIZACION!$B$5*RETORNOS!B1012+OPTIMIZACION!$B$6*RETORNOS!C1012+OPTIMIZACION!$B$7*RETORNOS!D1012+OPTIMIZACION!$B$8*RETORNOS!E1012+OPTIMIZACION!$B$9*RETORNOS!F1012+OPTIMIZACION!$B$10*RETORNOS!G1012)</f>
        <v>-0.009127649618</v>
      </c>
      <c r="C1012" s="7">
        <f>IF(RETORNOS!H1012="","",RETORNOS!H1012)</f>
        <v>-0.0009335160776</v>
      </c>
      <c r="D1012" s="7">
        <f>IF(RETORNOS!I1012="","",RETORNOS!I1012)</f>
        <v>-0.006937015558</v>
      </c>
      <c r="E1012" s="7">
        <f t="shared" si="2"/>
        <v>-0.003935265818</v>
      </c>
      <c r="F1012" s="7">
        <f t="shared" si="3"/>
        <v>-0.00819413354</v>
      </c>
      <c r="G1012" s="7">
        <f t="shared" si="4"/>
        <v>-0.0051923838</v>
      </c>
      <c r="H1012" s="5">
        <f t="shared" ref="H1012:K1012" si="1012">IF(B1012="","",H1011*(1+B1012))</f>
        <v>305.2035709</v>
      </c>
      <c r="I1012" s="5">
        <f t="shared" si="1012"/>
        <v>203.9401653</v>
      </c>
      <c r="J1012" s="5">
        <f t="shared" si="1012"/>
        <v>144.0182223</v>
      </c>
      <c r="K1012" s="5">
        <f t="shared" si="1012"/>
        <v>177.9591997</v>
      </c>
      <c r="L1012" s="7">
        <f t="shared" si="6"/>
        <v>-0.03230444848</v>
      </c>
    </row>
    <row r="1013" ht="15.75" customHeight="1">
      <c r="A1013" s="4">
        <f>IF(RETORNOS!A1013="","",RETORNOS!A1013)</f>
        <v>45884</v>
      </c>
      <c r="B1013" s="7">
        <f>IF(RETORNOS!B1013="","",OPTIMIZACION!$B$5*RETORNOS!B1013+OPTIMIZACION!$B$6*RETORNOS!C1013+OPTIMIZACION!$B$7*RETORNOS!D1013+OPTIMIZACION!$B$8*RETORNOS!E1013+OPTIMIZACION!$B$9*RETORNOS!F1013+OPTIMIZACION!$B$10*RETORNOS!G1013)</f>
        <v>-0.004742504605</v>
      </c>
      <c r="C1013" s="7">
        <f>IF(RETORNOS!H1013="","",RETORNOS!H1013)</f>
        <v>0</v>
      </c>
      <c r="D1013" s="7">
        <f>IF(RETORNOS!I1013="","",RETORNOS!I1013)</f>
        <v>-0.002910417262</v>
      </c>
      <c r="E1013" s="7">
        <f t="shared" si="2"/>
        <v>-0.001455208631</v>
      </c>
      <c r="F1013" s="7">
        <f t="shared" si="3"/>
        <v>-0.004742504605</v>
      </c>
      <c r="G1013" s="7">
        <f t="shared" si="4"/>
        <v>-0.003287295974</v>
      </c>
      <c r="H1013" s="5">
        <f t="shared" ref="H1013:K1013" si="1013">IF(B1013="","",H1012*(1+B1013))</f>
        <v>303.7561416</v>
      </c>
      <c r="I1013" s="5">
        <f t="shared" si="1013"/>
        <v>203.9401653</v>
      </c>
      <c r="J1013" s="5">
        <f t="shared" si="1013"/>
        <v>143.5990692</v>
      </c>
      <c r="K1013" s="5">
        <f t="shared" si="1013"/>
        <v>177.700232</v>
      </c>
      <c r="L1013" s="7">
        <f t="shared" si="6"/>
        <v>-0.03689374909</v>
      </c>
    </row>
    <row r="1014" ht="15.75" customHeight="1">
      <c r="A1014" s="4">
        <f>IF(RETORNOS!A1014="","",RETORNOS!A1014)</f>
        <v>45887</v>
      </c>
      <c r="B1014" s="7">
        <f>IF(RETORNOS!B1014="","",OPTIMIZACION!$B$5*RETORNOS!B1014+OPTIMIZACION!$B$6*RETORNOS!C1014+OPTIMIZACION!$B$7*RETORNOS!D1014+OPTIMIZACION!$B$8*RETORNOS!E1014+OPTIMIZACION!$B$9*RETORNOS!F1014+OPTIMIZACION!$B$10*RETORNOS!G1014)</f>
        <v>-0.002109023369</v>
      </c>
      <c r="C1014" s="7">
        <f>IF(RETORNOS!H1014="","",RETORNOS!H1014)</f>
        <v>-0.005960589259</v>
      </c>
      <c r="D1014" s="7">
        <f>IF(RETORNOS!I1014="","",RETORNOS!I1014)</f>
        <v>-0.004323876088</v>
      </c>
      <c r="E1014" s="7">
        <f t="shared" si="2"/>
        <v>-0.005142232674</v>
      </c>
      <c r="F1014" s="7">
        <f t="shared" si="3"/>
        <v>0.00385156589</v>
      </c>
      <c r="G1014" s="7">
        <f t="shared" si="4"/>
        <v>0.003033209304</v>
      </c>
      <c r="H1014" s="5">
        <f t="shared" ref="H1014:K1014" si="1014">IF(B1014="","",H1013*(1+B1014))</f>
        <v>303.1155128</v>
      </c>
      <c r="I1014" s="5">
        <f t="shared" si="1014"/>
        <v>202.7245618</v>
      </c>
      <c r="J1014" s="5">
        <f t="shared" si="1014"/>
        <v>142.9781646</v>
      </c>
      <c r="K1014" s="5">
        <f t="shared" si="1014"/>
        <v>176.786456</v>
      </c>
      <c r="L1014" s="7">
        <f t="shared" si="6"/>
        <v>-0.03892496268</v>
      </c>
    </row>
    <row r="1015" ht="15.75" customHeight="1">
      <c r="A1015" s="4">
        <f>IF(RETORNOS!A1015="","",RETORNOS!A1015)</f>
        <v>45888</v>
      </c>
      <c r="B1015" s="7">
        <f>IF(RETORNOS!B1015="","",OPTIMIZACION!$B$5*RETORNOS!B1015+OPTIMIZACION!$B$6*RETORNOS!C1015+OPTIMIZACION!$B$7*RETORNOS!D1015+OPTIMIZACION!$B$8*RETORNOS!E1015+OPTIMIZACION!$B$9*RETORNOS!F1015+OPTIMIZACION!$B$10*RETORNOS!G1015)</f>
        <v>-0.003855422875</v>
      </c>
      <c r="C1015" s="7">
        <f>IF(RETORNOS!H1015="","",RETORNOS!H1015)</f>
        <v>0.0003539916142</v>
      </c>
      <c r="D1015" s="7">
        <f>IF(RETORNOS!I1015="","",RETORNOS!I1015)</f>
        <v>0.009737061273</v>
      </c>
      <c r="E1015" s="7">
        <f t="shared" si="2"/>
        <v>0.005045526444</v>
      </c>
      <c r="F1015" s="7">
        <f t="shared" si="3"/>
        <v>-0.004209414489</v>
      </c>
      <c r="G1015" s="7">
        <f t="shared" si="4"/>
        <v>-0.008900949319</v>
      </c>
      <c r="H1015" s="5">
        <f t="shared" ref="H1015:K1015" si="1015">IF(B1015="","",H1014*(1+B1015))</f>
        <v>301.9468743</v>
      </c>
      <c r="I1015" s="5">
        <f t="shared" si="1015"/>
        <v>202.7963246</v>
      </c>
      <c r="J1015" s="5">
        <f t="shared" si="1015"/>
        <v>144.3703517</v>
      </c>
      <c r="K1015" s="5">
        <f t="shared" si="1015"/>
        <v>177.6784368</v>
      </c>
      <c r="L1015" s="7">
        <f t="shared" si="6"/>
        <v>-0.04263031336</v>
      </c>
    </row>
    <row r="1016" ht="15.75" customHeight="1">
      <c r="A1016" s="4">
        <f>IF(RETORNOS!A1016="","",RETORNOS!A1016)</f>
        <v>45889</v>
      </c>
      <c r="B1016" s="7">
        <f>IF(RETORNOS!B1016="","",OPTIMIZACION!$B$5*RETORNOS!B1016+OPTIMIZACION!$B$6*RETORNOS!C1016+OPTIMIZACION!$B$7*RETORNOS!D1016+OPTIMIZACION!$B$8*RETORNOS!E1016+OPTIMIZACION!$B$9*RETORNOS!F1016+OPTIMIZACION!$B$10*RETORNOS!G1016)</f>
        <v>0.00400880753</v>
      </c>
      <c r="C1016" s="7">
        <f>IF(RETORNOS!H1016="","",RETORNOS!H1016)</f>
        <v>0.008344551056</v>
      </c>
      <c r="D1016" s="7">
        <f>IF(RETORNOS!I1016="","",RETORNOS!I1016)</f>
        <v>0.001043969251</v>
      </c>
      <c r="E1016" s="7">
        <f t="shared" si="2"/>
        <v>0.004694260154</v>
      </c>
      <c r="F1016" s="7">
        <f t="shared" si="3"/>
        <v>-0.004335743526</v>
      </c>
      <c r="G1016" s="7">
        <f t="shared" si="4"/>
        <v>-0.0006854526239</v>
      </c>
      <c r="H1016" s="5">
        <f t="shared" ref="H1016:K1016" si="1016">IF(B1016="","",H1015*(1+B1016))</f>
        <v>303.1573212</v>
      </c>
      <c r="I1016" s="5">
        <f t="shared" si="1016"/>
        <v>204.4885689</v>
      </c>
      <c r="J1016" s="5">
        <f t="shared" si="1016"/>
        <v>144.5210699</v>
      </c>
      <c r="K1016" s="5">
        <f t="shared" si="1016"/>
        <v>178.5125056</v>
      </c>
      <c r="L1016" s="7">
        <f t="shared" si="6"/>
        <v>-0.03879240255</v>
      </c>
    </row>
    <row r="1017" ht="15.75" customHeight="1">
      <c r="A1017" s="4">
        <f>IF(RETORNOS!A1017="","",RETORNOS!A1017)</f>
        <v>45890</v>
      </c>
      <c r="B1017" s="7">
        <f>IF(RETORNOS!B1017="","",OPTIMIZACION!$B$5*RETORNOS!B1017+OPTIMIZACION!$B$6*RETORNOS!C1017+OPTIMIZACION!$B$7*RETORNOS!D1017+OPTIMIZACION!$B$8*RETORNOS!E1017+OPTIMIZACION!$B$9*RETORNOS!F1017+OPTIMIZACION!$B$10*RETORNOS!G1017)</f>
        <v>0.002045141065</v>
      </c>
      <c r="C1017" s="7">
        <f>IF(RETORNOS!H1017="","",RETORNOS!H1017)</f>
        <v>0.006876486447</v>
      </c>
      <c r="D1017" s="7">
        <f>IF(RETORNOS!I1017="","",RETORNOS!I1017)</f>
        <v>-0.006845816119</v>
      </c>
      <c r="E1017" s="7">
        <f t="shared" si="2"/>
        <v>0.00001533516433</v>
      </c>
      <c r="F1017" s="7">
        <f t="shared" si="3"/>
        <v>-0.004831345383</v>
      </c>
      <c r="G1017" s="7">
        <f t="shared" si="4"/>
        <v>0.0020298059</v>
      </c>
      <c r="H1017" s="5">
        <f t="shared" ref="H1017:K1017" si="1017">IF(B1017="","",H1016*(1+B1017))</f>
        <v>303.7773207</v>
      </c>
      <c r="I1017" s="5">
        <f t="shared" si="1017"/>
        <v>205.8947317</v>
      </c>
      <c r="J1017" s="5">
        <f t="shared" si="1017"/>
        <v>143.5317053</v>
      </c>
      <c r="K1017" s="5">
        <f t="shared" si="1017"/>
        <v>178.5152431</v>
      </c>
      <c r="L1017" s="7">
        <f t="shared" si="6"/>
        <v>-0.03682659742</v>
      </c>
    </row>
    <row r="1018" ht="15.75" customHeight="1">
      <c r="A1018" s="4">
        <f>IF(RETORNOS!A1018="","",RETORNOS!A1018)</f>
        <v>45891</v>
      </c>
      <c r="B1018" s="7">
        <f>IF(RETORNOS!B1018="","",OPTIMIZACION!$B$5*RETORNOS!B1018+OPTIMIZACION!$B$6*RETORNOS!C1018+OPTIMIZACION!$B$7*RETORNOS!D1018+OPTIMIZACION!$B$8*RETORNOS!E1018+OPTIMIZACION!$B$9*RETORNOS!F1018+OPTIMIZACION!$B$10*RETORNOS!G1018)</f>
        <v>0.002788950306</v>
      </c>
      <c r="C1018" s="7">
        <f>IF(RETORNOS!H1018="","",RETORNOS!H1018)</f>
        <v>0.02037317457</v>
      </c>
      <c r="D1018" s="7">
        <f>IF(RETORNOS!I1018="","",RETORNOS!I1018)</f>
        <v>0.005373604155</v>
      </c>
      <c r="E1018" s="7">
        <f t="shared" si="2"/>
        <v>0.01287338936</v>
      </c>
      <c r="F1018" s="7">
        <f t="shared" si="3"/>
        <v>-0.01758422427</v>
      </c>
      <c r="G1018" s="7">
        <f t="shared" si="4"/>
        <v>-0.01008443906</v>
      </c>
      <c r="H1018" s="5">
        <f t="shared" ref="H1018:K1018" si="1018">IF(B1018="","",H1017*(1+B1018))</f>
        <v>304.6245405</v>
      </c>
      <c r="I1018" s="5">
        <f t="shared" si="1018"/>
        <v>210.0894611</v>
      </c>
      <c r="J1018" s="5">
        <f t="shared" si="1018"/>
        <v>144.3029878</v>
      </c>
      <c r="K1018" s="5">
        <f t="shared" si="1018"/>
        <v>180.8133393</v>
      </c>
      <c r="L1018" s="7">
        <f t="shared" si="6"/>
        <v>-0.03414035467</v>
      </c>
    </row>
    <row r="1019" ht="15.75" customHeight="1">
      <c r="A1019" s="4">
        <f>IF(RETORNOS!A1019="","",RETORNOS!A1019)</f>
        <v>45894</v>
      </c>
      <c r="B1019" s="7">
        <f>IF(RETORNOS!B1019="","",OPTIMIZACION!$B$5*RETORNOS!B1019+OPTIMIZACION!$B$6*RETORNOS!C1019+OPTIMIZACION!$B$7*RETORNOS!D1019+OPTIMIZACION!$B$8*RETORNOS!E1019+OPTIMIZACION!$B$9*RETORNOS!F1019+OPTIMIZACION!$B$10*RETORNOS!G1019)</f>
        <v>-0.009308400754</v>
      </c>
      <c r="C1019" s="7">
        <f>IF(RETORNOS!H1019="","",RETORNOS!H1019)</f>
        <v>0.002610333319</v>
      </c>
      <c r="D1019" s="7">
        <f>IF(RETORNOS!I1019="","",RETORNOS!I1019)</f>
        <v>-0.01127211513</v>
      </c>
      <c r="E1019" s="7">
        <f t="shared" si="2"/>
        <v>-0.004330890906</v>
      </c>
      <c r="F1019" s="7">
        <f t="shared" si="3"/>
        <v>-0.01191873407</v>
      </c>
      <c r="G1019" s="7">
        <f t="shared" si="4"/>
        <v>-0.004977509849</v>
      </c>
      <c r="H1019" s="5">
        <f t="shared" ref="H1019:K1019" si="1019">IF(B1019="","",H1018*(1+B1019))</f>
        <v>301.7889732</v>
      </c>
      <c r="I1019" s="5">
        <f t="shared" si="1019"/>
        <v>210.6378646</v>
      </c>
      <c r="J1019" s="5">
        <f t="shared" si="1019"/>
        <v>142.6763879</v>
      </c>
      <c r="K1019" s="5">
        <f t="shared" si="1019"/>
        <v>180.0302565</v>
      </c>
      <c r="L1019" s="7">
        <f t="shared" si="6"/>
        <v>-0.04313096332</v>
      </c>
    </row>
    <row r="1020" ht="15.75" customHeight="1">
      <c r="A1020" s="4">
        <f>IF(RETORNOS!A1020="","",RETORNOS!A1020)</f>
        <v>45895</v>
      </c>
      <c r="B1020" s="7">
        <f>IF(RETORNOS!B1020="","",OPTIMIZACION!$B$5*RETORNOS!B1020+OPTIMIZACION!$B$6*RETORNOS!C1020+OPTIMIZACION!$B$7*RETORNOS!D1020+OPTIMIZACION!$B$8*RETORNOS!E1020+OPTIMIZACION!$B$9*RETORNOS!F1020+OPTIMIZACION!$B$10*RETORNOS!G1020)</f>
        <v>0.006877667065</v>
      </c>
      <c r="C1020" s="7">
        <f>IF(RETORNOS!H1020="","",RETORNOS!H1020)</f>
        <v>-0.001583760926</v>
      </c>
      <c r="D1020" s="7">
        <f>IF(RETORNOS!I1020="","",RETORNOS!I1020)</f>
        <v>0.002231956563</v>
      </c>
      <c r="E1020" s="7">
        <f t="shared" si="2"/>
        <v>0.0003240978185</v>
      </c>
      <c r="F1020" s="7">
        <f t="shared" si="3"/>
        <v>0.00846142799</v>
      </c>
      <c r="G1020" s="7">
        <f t="shared" si="4"/>
        <v>0.006553569246</v>
      </c>
      <c r="H1020" s="5">
        <f t="shared" ref="H1020:K1020" si="1020">IF(B1020="","",H1019*(1+B1020))</f>
        <v>303.8645773</v>
      </c>
      <c r="I1020" s="5">
        <f t="shared" si="1020"/>
        <v>210.3042646</v>
      </c>
      <c r="J1020" s="5">
        <f t="shared" si="1020"/>
        <v>142.9948354</v>
      </c>
      <c r="K1020" s="5">
        <f t="shared" si="1020"/>
        <v>180.0886039</v>
      </c>
      <c r="L1020" s="7">
        <f t="shared" si="6"/>
        <v>-0.03654993666</v>
      </c>
    </row>
    <row r="1021" ht="15.75" customHeight="1">
      <c r="A1021" s="4">
        <f>IF(RETORNOS!A1021="","",RETORNOS!A1021)</f>
        <v>45896</v>
      </c>
      <c r="B1021" s="7">
        <f>IF(RETORNOS!B1021="","",OPTIMIZACION!$B$5*RETORNOS!B1021+OPTIMIZACION!$B$6*RETORNOS!C1021+OPTIMIZACION!$B$7*RETORNOS!D1021+OPTIMIZACION!$B$8*RETORNOS!E1021+OPTIMIZACION!$B$9*RETORNOS!F1021+OPTIMIZACION!$B$10*RETORNOS!G1021)</f>
        <v>0.002883334292</v>
      </c>
      <c r="C1021" s="7">
        <f>IF(RETORNOS!H1021="","",RETORNOS!H1021)</f>
        <v>0.01121919391</v>
      </c>
      <c r="D1021" s="7">
        <f>IF(RETORNOS!I1021="","",RETORNOS!I1021)</f>
        <v>0.000235546599</v>
      </c>
      <c r="E1021" s="7">
        <f t="shared" si="2"/>
        <v>0.005727370252</v>
      </c>
      <c r="F1021" s="7">
        <f t="shared" si="3"/>
        <v>-0.008335859614</v>
      </c>
      <c r="G1021" s="7">
        <f t="shared" si="4"/>
        <v>-0.002844035961</v>
      </c>
      <c r="H1021" s="5">
        <f t="shared" ref="H1021:K1021" si="1021">IF(B1021="","",H1020*(1+B1021))</f>
        <v>304.7407205</v>
      </c>
      <c r="I1021" s="5">
        <f t="shared" si="1021"/>
        <v>212.6637089</v>
      </c>
      <c r="J1021" s="5">
        <f t="shared" si="1021"/>
        <v>143.0285174</v>
      </c>
      <c r="K1021" s="5">
        <f t="shared" si="1021"/>
        <v>181.120038</v>
      </c>
      <c r="L1021" s="7">
        <f t="shared" si="6"/>
        <v>-0.03377198805</v>
      </c>
    </row>
    <row r="1022" ht="15.75" customHeight="1">
      <c r="A1022" s="4">
        <f>IF(RETORNOS!A1022="","",RETORNOS!A1022)</f>
        <v>45897</v>
      </c>
      <c r="B1022" s="7">
        <f>IF(RETORNOS!B1022="","",OPTIMIZACION!$B$5*RETORNOS!B1022+OPTIMIZACION!$B$6*RETORNOS!C1022+OPTIMIZACION!$B$7*RETORNOS!D1022+OPTIMIZACION!$B$8*RETORNOS!E1022+OPTIMIZACION!$B$9*RETORNOS!F1022+OPTIMIZACION!$B$10*RETORNOS!G1022)</f>
        <v>0.004232697148</v>
      </c>
      <c r="C1022" s="7">
        <f>IF(RETORNOS!H1022="","",RETORNOS!H1022)</f>
        <v>0.007624484994</v>
      </c>
      <c r="D1022" s="7">
        <f>IF(RETORNOS!I1022="","",RETORNOS!I1022)</f>
        <v>-0.007621349293</v>
      </c>
      <c r="E1022" s="7">
        <f t="shared" si="2"/>
        <v>0.000001567850521</v>
      </c>
      <c r="F1022" s="7">
        <f t="shared" si="3"/>
        <v>-0.003391787846</v>
      </c>
      <c r="G1022" s="7">
        <f t="shared" si="4"/>
        <v>0.004231129298</v>
      </c>
      <c r="H1022" s="5">
        <f t="shared" ref="H1022:K1022" si="1022">IF(B1022="","",H1021*(1+B1022))</f>
        <v>306.0305956</v>
      </c>
      <c r="I1022" s="5">
        <f t="shared" si="1022"/>
        <v>214.2851601</v>
      </c>
      <c r="J1022" s="5">
        <f t="shared" si="1022"/>
        <v>141.9384471</v>
      </c>
      <c r="K1022" s="5">
        <f t="shared" si="1022"/>
        <v>181.120322</v>
      </c>
      <c r="L1022" s="7">
        <f t="shared" si="6"/>
        <v>-0.0296822375</v>
      </c>
    </row>
    <row r="1023" ht="15.75" customHeight="1">
      <c r="A1023" s="4">
        <f>IF(RETORNOS!A1023="","",RETORNOS!A1023)</f>
        <v>45898</v>
      </c>
      <c r="B1023" s="7">
        <f>IF(RETORNOS!B1023="","",OPTIMIZACION!$B$5*RETORNOS!B1023+OPTIMIZACION!$B$6*RETORNOS!C1023+OPTIMIZACION!$B$7*RETORNOS!D1023+OPTIMIZACION!$B$8*RETORNOS!E1023+OPTIMIZACION!$B$9*RETORNOS!F1023+OPTIMIZACION!$B$10*RETORNOS!G1023)</f>
        <v>-0.004981165732</v>
      </c>
      <c r="C1023" s="7">
        <f>IF(RETORNOS!H1023="","",RETORNOS!H1023)</f>
        <v>0.005448814408</v>
      </c>
      <c r="D1023" s="7">
        <f>IF(RETORNOS!I1023="","",RETORNOS!I1023)</f>
        <v>-0.003662564658</v>
      </c>
      <c r="E1023" s="7">
        <f t="shared" si="2"/>
        <v>0.0008931248748</v>
      </c>
      <c r="F1023" s="7">
        <f t="shared" si="3"/>
        <v>-0.01042998014</v>
      </c>
      <c r="G1023" s="7">
        <f t="shared" si="4"/>
        <v>-0.005874290607</v>
      </c>
      <c r="H1023" s="5">
        <f t="shared" ref="H1023:K1023" si="1023">IF(B1023="","",H1022*(1+B1023))</f>
        <v>304.5062065</v>
      </c>
      <c r="I1023" s="5">
        <f t="shared" si="1023"/>
        <v>215.4527602</v>
      </c>
      <c r="J1023" s="5">
        <f t="shared" si="1023"/>
        <v>141.4185884</v>
      </c>
      <c r="K1023" s="5">
        <f t="shared" si="1023"/>
        <v>181.282085</v>
      </c>
      <c r="L1023" s="7">
        <f t="shared" si="6"/>
        <v>-0.03451555109</v>
      </c>
    </row>
    <row r="1024" ht="15.75" customHeight="1">
      <c r="A1024" s="4">
        <f>IF(RETORNOS!A1024="","",RETORNOS!A1024)</f>
        <v>45902</v>
      </c>
      <c r="B1024" s="7">
        <f>IF(RETORNOS!B1024="","",OPTIMIZACION!$B$5*RETORNOS!B1024+OPTIMIZACION!$B$6*RETORNOS!C1024+OPTIMIZACION!$B$7*RETORNOS!D1024+OPTIMIZACION!$B$8*RETORNOS!E1024+OPTIMIZACION!$B$9*RETORNOS!F1024+OPTIMIZACION!$B$10*RETORNOS!G1024)</f>
        <v>-0.005005724666</v>
      </c>
      <c r="C1024" s="7">
        <f>IF(RETORNOS!H1024="","",RETORNOS!H1024)</f>
        <v>0.001440341721</v>
      </c>
      <c r="D1024" s="7">
        <f>IF(RETORNOS!I1024="","",RETORNOS!I1024)</f>
        <v>-0.003319973248</v>
      </c>
      <c r="E1024" s="7">
        <f t="shared" si="2"/>
        <v>-0.0009398157633</v>
      </c>
      <c r="F1024" s="7">
        <f t="shared" si="3"/>
        <v>-0.006446066387</v>
      </c>
      <c r="G1024" s="7">
        <f t="shared" si="4"/>
        <v>-0.004065908903</v>
      </c>
      <c r="H1024" s="5">
        <f t="shared" ref="H1024:K1024" si="1024">IF(B1024="","",H1023*(1+B1024))</f>
        <v>302.9819323</v>
      </c>
      <c r="I1024" s="5">
        <f t="shared" si="1024"/>
        <v>215.7630858</v>
      </c>
      <c r="J1024" s="5">
        <f t="shared" si="1024"/>
        <v>140.9490824</v>
      </c>
      <c r="K1024" s="5">
        <f t="shared" si="1024"/>
        <v>181.1117133</v>
      </c>
      <c r="L1024" s="7">
        <f t="shared" si="6"/>
        <v>-0.03934850041</v>
      </c>
    </row>
    <row r="1025" ht="15.75" customHeight="1">
      <c r="A1025" s="4">
        <f>IF(RETORNOS!A1025="","",RETORNOS!A1025)</f>
        <v>45903</v>
      </c>
      <c r="B1025" s="7">
        <f>IF(RETORNOS!B1025="","",OPTIMIZACION!$B$5*RETORNOS!B1025+OPTIMIZACION!$B$6*RETORNOS!C1025+OPTIMIZACION!$B$7*RETORNOS!D1025+OPTIMIZACION!$B$8*RETORNOS!E1025+OPTIMIZACION!$B$9*RETORNOS!F1025+OPTIMIZACION!$B$10*RETORNOS!G1025)</f>
        <v>-0.007717158501</v>
      </c>
      <c r="C1025" s="7">
        <f>IF(RETORNOS!H1025="","",RETORNOS!H1025)</f>
        <v>-0.0224257774</v>
      </c>
      <c r="D1025" s="7">
        <f>IF(RETORNOS!I1025="","",RETORNOS!I1025)</f>
        <v>-0.002500687931</v>
      </c>
      <c r="E1025" s="7">
        <f t="shared" si="2"/>
        <v>-0.01246323266</v>
      </c>
      <c r="F1025" s="7">
        <f t="shared" si="3"/>
        <v>0.01470861889</v>
      </c>
      <c r="G1025" s="7">
        <f t="shared" si="4"/>
        <v>0.004746074162</v>
      </c>
      <c r="H1025" s="5">
        <f t="shared" ref="H1025:K1025" si="1025">IF(B1025="","",H1024*(1+B1025))</f>
        <v>300.6437727</v>
      </c>
      <c r="I1025" s="5">
        <f t="shared" si="1025"/>
        <v>210.9244309</v>
      </c>
      <c r="J1025" s="5">
        <f t="shared" si="1025"/>
        <v>140.5966128</v>
      </c>
      <c r="K1025" s="5">
        <f t="shared" si="1025"/>
        <v>178.8544759</v>
      </c>
      <c r="L1025" s="7">
        <f t="shared" si="6"/>
        <v>-0.0467620003</v>
      </c>
    </row>
    <row r="1026" ht="15.75" customHeight="1">
      <c r="A1026" s="4">
        <f>IF(RETORNOS!A1026="","",RETORNOS!A1026)</f>
        <v>45904</v>
      </c>
      <c r="B1026" s="7">
        <f>IF(RETORNOS!B1026="","",OPTIMIZACION!$B$5*RETORNOS!B1026+OPTIMIZACION!$B$6*RETORNOS!C1026+OPTIMIZACION!$B$7*RETORNOS!D1026+OPTIMIZACION!$B$8*RETORNOS!E1026+OPTIMIZACION!$B$9*RETORNOS!F1026+OPTIMIZACION!$B$10*RETORNOS!G1026)</f>
        <v>0.007826200888</v>
      </c>
      <c r="C1026" s="7">
        <f>IF(RETORNOS!H1026="","",RETORNOS!H1026)</f>
        <v>0.006664367816</v>
      </c>
      <c r="D1026" s="7">
        <f>IF(RETORNOS!I1026="","",RETORNOS!I1026)</f>
        <v>-0.001190562613</v>
      </c>
      <c r="E1026" s="7">
        <f t="shared" si="2"/>
        <v>0.002736902601</v>
      </c>
      <c r="F1026" s="7">
        <f t="shared" si="3"/>
        <v>0.001161833072</v>
      </c>
      <c r="G1026" s="7">
        <f t="shared" si="4"/>
        <v>0.005089298287</v>
      </c>
      <c r="H1026" s="5">
        <f t="shared" ref="H1026:K1026" si="1026">IF(B1026="","",H1025*(1+B1026))</f>
        <v>302.9966713</v>
      </c>
      <c r="I1026" s="5">
        <f t="shared" si="1026"/>
        <v>212.3301089</v>
      </c>
      <c r="J1026" s="5">
        <f t="shared" si="1026"/>
        <v>140.4292237</v>
      </c>
      <c r="K1026" s="5">
        <f t="shared" si="1026"/>
        <v>179.3439831</v>
      </c>
      <c r="L1026" s="7">
        <f t="shared" si="6"/>
        <v>-0.03930176822</v>
      </c>
    </row>
    <row r="1027" ht="15.75" customHeight="1">
      <c r="A1027" s="4">
        <f>IF(RETORNOS!A1027="","",RETORNOS!A1027)</f>
        <v>45905</v>
      </c>
      <c r="B1027" s="7">
        <f>IF(RETORNOS!B1027="","",OPTIMIZACION!$B$5*RETORNOS!B1027+OPTIMIZACION!$B$6*RETORNOS!C1027+OPTIMIZACION!$B$7*RETORNOS!D1027+OPTIMIZACION!$B$8*RETORNOS!E1027+OPTIMIZACION!$B$9*RETORNOS!F1027+OPTIMIZACION!$B$10*RETORNOS!G1027)</f>
        <v>-0.009262289808</v>
      </c>
      <c r="C1027" s="7">
        <f>IF(RETORNOS!H1027="","",RETORNOS!H1027)</f>
        <v>-0.01930582166</v>
      </c>
      <c r="D1027" s="7">
        <f>IF(RETORNOS!I1027="","",RETORNOS!I1027)</f>
        <v>-0.003108358893</v>
      </c>
      <c r="E1027" s="7">
        <f t="shared" si="2"/>
        <v>-0.01120709028</v>
      </c>
      <c r="F1027" s="7">
        <f t="shared" si="3"/>
        <v>0.01004353185</v>
      </c>
      <c r="G1027" s="7">
        <f t="shared" si="4"/>
        <v>0.00194480047</v>
      </c>
      <c r="H1027" s="5">
        <f t="shared" ref="H1027:K1027" si="1027">IF(B1027="","",H1026*(1+B1027))</f>
        <v>300.1902283</v>
      </c>
      <c r="I1027" s="5">
        <f t="shared" si="1027"/>
        <v>208.2309016</v>
      </c>
      <c r="J1027" s="5">
        <f t="shared" si="1027"/>
        <v>139.9927193</v>
      </c>
      <c r="K1027" s="5">
        <f t="shared" si="1027"/>
        <v>177.3340589</v>
      </c>
      <c r="L1027" s="7">
        <f t="shared" si="6"/>
        <v>-0.04820003366</v>
      </c>
    </row>
    <row r="1028" ht="15.75" customHeight="1">
      <c r="A1028" s="4">
        <f>IF(RETORNOS!A1028="","",RETORNOS!A1028)</f>
        <v>45908</v>
      </c>
      <c r="B1028" s="7">
        <f>IF(RETORNOS!B1028="","",OPTIMIZACION!$B$5*RETORNOS!B1028+OPTIMIZACION!$B$6*RETORNOS!C1028+OPTIMIZACION!$B$7*RETORNOS!D1028+OPTIMIZACION!$B$8*RETORNOS!E1028+OPTIMIZACION!$B$9*RETORNOS!F1028+OPTIMIZACION!$B$10*RETORNOS!G1028)</f>
        <v>-0.01759754807</v>
      </c>
      <c r="C1028" s="7">
        <f>IF(RETORNOS!H1028="","",RETORNOS!H1028)</f>
        <v>-0.002291329507</v>
      </c>
      <c r="D1028" s="7">
        <f>IF(RETORNOS!I1028="","",RETORNOS!I1028)</f>
        <v>-0.01018044839</v>
      </c>
      <c r="E1028" s="7">
        <f t="shared" si="2"/>
        <v>-0.006235888947</v>
      </c>
      <c r="F1028" s="7">
        <f t="shared" si="3"/>
        <v>-0.01530621856</v>
      </c>
      <c r="G1028" s="7">
        <f t="shared" si="4"/>
        <v>-0.01136165912</v>
      </c>
      <c r="H1028" s="5">
        <f t="shared" ref="H1028:K1028" si="1028">IF(B1028="","",H1027*(1+B1028))</f>
        <v>294.9076163</v>
      </c>
      <c r="I1028" s="5">
        <f t="shared" si="1028"/>
        <v>207.753776</v>
      </c>
      <c r="J1028" s="5">
        <f t="shared" si="1028"/>
        <v>138.5675306</v>
      </c>
      <c r="K1028" s="5">
        <f t="shared" si="1028"/>
        <v>176.2282234</v>
      </c>
      <c r="L1028" s="7">
        <f t="shared" si="6"/>
        <v>-0.06494937931</v>
      </c>
    </row>
    <row r="1029" ht="15.75" customHeight="1">
      <c r="A1029" s="4">
        <f>IF(RETORNOS!A1029="","",RETORNOS!A1029)</f>
        <v>45909</v>
      </c>
      <c r="B1029" s="7">
        <f>IF(RETORNOS!B1029="","",OPTIMIZACION!$B$5*RETORNOS!B1029+OPTIMIZACION!$B$6*RETORNOS!C1029+OPTIMIZACION!$B$7*RETORNOS!D1029+OPTIMIZACION!$B$8*RETORNOS!E1029+OPTIMIZACION!$B$9*RETORNOS!F1029+OPTIMIZACION!$B$10*RETORNOS!G1029)</f>
        <v>0.01090495124</v>
      </c>
      <c r="C1029" s="7">
        <f>IF(RETORNOS!H1029="","",RETORNOS!H1029)</f>
        <v>0.004819575177</v>
      </c>
      <c r="D1029" s="7">
        <f>IF(RETORNOS!I1029="","",RETORNOS!I1029)</f>
        <v>0.006899328727</v>
      </c>
      <c r="E1029" s="7">
        <f t="shared" si="2"/>
        <v>0.005859451952</v>
      </c>
      <c r="F1029" s="7">
        <f t="shared" si="3"/>
        <v>0.006085376059</v>
      </c>
      <c r="G1029" s="7">
        <f t="shared" si="4"/>
        <v>0.005045499284</v>
      </c>
      <c r="H1029" s="5">
        <f t="shared" ref="H1029:K1029" si="1029">IF(B1029="","",H1028*(1+B1029))</f>
        <v>298.1235695</v>
      </c>
      <c r="I1029" s="5">
        <f t="shared" si="1029"/>
        <v>208.755061</v>
      </c>
      <c r="J1029" s="5">
        <f t="shared" si="1029"/>
        <v>139.5235535</v>
      </c>
      <c r="K1029" s="5">
        <f t="shared" si="1029"/>
        <v>177.2608242</v>
      </c>
      <c r="L1029" s="7">
        <f t="shared" si="6"/>
        <v>-0.05475269789</v>
      </c>
    </row>
    <row r="1030" ht="15.75" customHeight="1">
      <c r="A1030" s="4">
        <f>IF(RETORNOS!A1030="","",RETORNOS!A1030)</f>
        <v>45910</v>
      </c>
      <c r="B1030" s="7">
        <f>IF(RETORNOS!B1030="","",OPTIMIZACION!$B$5*RETORNOS!B1030+OPTIMIZACION!$B$6*RETORNOS!C1030+OPTIMIZACION!$B$7*RETORNOS!D1030+OPTIMIZACION!$B$8*RETORNOS!E1030+OPTIMIZACION!$B$9*RETORNOS!F1030+OPTIMIZACION!$B$10*RETORNOS!G1030)</f>
        <v>0.02800816103</v>
      </c>
      <c r="C1030" s="7">
        <f>IF(RETORNOS!H1030="","",RETORNOS!H1030)</f>
        <v>0.01747165096</v>
      </c>
      <c r="D1030" s="7">
        <f>IF(RETORNOS!I1030="","",RETORNOS!I1030)</f>
        <v>0.01718865827</v>
      </c>
      <c r="E1030" s="7">
        <f t="shared" si="2"/>
        <v>0.01733015461</v>
      </c>
      <c r="F1030" s="7">
        <f t="shared" si="3"/>
        <v>0.01053651007</v>
      </c>
      <c r="G1030" s="7">
        <f t="shared" si="4"/>
        <v>0.01067800642</v>
      </c>
      <c r="H1030" s="5">
        <f t="shared" ref="H1030:K1030" si="1030">IF(B1030="","",H1029*(1+B1030))</f>
        <v>306.4734624</v>
      </c>
      <c r="I1030" s="5">
        <f t="shared" si="1030"/>
        <v>212.4023565</v>
      </c>
      <c r="J1030" s="5">
        <f t="shared" si="1030"/>
        <v>141.9217762</v>
      </c>
      <c r="K1030" s="5">
        <f t="shared" si="1030"/>
        <v>180.3327817</v>
      </c>
      <c r="L1030" s="7">
        <f t="shared" si="6"/>
        <v>-0.02827805924</v>
      </c>
    </row>
    <row r="1031" ht="15.75" customHeight="1">
      <c r="A1031" s="4">
        <f>IF(RETORNOS!A1031="","",RETORNOS!A1031)</f>
        <v>45911</v>
      </c>
      <c r="B1031" s="7">
        <f>IF(RETORNOS!B1031="","",OPTIMIZACION!$B$5*RETORNOS!B1031+OPTIMIZACION!$B$6*RETORNOS!C1031+OPTIMIZACION!$B$7*RETORNOS!D1031+OPTIMIZACION!$B$8*RETORNOS!E1031+OPTIMIZACION!$B$9*RETORNOS!F1031+OPTIMIZACION!$B$10*RETORNOS!G1031)</f>
        <v>-0.001905316174</v>
      </c>
      <c r="C1031" s="7">
        <f>IF(RETORNOS!H1031="","",RETORNOS!H1031)</f>
        <v>0.0002214369202</v>
      </c>
      <c r="D1031" s="7">
        <f>IF(RETORNOS!I1031="","",RETORNOS!I1031)</f>
        <v>0.005317095974</v>
      </c>
      <c r="E1031" s="7">
        <f t="shared" si="2"/>
        <v>0.002769266447</v>
      </c>
      <c r="F1031" s="7">
        <f t="shared" si="3"/>
        <v>-0.002126753094</v>
      </c>
      <c r="G1031" s="7">
        <f t="shared" si="4"/>
        <v>-0.004674582621</v>
      </c>
      <c r="H1031" s="5">
        <f t="shared" ref="H1031:K1031" si="1031">IF(B1031="","",H1030*(1+B1031))</f>
        <v>305.8895336</v>
      </c>
      <c r="I1031" s="5">
        <f t="shared" si="1031"/>
        <v>212.4493903</v>
      </c>
      <c r="J1031" s="5">
        <f t="shared" si="1031"/>
        <v>142.6763879</v>
      </c>
      <c r="K1031" s="5">
        <f t="shared" si="1031"/>
        <v>180.8321713</v>
      </c>
      <c r="L1031" s="7">
        <f t="shared" si="6"/>
        <v>-0.03012949677</v>
      </c>
    </row>
    <row r="1032" ht="15.75" customHeight="1">
      <c r="A1032" s="4">
        <f>IF(RETORNOS!A1032="","",RETORNOS!A1032)</f>
        <v>45912</v>
      </c>
      <c r="B1032" s="7">
        <f>IF(RETORNOS!B1032="","",OPTIMIZACION!$B$5*RETORNOS!B1032+OPTIMIZACION!$B$6*RETORNOS!C1032+OPTIMIZACION!$B$7*RETORNOS!D1032+OPTIMIZACION!$B$8*RETORNOS!E1032+OPTIMIZACION!$B$9*RETORNOS!F1032+OPTIMIZACION!$B$10*RETORNOS!G1032)</f>
        <v>-0.0009148169076</v>
      </c>
      <c r="C1032" s="7">
        <f>IF(RETORNOS!H1032="","",RETORNOS!H1032)</f>
        <v>-0.005945520319</v>
      </c>
      <c r="D1032" s="7">
        <f>IF(RETORNOS!I1032="","",RETORNOS!I1032)</f>
        <v>0.005052901663</v>
      </c>
      <c r="E1032" s="7">
        <f t="shared" si="2"/>
        <v>-0.0004463093279</v>
      </c>
      <c r="F1032" s="7">
        <f t="shared" si="3"/>
        <v>0.005030703411</v>
      </c>
      <c r="G1032" s="7">
        <f t="shared" si="4"/>
        <v>-0.0004685075797</v>
      </c>
      <c r="H1032" s="5">
        <f t="shared" ref="H1032:K1032" si="1032">IF(B1032="","",H1031*(1+B1032))</f>
        <v>305.6097007</v>
      </c>
      <c r="I1032" s="5">
        <f t="shared" si="1032"/>
        <v>211.1862681</v>
      </c>
      <c r="J1032" s="5">
        <f t="shared" si="1032"/>
        <v>143.3973177</v>
      </c>
      <c r="K1032" s="5">
        <f t="shared" si="1032"/>
        <v>180.7514642</v>
      </c>
      <c r="L1032" s="7">
        <f t="shared" si="6"/>
        <v>-0.03101675071</v>
      </c>
    </row>
    <row r="1033" ht="15.75" customHeight="1">
      <c r="A1033" s="4">
        <f>IF(RETORNOS!A1033="","",RETORNOS!A1033)</f>
        <v>45915</v>
      </c>
      <c r="B1033" s="7">
        <f>IF(RETORNOS!B1033="","",OPTIMIZACION!$B$5*RETORNOS!B1033+OPTIMIZACION!$B$6*RETORNOS!C1033+OPTIMIZACION!$B$7*RETORNOS!D1033+OPTIMIZACION!$B$8*RETORNOS!E1033+OPTIMIZACION!$B$9*RETORNOS!F1033+OPTIMIZACION!$B$10*RETORNOS!G1033)</f>
        <v>0.002072348184</v>
      </c>
      <c r="C1033" s="7">
        <f>IF(RETORNOS!H1033="","",RETORNOS!H1033)</f>
        <v>-0.003384304541</v>
      </c>
      <c r="D1033" s="7">
        <f>IF(RETORNOS!I1033="","",RETORNOS!I1033)</f>
        <v>0.002341737014</v>
      </c>
      <c r="E1033" s="7">
        <f t="shared" si="2"/>
        <v>-0.0005212837639</v>
      </c>
      <c r="F1033" s="7">
        <f t="shared" si="3"/>
        <v>0.005456652725</v>
      </c>
      <c r="G1033" s="7">
        <f t="shared" si="4"/>
        <v>0.002593631948</v>
      </c>
      <c r="H1033" s="5">
        <f t="shared" ref="H1033:K1033" si="1033">IF(B1033="","",H1032*(1+B1033))</f>
        <v>306.2430304</v>
      </c>
      <c r="I1033" s="5">
        <f t="shared" si="1033"/>
        <v>210.4715494</v>
      </c>
      <c r="J1033" s="5">
        <f t="shared" si="1033"/>
        <v>143.7331165</v>
      </c>
      <c r="K1033" s="5">
        <f t="shared" si="1033"/>
        <v>180.6572414</v>
      </c>
      <c r="L1033" s="7">
        <f t="shared" si="6"/>
        <v>-0.02900868003</v>
      </c>
    </row>
    <row r="1034" ht="15.75" customHeight="1">
      <c r="A1034" s="4">
        <f>IF(RETORNOS!A1034="","",RETORNOS!A1034)</f>
        <v>45916</v>
      </c>
      <c r="B1034" s="7">
        <f>IF(RETORNOS!B1034="","",OPTIMIZACION!$B$5*RETORNOS!B1034+OPTIMIZACION!$B$6*RETORNOS!C1034+OPTIMIZACION!$B$7*RETORNOS!D1034+OPTIMIZACION!$B$8*RETORNOS!E1034+OPTIMIZACION!$B$9*RETORNOS!F1034+OPTIMIZACION!$B$10*RETORNOS!G1034)</f>
        <v>0.001898993039</v>
      </c>
      <c r="C1034" s="7">
        <f>IF(RETORNOS!H1034="","",RETORNOS!H1034)</f>
        <v>0.01676012404</v>
      </c>
      <c r="D1034" s="7">
        <f>IF(RETORNOS!I1034="","",RETORNOS!I1034)</f>
        <v>-0.01820488604</v>
      </c>
      <c r="E1034" s="7">
        <f t="shared" si="2"/>
        <v>-0.0007223810013</v>
      </c>
      <c r="F1034" s="7">
        <f t="shared" si="3"/>
        <v>-0.014861131</v>
      </c>
      <c r="G1034" s="7">
        <f t="shared" si="4"/>
        <v>0.00262137404</v>
      </c>
      <c r="H1034" s="5">
        <f t="shared" ref="H1034:K1034" si="1034">IF(B1034="","",H1033*(1+B1034))</f>
        <v>306.8245837</v>
      </c>
      <c r="I1034" s="5">
        <f t="shared" si="1034"/>
        <v>213.9990787</v>
      </c>
      <c r="J1034" s="5">
        <f t="shared" si="1034"/>
        <v>141.1164715</v>
      </c>
      <c r="K1034" s="5">
        <f t="shared" si="1034"/>
        <v>180.526738</v>
      </c>
      <c r="L1034" s="7">
        <f t="shared" si="6"/>
        <v>-0.02716477427</v>
      </c>
    </row>
    <row r="1035" ht="15.75" customHeight="1">
      <c r="A1035" s="4">
        <f>IF(RETORNOS!A1035="","",RETORNOS!A1035)</f>
        <v>45917</v>
      </c>
      <c r="B1035" s="7">
        <f>IF(RETORNOS!B1035="","",OPTIMIZACION!$B$5*RETORNOS!B1035+OPTIMIZACION!$B$6*RETORNOS!C1035+OPTIMIZACION!$B$7*RETORNOS!D1035+OPTIMIZACION!$B$8*RETORNOS!E1035+OPTIMIZACION!$B$9*RETORNOS!F1035+OPTIMIZACION!$B$10*RETORNOS!G1035)</f>
        <v>0.001418411929</v>
      </c>
      <c r="C1035" s="7">
        <f>IF(RETORNOS!H1035="","",RETORNOS!H1035)</f>
        <v>0.00233832796</v>
      </c>
      <c r="D1035" s="7">
        <f>IF(RETORNOS!I1035="","",RETORNOS!I1035)</f>
        <v>0.002497721673</v>
      </c>
      <c r="E1035" s="7">
        <f t="shared" si="2"/>
        <v>0.002418024816</v>
      </c>
      <c r="F1035" s="7">
        <f t="shared" si="3"/>
        <v>-0.0009199160309</v>
      </c>
      <c r="G1035" s="7">
        <f t="shared" si="4"/>
        <v>-0.0009996128875</v>
      </c>
      <c r="H1035" s="5">
        <f t="shared" ref="H1035:K1035" si="1035">IF(B1035="","",H1034*(1+B1035))</f>
        <v>307.2597874</v>
      </c>
      <c r="I1035" s="5">
        <f t="shared" si="1035"/>
        <v>214.4994787</v>
      </c>
      <c r="J1035" s="5">
        <f t="shared" si="1035"/>
        <v>141.4689412</v>
      </c>
      <c r="K1035" s="5">
        <f t="shared" si="1035"/>
        <v>180.9632561</v>
      </c>
      <c r="L1035" s="7">
        <f t="shared" si="6"/>
        <v>-0.02578489318</v>
      </c>
    </row>
    <row r="1036" ht="15.75" customHeight="1">
      <c r="A1036" s="4">
        <f>IF(RETORNOS!A1036="","",RETORNOS!A1036)</f>
        <v>45918</v>
      </c>
      <c r="B1036" s="7">
        <f>IF(RETORNOS!B1036="","",OPTIMIZACION!$B$5*RETORNOS!B1036+OPTIMIZACION!$B$6*RETORNOS!C1036+OPTIMIZACION!$B$7*RETORNOS!D1036+OPTIMIZACION!$B$8*RETORNOS!E1036+OPTIMIZACION!$B$9*RETORNOS!F1036+OPTIMIZACION!$B$10*RETORNOS!G1036)</f>
        <v>-0.006152900831</v>
      </c>
      <c r="C1036" s="7">
        <f>IF(RETORNOS!H1036="","",RETORNOS!H1036)</f>
        <v>-0.00311049725</v>
      </c>
      <c r="D1036" s="7">
        <f>IF(RETORNOS!I1036="","",RETORNOS!I1036)</f>
        <v>0.0007118567436</v>
      </c>
      <c r="E1036" s="7">
        <f t="shared" si="2"/>
        <v>-0.001199320253</v>
      </c>
      <c r="F1036" s="7">
        <f t="shared" si="3"/>
        <v>-0.003042403581</v>
      </c>
      <c r="G1036" s="7">
        <f t="shared" si="4"/>
        <v>-0.004953580578</v>
      </c>
      <c r="H1036" s="5">
        <f t="shared" ref="H1036:K1036" si="1036">IF(B1036="","",H1035*(1+B1036))</f>
        <v>305.3692484</v>
      </c>
      <c r="I1036" s="5">
        <f t="shared" si="1036"/>
        <v>213.8322787</v>
      </c>
      <c r="J1036" s="5">
        <f t="shared" si="1036"/>
        <v>141.5696468</v>
      </c>
      <c r="K1036" s="5">
        <f t="shared" si="1036"/>
        <v>180.7462232</v>
      </c>
      <c r="L1036" s="7">
        <f t="shared" si="6"/>
        <v>-0.03177914212</v>
      </c>
    </row>
    <row r="1037" ht="15.75" customHeight="1">
      <c r="A1037" s="4">
        <f>IF(RETORNOS!A1037="","",RETORNOS!A1037)</f>
        <v>45919</v>
      </c>
      <c r="B1037" s="7">
        <f>IF(RETORNOS!B1037="","",OPTIMIZACION!$B$5*RETORNOS!B1037+OPTIMIZACION!$B$6*RETORNOS!C1037+OPTIMIZACION!$B$7*RETORNOS!D1037+OPTIMIZACION!$B$8*RETORNOS!E1037+OPTIMIZACION!$B$9*RETORNOS!F1037+OPTIMIZACION!$B$10*RETORNOS!G1037)</f>
        <v>-0.003182529026</v>
      </c>
      <c r="C1037" s="7">
        <f>IF(RETORNOS!H1037="","",RETORNOS!H1037)</f>
        <v>-0.01326766395</v>
      </c>
      <c r="D1037" s="7">
        <f>IF(RETORNOS!I1037="","",RETORNOS!I1037)</f>
        <v>0.006397346855</v>
      </c>
      <c r="E1037" s="7">
        <f t="shared" si="2"/>
        <v>-0.003435158548</v>
      </c>
      <c r="F1037" s="7">
        <f t="shared" si="3"/>
        <v>0.01008513493</v>
      </c>
      <c r="G1037" s="7">
        <f t="shared" si="4"/>
        <v>0.0002526295228</v>
      </c>
      <c r="H1037" s="5">
        <f t="shared" ref="H1037:K1037" si="1037">IF(B1037="","",H1036*(1+B1037))</f>
        <v>304.3974019</v>
      </c>
      <c r="I1037" s="5">
        <f t="shared" si="1037"/>
        <v>210.9952239</v>
      </c>
      <c r="J1037" s="5">
        <f t="shared" si="1037"/>
        <v>142.4753169</v>
      </c>
      <c r="K1037" s="5">
        <f t="shared" si="1037"/>
        <v>180.1253313</v>
      </c>
      <c r="L1037" s="7">
        <f t="shared" si="6"/>
        <v>-0.03486053311</v>
      </c>
    </row>
    <row r="1038" ht="15.75" customHeight="1">
      <c r="A1038" s="4">
        <f>IF(RETORNOS!A1038="","",RETORNOS!A1038)</f>
        <v>45922</v>
      </c>
      <c r="B1038" s="7">
        <f>IF(RETORNOS!B1038="","",OPTIMIZACION!$B$5*RETORNOS!B1038+OPTIMIZACION!$B$6*RETORNOS!C1038+OPTIMIZACION!$B$7*RETORNOS!D1038+OPTIMIZACION!$B$8*RETORNOS!E1038+OPTIMIZACION!$B$9*RETORNOS!F1038+OPTIMIZACION!$B$10*RETORNOS!G1038)</f>
        <v>0.01677463193</v>
      </c>
      <c r="C1038" s="7">
        <f>IF(RETORNOS!H1038="","",RETORNOS!H1038)</f>
        <v>-0.001151337712</v>
      </c>
      <c r="D1038" s="7">
        <f>IF(RETORNOS!I1038="","",RETORNOS!I1038)</f>
        <v>0.00969023717</v>
      </c>
      <c r="E1038" s="7">
        <f t="shared" si="2"/>
        <v>0.004269449729</v>
      </c>
      <c r="F1038" s="7">
        <f t="shared" si="3"/>
        <v>0.01792596964</v>
      </c>
      <c r="G1038" s="7">
        <f t="shared" si="4"/>
        <v>0.0125051822</v>
      </c>
      <c r="H1038" s="5">
        <f t="shared" ref="H1038:K1038" si="1038">IF(B1038="","",H1037*(1+B1038))</f>
        <v>309.5035563</v>
      </c>
      <c r="I1038" s="5">
        <f t="shared" si="1038"/>
        <v>210.7522971</v>
      </c>
      <c r="J1038" s="5">
        <f t="shared" si="1038"/>
        <v>143.8559365</v>
      </c>
      <c r="K1038" s="5">
        <f t="shared" si="1038"/>
        <v>180.8943674</v>
      </c>
      <c r="L1038" s="7">
        <f t="shared" si="6"/>
        <v>-0.01867067379</v>
      </c>
    </row>
    <row r="1039" ht="15.75" customHeight="1">
      <c r="A1039" s="4">
        <f>IF(RETORNOS!A1039="","",RETORNOS!A1039)</f>
        <v>45923</v>
      </c>
      <c r="B1039" s="7">
        <f>IF(RETORNOS!B1039="","",OPTIMIZACION!$B$5*RETORNOS!B1039+OPTIMIZACION!$B$6*RETORNOS!C1039+OPTIMIZACION!$B$7*RETORNOS!D1039+OPTIMIZACION!$B$8*RETORNOS!E1039+OPTIMIZACION!$B$9*RETORNOS!F1039+OPTIMIZACION!$B$10*RETORNOS!G1039)</f>
        <v>0.005263474678</v>
      </c>
      <c r="C1039" s="7">
        <f>IF(RETORNOS!H1039="","",RETORNOS!H1039)</f>
        <v>0.01722325116</v>
      </c>
      <c r="D1039" s="7">
        <f>IF(RETORNOS!I1039="","",RETORNOS!I1039)</f>
        <v>0.005165196415</v>
      </c>
      <c r="E1039" s="7">
        <f t="shared" si="2"/>
        <v>0.01119422379</v>
      </c>
      <c r="F1039" s="7">
        <f t="shared" si="3"/>
        <v>-0.01195977648</v>
      </c>
      <c r="G1039" s="7">
        <f t="shared" si="4"/>
        <v>-0.005930749109</v>
      </c>
      <c r="H1039" s="5">
        <f t="shared" ref="H1039:K1039" si="1039">IF(B1039="","",H1038*(1+B1039))</f>
        <v>311.1326204</v>
      </c>
      <c r="I1039" s="5">
        <f t="shared" si="1039"/>
        <v>214.3821369</v>
      </c>
      <c r="J1039" s="5">
        <f t="shared" si="1039"/>
        <v>144.5989807</v>
      </c>
      <c r="K1039" s="5">
        <f t="shared" si="1039"/>
        <v>182.9193394</v>
      </c>
      <c r="L1039" s="7">
        <f t="shared" si="6"/>
        <v>-0.01350547173</v>
      </c>
    </row>
    <row r="1040" ht="15.75" customHeight="1">
      <c r="A1040" s="4">
        <f>IF(RETORNOS!A1040="","",RETORNOS!A1040)</f>
        <v>45924</v>
      </c>
      <c r="B1040" s="7">
        <f>IF(RETORNOS!B1040="","",OPTIMIZACION!$B$5*RETORNOS!B1040+OPTIMIZACION!$B$6*RETORNOS!C1040+OPTIMIZACION!$B$7*RETORNOS!D1040+OPTIMIZACION!$B$8*RETORNOS!E1040+OPTIMIZACION!$B$9*RETORNOS!F1040+OPTIMIZACION!$B$10*RETORNOS!G1040)</f>
        <v>0.008921916073</v>
      </c>
      <c r="C1040" s="7">
        <f>IF(RETORNOS!H1040="","",RETORNOS!H1040)</f>
        <v>0.01300745707</v>
      </c>
      <c r="D1040" s="7">
        <f>IF(RETORNOS!I1040="","",RETORNOS!I1040)</f>
        <v>0.00712211833</v>
      </c>
      <c r="E1040" s="7">
        <f t="shared" si="2"/>
        <v>0.0100647877</v>
      </c>
      <c r="F1040" s="7">
        <f t="shared" si="3"/>
        <v>-0.004085540993</v>
      </c>
      <c r="G1040" s="7">
        <f t="shared" si="4"/>
        <v>-0.001142871625</v>
      </c>
      <c r="H1040" s="5">
        <f t="shared" ref="H1040:K1040" si="1040">IF(B1040="","",H1039*(1+B1040))</f>
        <v>313.9085195</v>
      </c>
      <c r="I1040" s="5">
        <f t="shared" si="1040"/>
        <v>217.1707033</v>
      </c>
      <c r="J1040" s="5">
        <f t="shared" si="1040"/>
        <v>145.6288317</v>
      </c>
      <c r="K1040" s="5">
        <f t="shared" si="1040"/>
        <v>184.7603837</v>
      </c>
      <c r="L1040" s="7">
        <f t="shared" si="6"/>
        <v>-0.004704050343</v>
      </c>
    </row>
    <row r="1041" ht="15.75" customHeight="1">
      <c r="A1041" s="4">
        <f>IF(RETORNOS!A1041="","",RETORNOS!A1041)</f>
        <v>45925</v>
      </c>
      <c r="B1041" s="7">
        <f>IF(RETORNOS!B1041="","",OPTIMIZACION!$B$5*RETORNOS!B1041+OPTIMIZACION!$B$6*RETORNOS!C1041+OPTIMIZACION!$B$7*RETORNOS!D1041+OPTIMIZACION!$B$8*RETORNOS!E1041+OPTIMIZACION!$B$9*RETORNOS!F1041+OPTIMIZACION!$B$10*RETORNOS!G1041)</f>
        <v>-0.003913737379</v>
      </c>
      <c r="C1041" s="7">
        <f>IF(RETORNOS!H1041="","",RETORNOS!H1041)</f>
        <v>0.008966647465</v>
      </c>
      <c r="D1041" s="7">
        <f>IF(RETORNOS!I1041="","",RETORNOS!I1041)</f>
        <v>-0.009622909955</v>
      </c>
      <c r="E1041" s="7">
        <f t="shared" si="2"/>
        <v>-0.0003281312449</v>
      </c>
      <c r="F1041" s="7">
        <f t="shared" si="3"/>
        <v>-0.01288038484</v>
      </c>
      <c r="G1041" s="7">
        <f t="shared" si="4"/>
        <v>-0.003585606134</v>
      </c>
      <c r="H1041" s="5">
        <f t="shared" ref="H1041:K1041" si="1041">IF(B1041="","",H1040*(1+B1041))</f>
        <v>312.679964</v>
      </c>
      <c r="I1041" s="5">
        <f t="shared" si="1041"/>
        <v>219.1179965</v>
      </c>
      <c r="J1041" s="5">
        <f t="shared" si="1041"/>
        <v>144.2274586</v>
      </c>
      <c r="K1041" s="5">
        <f t="shared" si="1041"/>
        <v>184.6997581</v>
      </c>
      <c r="L1041" s="7">
        <f t="shared" si="6"/>
        <v>-0.008599377304</v>
      </c>
    </row>
    <row r="1042" ht="15.75" customHeight="1">
      <c r="A1042" s="4">
        <f>IF(RETORNOS!A1042="","",RETORNOS!A1042)</f>
        <v>45926</v>
      </c>
      <c r="B1042" s="7">
        <f>IF(RETORNOS!B1042="","",OPTIMIZACION!$B$5*RETORNOS!B1042+OPTIMIZACION!$B$6*RETORNOS!C1042+OPTIMIZACION!$B$7*RETORNOS!D1042+OPTIMIZACION!$B$8*RETORNOS!E1042+OPTIMIZACION!$B$9*RETORNOS!F1042+OPTIMIZACION!$B$10*RETORNOS!G1042)</f>
        <v>0.008296392391</v>
      </c>
      <c r="C1042" s="7">
        <f>IF(RETORNOS!H1042="","",RETORNOS!H1042)</f>
        <v>0.009214468752</v>
      </c>
      <c r="D1042" s="7">
        <f>IF(RETORNOS!I1042="","",RETORNOS!I1042)</f>
        <v>0.01627186133</v>
      </c>
      <c r="E1042" s="7">
        <f t="shared" si="2"/>
        <v>0.01274316504</v>
      </c>
      <c r="F1042" s="7">
        <f t="shared" si="3"/>
        <v>-0.0009180763609</v>
      </c>
      <c r="G1042" s="7">
        <f t="shared" si="4"/>
        <v>-0.004446772651</v>
      </c>
      <c r="H1042" s="5">
        <f t="shared" ref="H1042:K1042" si="1042">IF(B1042="","",H1041*(1+B1042))</f>
        <v>315.2740797</v>
      </c>
      <c r="I1042" s="5">
        <f t="shared" si="1042"/>
        <v>221.1370524</v>
      </c>
      <c r="J1042" s="5">
        <f t="shared" si="1042"/>
        <v>146.5743078</v>
      </c>
      <c r="K1042" s="5">
        <f t="shared" si="1042"/>
        <v>187.0534176</v>
      </c>
      <c r="L1042" s="7">
        <f t="shared" si="6"/>
        <v>-0.0003743287214</v>
      </c>
    </row>
    <row r="1043" ht="15.75" customHeight="1">
      <c r="A1043" s="4">
        <f>IF(RETORNOS!A1043="","",RETORNOS!A1043)</f>
        <v>45929</v>
      </c>
      <c r="B1043" s="7">
        <f>IF(RETORNOS!B1043="","",OPTIMIZACION!$B$5*RETORNOS!B1043+OPTIMIZACION!$B$6*RETORNOS!C1043+OPTIMIZACION!$B$7*RETORNOS!D1043+OPTIMIZACION!$B$8*RETORNOS!E1043+OPTIMIZACION!$B$9*RETORNOS!F1043+OPTIMIZACION!$B$10*RETORNOS!G1043)</f>
        <v>-0.01489891489</v>
      </c>
      <c r="C1043" s="7">
        <f>IF(RETORNOS!H1043="","",RETORNOS!H1043)</f>
        <v>-0.0183703093</v>
      </c>
      <c r="D1043" s="7">
        <f>IF(RETORNOS!I1043="","",RETORNOS!I1043)</f>
        <v>0.002880553363</v>
      </c>
      <c r="E1043" s="7">
        <f t="shared" si="2"/>
        <v>-0.007744877968</v>
      </c>
      <c r="F1043" s="7">
        <f t="shared" si="3"/>
        <v>0.003471394409</v>
      </c>
      <c r="G1043" s="7">
        <f t="shared" si="4"/>
        <v>-0.007154036923</v>
      </c>
      <c r="H1043" s="5">
        <f t="shared" ref="H1043:K1043" si="1043">IF(B1043="","",H1042*(1+B1043))</f>
        <v>310.576838</v>
      </c>
      <c r="I1043" s="5">
        <f t="shared" si="1043"/>
        <v>217.0746963</v>
      </c>
      <c r="J1043" s="5">
        <f t="shared" si="1043"/>
        <v>146.9965229</v>
      </c>
      <c r="K1043" s="5">
        <f t="shared" si="1043"/>
        <v>185.6047117</v>
      </c>
      <c r="L1043" s="7">
        <f t="shared" si="6"/>
        <v>-0.01526766652</v>
      </c>
    </row>
    <row r="1044" ht="15.75" customHeight="1">
      <c r="A1044" s="4">
        <f>IF(RETORNOS!A1044="","",RETORNOS!A1044)</f>
        <v>45930</v>
      </c>
      <c r="B1044" s="7">
        <f>IF(RETORNOS!B1044="","",OPTIMIZACION!$B$5*RETORNOS!B1044+OPTIMIZACION!$B$6*RETORNOS!C1044+OPTIMIZACION!$B$7*RETORNOS!D1044+OPTIMIZACION!$B$8*RETORNOS!E1044+OPTIMIZACION!$B$9*RETORNOS!F1044+OPTIMIZACION!$B$10*RETORNOS!G1044)</f>
        <v>-0.006134613946</v>
      </c>
      <c r="C1044" s="7">
        <f>IF(RETORNOS!H1044="","",RETORNOS!H1044)</f>
        <v>-0.01063249971</v>
      </c>
      <c r="D1044" s="7">
        <f>IF(RETORNOS!I1044="","",RETORNOS!I1044)</f>
        <v>0.001721979072</v>
      </c>
      <c r="E1044" s="7">
        <f t="shared" si="2"/>
        <v>-0.004455260319</v>
      </c>
      <c r="F1044" s="7">
        <f t="shared" si="3"/>
        <v>0.004497885764</v>
      </c>
      <c r="G1044" s="7">
        <f t="shared" si="4"/>
        <v>-0.001679353627</v>
      </c>
      <c r="H1044" s="5">
        <f t="shared" ref="H1044:K1044" si="1044">IF(B1044="","",H1043*(1+B1044))</f>
        <v>308.671569</v>
      </c>
      <c r="I1044" s="5">
        <f t="shared" si="1044"/>
        <v>214.7666497</v>
      </c>
      <c r="J1044" s="5">
        <f t="shared" si="1044"/>
        <v>147.2496479</v>
      </c>
      <c r="K1044" s="5">
        <f t="shared" si="1044"/>
        <v>184.7777944</v>
      </c>
      <c r="L1044" s="7">
        <f t="shared" si="6"/>
        <v>-0.02130861923</v>
      </c>
    </row>
    <row r="1045" ht="15.75" customHeight="1">
      <c r="A1045" s="4">
        <f>IF(RETORNOS!A1045="","",RETORNOS!A1045)</f>
        <v>45931</v>
      </c>
      <c r="B1045" s="7">
        <f>IF(RETORNOS!B1045="","",OPTIMIZACION!$B$5*RETORNOS!B1045+OPTIMIZACION!$B$6*RETORNOS!C1045+OPTIMIZACION!$B$7*RETORNOS!D1045+OPTIMIZACION!$B$8*RETORNOS!E1045+OPTIMIZACION!$B$9*RETORNOS!F1045+OPTIMIZACION!$B$10*RETORNOS!G1045)</f>
        <v>-0.0007531332593</v>
      </c>
      <c r="C1045" s="7">
        <f>IF(RETORNOS!H1045="","",RETORNOS!H1045)</f>
        <v>0</v>
      </c>
      <c r="D1045" s="7">
        <f>IF(RETORNOS!I1045="","",RETORNOS!I1045)</f>
        <v>0.009632513488</v>
      </c>
      <c r="E1045" s="7">
        <f t="shared" si="2"/>
        <v>0.004816256744</v>
      </c>
      <c r="F1045" s="7">
        <f t="shared" si="3"/>
        <v>-0.0007531332593</v>
      </c>
      <c r="G1045" s="7">
        <f t="shared" si="4"/>
        <v>-0.005569390003</v>
      </c>
      <c r="H1045" s="5">
        <f t="shared" ref="H1045:K1045" si="1045">IF(B1045="","",H1044*(1+B1045))</f>
        <v>308.4390982</v>
      </c>
      <c r="I1045" s="5">
        <f t="shared" si="1045"/>
        <v>214.7666497</v>
      </c>
      <c r="J1045" s="5">
        <f t="shared" si="1045"/>
        <v>148.6680321</v>
      </c>
      <c r="K1045" s="5">
        <f t="shared" si="1045"/>
        <v>185.6677317</v>
      </c>
      <c r="L1045" s="7">
        <f t="shared" si="6"/>
        <v>-0.02204570426</v>
      </c>
    </row>
    <row r="1046" ht="15.75" customHeight="1">
      <c r="A1046" s="4">
        <f>IF(RETORNOS!A1046="","",RETORNOS!A1046)</f>
        <v>45932</v>
      </c>
      <c r="B1046" s="7">
        <f>IF(RETORNOS!B1046="","",OPTIMIZACION!$B$5*RETORNOS!B1046+OPTIMIZACION!$B$6*RETORNOS!C1046+OPTIMIZACION!$B$7*RETORNOS!D1046+OPTIMIZACION!$B$8*RETORNOS!E1046+OPTIMIZACION!$B$9*RETORNOS!F1046+OPTIMIZACION!$B$10*RETORNOS!G1046)</f>
        <v>-0.0004354956111</v>
      </c>
      <c r="C1046" s="7">
        <f>IF(RETORNOS!H1046="","",RETORNOS!H1046)</f>
        <v>-0.01007396303</v>
      </c>
      <c r="D1046" s="7">
        <f>IF(RETORNOS!I1046="","",RETORNOS!I1046)</f>
        <v>-0.001817041746</v>
      </c>
      <c r="E1046" s="7">
        <f t="shared" si="2"/>
        <v>-0.005945502387</v>
      </c>
      <c r="F1046" s="7">
        <f t="shared" si="3"/>
        <v>0.009638467416</v>
      </c>
      <c r="G1046" s="7">
        <f t="shared" si="4"/>
        <v>0.005510006776</v>
      </c>
      <c r="H1046" s="5">
        <f t="shared" ref="H1046:K1046" si="1046">IF(B1046="","",H1045*(1+B1046))</f>
        <v>308.3047743</v>
      </c>
      <c r="I1046" s="5">
        <f t="shared" si="1046"/>
        <v>212.6030984</v>
      </c>
      <c r="J1046" s="5">
        <f t="shared" si="1046"/>
        <v>148.3978961</v>
      </c>
      <c r="K1046" s="5">
        <f t="shared" si="1046"/>
        <v>184.5638437</v>
      </c>
      <c r="L1046" s="7">
        <f t="shared" si="6"/>
        <v>-0.02247159906</v>
      </c>
    </row>
    <row r="1047" ht="15.75" customHeight="1">
      <c r="A1047" s="4">
        <f>IF(RETORNOS!A1047="","",RETORNOS!A1047)</f>
        <v>45933</v>
      </c>
      <c r="B1047" s="7">
        <f>IF(RETORNOS!B1047="","",OPTIMIZACION!$B$5*RETORNOS!B1047+OPTIMIZACION!$B$6*RETORNOS!C1047+OPTIMIZACION!$B$7*RETORNOS!D1047+OPTIMIZACION!$B$8*RETORNOS!E1047+OPTIMIZACION!$B$9*RETORNOS!F1047+OPTIMIZACION!$B$10*RETORNOS!G1047)</f>
        <v>0.007693792181</v>
      </c>
      <c r="C1047" s="7">
        <f>IF(RETORNOS!H1047="","",RETORNOS!H1047)</f>
        <v>0.005314029494</v>
      </c>
      <c r="D1047" s="7">
        <f>IF(RETORNOS!I1047="","",RETORNOS!I1047)</f>
        <v>0.01160530056</v>
      </c>
      <c r="E1047" s="7">
        <f t="shared" si="2"/>
        <v>0.008459665029</v>
      </c>
      <c r="F1047" s="7">
        <f t="shared" si="3"/>
        <v>0.002379762687</v>
      </c>
      <c r="G1047" s="7">
        <f t="shared" si="4"/>
        <v>-0.0007658728484</v>
      </c>
      <c r="H1047" s="5">
        <f t="shared" ref="H1047:K1047" si="1047">IF(B1047="","",H1046*(1+B1047))</f>
        <v>310.6768072</v>
      </c>
      <c r="I1047" s="5">
        <f t="shared" si="1047"/>
        <v>213.7328775</v>
      </c>
      <c r="J1047" s="5">
        <f t="shared" si="1047"/>
        <v>150.1200983</v>
      </c>
      <c r="K1047" s="5">
        <f t="shared" si="1047"/>
        <v>186.125192</v>
      </c>
      <c r="L1047" s="7">
        <f t="shared" si="6"/>
        <v>-0.01495069869</v>
      </c>
    </row>
    <row r="1048" ht="15.75" customHeight="1">
      <c r="A1048" s="4">
        <f>IF(RETORNOS!A1048="","",RETORNOS!A1048)</f>
        <v>45936</v>
      </c>
      <c r="B1048" s="7">
        <f>IF(RETORNOS!B1048="","",OPTIMIZACION!$B$5*RETORNOS!B1048+OPTIMIZACION!$B$6*RETORNOS!C1048+OPTIMIZACION!$B$7*RETORNOS!D1048+OPTIMIZACION!$B$8*RETORNOS!E1048+OPTIMIZACION!$B$9*RETORNOS!F1048+OPTIMIZACION!$B$10*RETORNOS!G1048)</f>
        <v>0.004715972581</v>
      </c>
      <c r="C1048" s="7">
        <f>IF(RETORNOS!H1048="","",RETORNOS!H1048)</f>
        <v>0.004950180584</v>
      </c>
      <c r="D1048" s="7">
        <f>IF(RETORNOS!I1048="","",RETORNOS!I1048)</f>
        <v>0.009672696615</v>
      </c>
      <c r="E1048" s="7">
        <f t="shared" si="2"/>
        <v>0.0073114386</v>
      </c>
      <c r="F1048" s="7">
        <f t="shared" si="3"/>
        <v>-0.0002342080035</v>
      </c>
      <c r="G1048" s="7">
        <f t="shared" si="4"/>
        <v>-0.002595466019</v>
      </c>
      <c r="H1048" s="5">
        <f t="shared" ref="H1048:K1048" si="1048">IF(B1048="","",H1047*(1+B1048))</f>
        <v>312.1419505</v>
      </c>
      <c r="I1048" s="5">
        <f t="shared" si="1048"/>
        <v>214.7908939</v>
      </c>
      <c r="J1048" s="5">
        <f t="shared" si="1048"/>
        <v>151.5721644</v>
      </c>
      <c r="K1048" s="5">
        <f t="shared" si="1048"/>
        <v>187.4860349</v>
      </c>
      <c r="L1048" s="7">
        <f t="shared" si="6"/>
        <v>-0.0103052332</v>
      </c>
    </row>
    <row r="1049" ht="15.75" customHeight="1">
      <c r="A1049" s="4">
        <f>IF(RETORNOS!A1049="","",RETORNOS!A1049)</f>
        <v>45937</v>
      </c>
      <c r="B1049" s="7">
        <f>IF(RETORNOS!B1049="","",OPTIMIZACION!$B$5*RETORNOS!B1049+OPTIMIZACION!$B$6*RETORNOS!C1049+OPTIMIZACION!$B$7*RETORNOS!D1049+OPTIMIZACION!$B$8*RETORNOS!E1049+OPTIMIZACION!$B$9*RETORNOS!F1049+OPTIMIZACION!$B$10*RETORNOS!G1049)</f>
        <v>-0.001549475723</v>
      </c>
      <c r="C1049" s="7">
        <f>IF(RETORNOS!H1049="","",RETORNOS!H1049)</f>
        <v>0.001566683372</v>
      </c>
      <c r="D1049" s="7">
        <f>IF(RETORNOS!I1049="","",RETORNOS!I1049)</f>
        <v>0.004567798703</v>
      </c>
      <c r="E1049" s="7">
        <f t="shared" si="2"/>
        <v>0.003067241037</v>
      </c>
      <c r="F1049" s="7">
        <f t="shared" si="3"/>
        <v>-0.003116159095</v>
      </c>
      <c r="G1049" s="7">
        <f t="shared" si="4"/>
        <v>-0.00461671676</v>
      </c>
      <c r="H1049" s="5">
        <f t="shared" ref="H1049:K1049" si="1049">IF(B1049="","",H1048*(1+B1049))</f>
        <v>311.6582941</v>
      </c>
      <c r="I1049" s="5">
        <f t="shared" si="1049"/>
        <v>215.1274032</v>
      </c>
      <c r="J1049" s="5">
        <f t="shared" si="1049"/>
        <v>152.2645156</v>
      </c>
      <c r="K1049" s="5">
        <f t="shared" si="1049"/>
        <v>188.0610998</v>
      </c>
      <c r="L1049" s="7">
        <f t="shared" si="6"/>
        <v>-0.01183874121</v>
      </c>
    </row>
    <row r="1050" ht="15.75" customHeight="1">
      <c r="A1050" s="4">
        <f>IF(RETORNOS!A1050="","",RETORNOS!A1050)</f>
        <v>45938</v>
      </c>
      <c r="B1050" s="7">
        <f>IF(RETORNOS!B1050="","",OPTIMIZACION!$B$5*RETORNOS!B1050+OPTIMIZACION!$B$6*RETORNOS!C1050+OPTIMIZACION!$B$7*RETORNOS!D1050+OPTIMIZACION!$B$8*RETORNOS!E1050+OPTIMIZACION!$B$9*RETORNOS!F1050+OPTIMIZACION!$B$10*RETORNOS!G1050)</f>
        <v>0.004116618757</v>
      </c>
      <c r="C1050" s="7">
        <f>IF(RETORNOS!H1050="","",RETORNOS!H1050)</f>
        <v>-0.005810651208</v>
      </c>
      <c r="D1050" s="7">
        <f>IF(RETORNOS!I1050="","",RETORNOS!I1050)</f>
        <v>0.006875286284</v>
      </c>
      <c r="E1050" s="7">
        <f t="shared" si="2"/>
        <v>0.0005323175382</v>
      </c>
      <c r="F1050" s="7">
        <f t="shared" si="3"/>
        <v>0.009927269964</v>
      </c>
      <c r="G1050" s="7">
        <f t="shared" si="4"/>
        <v>0.003584301219</v>
      </c>
      <c r="H1050" s="5">
        <f t="shared" ref="H1050:K1050" si="1050">IF(B1050="","",H1049*(1+B1050))</f>
        <v>312.9412725</v>
      </c>
      <c r="I1050" s="5">
        <f t="shared" si="1050"/>
        <v>213.8773729</v>
      </c>
      <c r="J1050" s="5">
        <f t="shared" si="1050"/>
        <v>153.3113777</v>
      </c>
      <c r="K1050" s="5">
        <f t="shared" si="1050"/>
        <v>188.161208</v>
      </c>
      <c r="L1050" s="7">
        <f t="shared" si="6"/>
        <v>-0.007770858038</v>
      </c>
    </row>
    <row r="1051" ht="15.75" customHeight="1">
      <c r="A1051" s="4">
        <f>IF(RETORNOS!A1051="","",RETORNOS!A1051)</f>
        <v>45939</v>
      </c>
      <c r="B1051" s="7">
        <f>IF(RETORNOS!B1051="","",OPTIMIZACION!$B$5*RETORNOS!B1051+OPTIMIZACION!$B$6*RETORNOS!C1051+OPTIMIZACION!$B$7*RETORNOS!D1051+OPTIMIZACION!$B$8*RETORNOS!E1051+OPTIMIZACION!$B$9*RETORNOS!F1051+OPTIMIZACION!$B$10*RETORNOS!G1051)</f>
        <v>0.006952193853</v>
      </c>
      <c r="C1051" s="7">
        <f>IF(RETORNOS!H1051="","",RETORNOS!H1051)</f>
        <v>-0.01360039901</v>
      </c>
      <c r="D1051" s="7">
        <f>IF(RETORNOS!I1051="","",RETORNOS!I1051)</f>
        <v>-0.002534274847</v>
      </c>
      <c r="E1051" s="7">
        <f t="shared" si="2"/>
        <v>-0.008067336929</v>
      </c>
      <c r="F1051" s="7">
        <f t="shared" si="3"/>
        <v>0.02055259286</v>
      </c>
      <c r="G1051" s="7">
        <f t="shared" si="4"/>
        <v>0.01501953078</v>
      </c>
      <c r="H1051" s="5">
        <f t="shared" ref="H1051:K1051" si="1051">IF(B1051="","",H1050*(1+B1051))</f>
        <v>315.1169009</v>
      </c>
      <c r="I1051" s="5">
        <f t="shared" si="1051"/>
        <v>210.9685553</v>
      </c>
      <c r="J1051" s="5">
        <f t="shared" si="1051"/>
        <v>152.9228445</v>
      </c>
      <c r="K1051" s="5">
        <f t="shared" si="1051"/>
        <v>186.6432481</v>
      </c>
      <c r="L1051" s="7">
        <f t="shared" si="6"/>
        <v>-0.0008726886967</v>
      </c>
    </row>
    <row r="1052" ht="15.75" customHeight="1">
      <c r="A1052" s="4">
        <f>IF(RETORNOS!A1052="","",RETORNOS!A1052)</f>
        <v>45940</v>
      </c>
      <c r="B1052" s="7">
        <f>IF(RETORNOS!B1052="","",OPTIMIZACION!$B$5*RETORNOS!B1052+OPTIMIZACION!$B$6*RETORNOS!C1052+OPTIMIZACION!$B$7*RETORNOS!D1052+OPTIMIZACION!$B$8*RETORNOS!E1052+OPTIMIZACION!$B$9*RETORNOS!F1052+OPTIMIZACION!$B$10*RETORNOS!G1052)</f>
        <v>-0.009809141444</v>
      </c>
      <c r="C1052" s="7">
        <f>IF(RETORNOS!H1052="","",RETORNOS!H1052)</f>
        <v>-0.02894337047</v>
      </c>
      <c r="D1052" s="7">
        <f>IF(RETORNOS!I1052="","",RETORNOS!I1052)</f>
        <v>-0.004084720121</v>
      </c>
      <c r="E1052" s="7">
        <f t="shared" si="2"/>
        <v>-0.01651404529</v>
      </c>
      <c r="F1052" s="7">
        <f t="shared" si="3"/>
        <v>0.01913422902</v>
      </c>
      <c r="G1052" s="7">
        <f t="shared" si="4"/>
        <v>0.006704903851</v>
      </c>
      <c r="H1052" s="5">
        <f t="shared" ref="H1052:K1052" si="1052">IF(B1052="","",H1051*(1+B1052))</f>
        <v>312.0258746</v>
      </c>
      <c r="I1052" s="5">
        <f t="shared" si="1052"/>
        <v>204.8624142</v>
      </c>
      <c r="J1052" s="5">
        <f t="shared" si="1052"/>
        <v>152.2981975</v>
      </c>
      <c r="K1052" s="5">
        <f t="shared" si="1052"/>
        <v>183.5610131</v>
      </c>
      <c r="L1052" s="7">
        <f t="shared" si="6"/>
        <v>-0.01067326981</v>
      </c>
    </row>
    <row r="1053" ht="15.75" customHeight="1">
      <c r="A1053" s="4">
        <f>IF(RETORNOS!A1053="","",RETORNOS!A1053)</f>
        <v>45943</v>
      </c>
      <c r="B1053" s="7">
        <f>IF(RETORNOS!B1053="","",OPTIMIZACION!$B$5*RETORNOS!B1053+OPTIMIZACION!$B$6*RETORNOS!C1053+OPTIMIZACION!$B$7*RETORNOS!D1053+OPTIMIZACION!$B$8*RETORNOS!E1053+OPTIMIZACION!$B$9*RETORNOS!F1053+OPTIMIZACION!$B$10*RETORNOS!G1053)</f>
        <v>0.01590467326</v>
      </c>
      <c r="C1053" s="7">
        <f>IF(RETORNOS!H1053="","",RETORNOS!H1053)</f>
        <v>0.01361189875</v>
      </c>
      <c r="D1053" s="7">
        <f>IF(RETORNOS!I1053="","",RETORNOS!I1053)</f>
        <v>0.007648935315</v>
      </c>
      <c r="E1053" s="7">
        <f t="shared" si="2"/>
        <v>0.01063041703</v>
      </c>
      <c r="F1053" s="7">
        <f t="shared" si="3"/>
        <v>0.002292774501</v>
      </c>
      <c r="G1053" s="7">
        <f t="shared" si="4"/>
        <v>0.005274256221</v>
      </c>
      <c r="H1053" s="5">
        <f t="shared" ref="H1053:K1053" si="1053">IF(B1053="","",H1052*(1+B1053))</f>
        <v>316.9885442</v>
      </c>
      <c r="I1053" s="5">
        <f t="shared" si="1053"/>
        <v>207.6509807</v>
      </c>
      <c r="J1053" s="5">
        <f t="shared" si="1053"/>
        <v>153.4631166</v>
      </c>
      <c r="K1053" s="5">
        <f t="shared" si="1053"/>
        <v>185.5123432</v>
      </c>
      <c r="L1053" s="7">
        <f t="shared" si="6"/>
        <v>0</v>
      </c>
    </row>
    <row r="1054" ht="15.75" customHeight="1">
      <c r="A1054" s="4">
        <f>IF(RETORNOS!A1054="","",RETORNOS!A1054)</f>
        <v>45944</v>
      </c>
      <c r="B1054" s="7">
        <f>IF(RETORNOS!B1054="","",OPTIMIZACION!$B$5*RETORNOS!B1054+OPTIMIZACION!$B$6*RETORNOS!C1054+OPTIMIZACION!$B$7*RETORNOS!D1054+OPTIMIZACION!$B$8*RETORNOS!E1054+OPTIMIZACION!$B$9*RETORNOS!F1054+OPTIMIZACION!$B$10*RETORNOS!G1054)</f>
        <v>-0.004817678589</v>
      </c>
      <c r="C1054" s="7">
        <f>IF(RETORNOS!H1054="","",RETORNOS!H1054)</f>
        <v>-0.0001144194149</v>
      </c>
      <c r="D1054" s="7">
        <f>IF(RETORNOS!I1054="","",RETORNOS!I1054)</f>
        <v>0.008912181755</v>
      </c>
      <c r="E1054" s="7">
        <f t="shared" si="2"/>
        <v>0.00439888117</v>
      </c>
      <c r="F1054" s="7">
        <f t="shared" si="3"/>
        <v>-0.004703259174</v>
      </c>
      <c r="G1054" s="7">
        <f t="shared" si="4"/>
        <v>-0.009216559759</v>
      </c>
      <c r="H1054" s="5">
        <f t="shared" ref="H1054:K1054" si="1054">IF(B1054="","",H1053*(1+B1054))</f>
        <v>315.4613953</v>
      </c>
      <c r="I1054" s="5">
        <f t="shared" si="1054"/>
        <v>207.6272214</v>
      </c>
      <c r="J1054" s="5">
        <f t="shared" si="1054"/>
        <v>154.8308078</v>
      </c>
      <c r="K1054" s="5">
        <f t="shared" si="1054"/>
        <v>186.32839</v>
      </c>
      <c r="L1054" s="7">
        <f t="shared" si="6"/>
        <v>-0.004817678589</v>
      </c>
    </row>
    <row r="1055" ht="15.75" customHeight="1">
      <c r="A1055" s="4">
        <f>IF(RETORNOS!A1055="","",RETORNOS!A1055)</f>
        <v>45945</v>
      </c>
      <c r="B1055" s="7">
        <f>IF(RETORNOS!B1055="","",OPTIMIZACION!$B$5*RETORNOS!B1055+OPTIMIZACION!$B$6*RETORNOS!C1055+OPTIMIZACION!$B$7*RETORNOS!D1055+OPTIMIZACION!$B$8*RETORNOS!E1055+OPTIMIZACION!$B$9*RETORNOS!F1055+OPTIMIZACION!$B$10*RETORNOS!G1055)</f>
        <v>0.009550355205</v>
      </c>
      <c r="C1055" s="7">
        <f>IF(RETORNOS!H1055="","",RETORNOS!H1055)</f>
        <v>-0.0005791686128</v>
      </c>
      <c r="D1055" s="7">
        <f>IF(RETORNOS!I1055="","",RETORNOS!I1055)</f>
        <v>0.01308757867</v>
      </c>
      <c r="E1055" s="7">
        <f t="shared" si="2"/>
        <v>0.006254205027</v>
      </c>
      <c r="F1055" s="7">
        <f t="shared" si="3"/>
        <v>0.01012952382</v>
      </c>
      <c r="G1055" s="7">
        <f t="shared" si="4"/>
        <v>0.003296150178</v>
      </c>
      <c r="H1055" s="5">
        <f t="shared" ref="H1055:K1055" si="1055">IF(B1055="","",H1054*(1+B1055))</f>
        <v>318.4741637</v>
      </c>
      <c r="I1055" s="5">
        <f t="shared" si="1055"/>
        <v>207.5069702</v>
      </c>
      <c r="J1055" s="5">
        <f t="shared" si="1055"/>
        <v>156.8571681</v>
      </c>
      <c r="K1055" s="5">
        <f t="shared" si="1055"/>
        <v>187.4937259</v>
      </c>
      <c r="L1055" s="7">
        <f t="shared" si="6"/>
        <v>0</v>
      </c>
    </row>
    <row r="1056" ht="15.75" customHeight="1">
      <c r="A1056" s="4">
        <f>IF(RETORNOS!A1056="","",RETORNOS!A1056)</f>
        <v>45946</v>
      </c>
      <c r="B1056" s="7">
        <f>IF(RETORNOS!B1056="","",OPTIMIZACION!$B$5*RETORNOS!B1056+OPTIMIZACION!$B$6*RETORNOS!C1056+OPTIMIZACION!$B$7*RETORNOS!D1056+OPTIMIZACION!$B$8*RETORNOS!E1056+OPTIMIZACION!$B$9*RETORNOS!F1056+OPTIMIZACION!$B$10*RETORNOS!G1056)</f>
        <v>-0.01171123244</v>
      </c>
      <c r="C1056" s="7">
        <f>IF(RETORNOS!H1056="","",RETORNOS!H1056)</f>
        <v>-0.01204808016</v>
      </c>
      <c r="D1056" s="7">
        <f>IF(RETORNOS!I1056="","",RETORNOS!I1056)</f>
        <v>-0.01087314877</v>
      </c>
      <c r="E1056" s="7">
        <f t="shared" si="2"/>
        <v>-0.01146061446</v>
      </c>
      <c r="F1056" s="7">
        <f t="shared" si="3"/>
        <v>0.0003368477141</v>
      </c>
      <c r="G1056" s="7">
        <f t="shared" si="4"/>
        <v>-0.0002506179819</v>
      </c>
      <c r="H1056" s="5">
        <f t="shared" ref="H1056:K1056" si="1056">IF(B1056="","",H1055*(1+B1056))</f>
        <v>314.7444387</v>
      </c>
      <c r="I1056" s="5">
        <f t="shared" si="1056"/>
        <v>205.0069096</v>
      </c>
      <c r="J1056" s="5">
        <f t="shared" si="1056"/>
        <v>155.1516368</v>
      </c>
      <c r="K1056" s="5">
        <f t="shared" si="1056"/>
        <v>185.3449326</v>
      </c>
      <c r="L1056" s="7">
        <f t="shared" si="6"/>
        <v>-0.01171123244</v>
      </c>
    </row>
    <row r="1057" ht="15.75" customHeight="1">
      <c r="A1057" s="4">
        <f>IF(RETORNOS!A1057="","",RETORNOS!A1057)</f>
        <v>45947</v>
      </c>
      <c r="B1057" s="7">
        <f>IF(RETORNOS!B1057="","",OPTIMIZACION!$B$5*RETORNOS!B1057+OPTIMIZACION!$B$6*RETORNOS!C1057+OPTIMIZACION!$B$7*RETORNOS!D1057+OPTIMIZACION!$B$8*RETORNOS!E1057+OPTIMIZACION!$B$9*RETORNOS!F1057+OPTIMIZACION!$B$10*RETORNOS!G1057)</f>
        <v>-0.004332763825</v>
      </c>
      <c r="C1057" s="7">
        <f>IF(RETORNOS!H1057="","",RETORNOS!H1057)</f>
        <v>0.008207267808</v>
      </c>
      <c r="D1057" s="7">
        <f>IF(RETORNOS!I1057="","",RETORNOS!I1057)</f>
        <v>-0.003482219411</v>
      </c>
      <c r="E1057" s="7">
        <f t="shared" si="2"/>
        <v>0.002362524199</v>
      </c>
      <c r="F1057" s="7">
        <f t="shared" si="3"/>
        <v>-0.01254003163</v>
      </c>
      <c r="G1057" s="7">
        <f t="shared" si="4"/>
        <v>-0.006695288023</v>
      </c>
      <c r="H1057" s="5">
        <f t="shared" ref="H1057:K1057" si="1057">IF(B1057="","",H1056*(1+B1057))</f>
        <v>313.3807254</v>
      </c>
      <c r="I1057" s="5">
        <f t="shared" si="1057"/>
        <v>206.6894562</v>
      </c>
      <c r="J1057" s="5">
        <f t="shared" si="1057"/>
        <v>154.6113648</v>
      </c>
      <c r="K1057" s="5">
        <f t="shared" si="1057"/>
        <v>185.7828145</v>
      </c>
      <c r="L1057" s="7">
        <f t="shared" si="6"/>
        <v>-0.01599325427</v>
      </c>
    </row>
    <row r="1058" ht="15.75" customHeight="1">
      <c r="A1058" s="4">
        <f>IF(RETORNOS!A1058="","",RETORNOS!A1058)</f>
        <v>45950</v>
      </c>
      <c r="B1058" s="7">
        <f>IF(RETORNOS!B1058="","",OPTIMIZACION!$B$5*RETORNOS!B1058+OPTIMIZACION!$B$6*RETORNOS!C1058+OPTIMIZACION!$B$7*RETORNOS!D1058+OPTIMIZACION!$B$8*RETORNOS!E1058+OPTIMIZACION!$B$9*RETORNOS!F1058+OPTIMIZACION!$B$10*RETORNOS!G1058)</f>
        <v>-0.003297593754</v>
      </c>
      <c r="C1058" s="7">
        <f>IF(RETORNOS!H1058="","",RETORNOS!H1058)</f>
        <v>0.01058493992</v>
      </c>
      <c r="D1058" s="7">
        <f>IF(RETORNOS!I1058="","",RETORNOS!I1058)</f>
        <v>-0.0003278739028</v>
      </c>
      <c r="E1058" s="7">
        <f t="shared" si="2"/>
        <v>0.005128533009</v>
      </c>
      <c r="F1058" s="7">
        <f t="shared" si="3"/>
        <v>-0.01388253367</v>
      </c>
      <c r="G1058" s="7">
        <f t="shared" si="4"/>
        <v>-0.008426126763</v>
      </c>
      <c r="H1058" s="5">
        <f t="shared" ref="H1058:K1058" si="1058">IF(B1058="","",H1057*(1+B1058))</f>
        <v>312.3473231</v>
      </c>
      <c r="I1058" s="5">
        <f t="shared" si="1058"/>
        <v>208.8772517</v>
      </c>
      <c r="J1058" s="5">
        <f t="shared" si="1058"/>
        <v>154.5606717</v>
      </c>
      <c r="K1058" s="5">
        <f t="shared" si="1058"/>
        <v>186.7356078</v>
      </c>
      <c r="L1058" s="7">
        <f t="shared" si="6"/>
        <v>-0.01923810876</v>
      </c>
    </row>
    <row r="1059" ht="15.75" customHeight="1">
      <c r="A1059" s="4">
        <f>IF(RETORNOS!A1059="","",RETORNOS!A1059)</f>
        <v>45951</v>
      </c>
      <c r="B1059" s="7">
        <f>IF(RETORNOS!B1059="","",OPTIMIZACION!$B$5*RETORNOS!B1059+OPTIMIZACION!$B$6*RETORNOS!C1059+OPTIMIZACION!$B$7*RETORNOS!D1059+OPTIMIZACION!$B$8*RETORNOS!E1059+OPTIMIZACION!$B$9*RETORNOS!F1059+OPTIMIZACION!$B$10*RETORNOS!G1059)</f>
        <v>-0.01075374274</v>
      </c>
      <c r="C1059" s="7">
        <f>IF(RETORNOS!H1059="","",RETORNOS!H1059)</f>
        <v>-0.002302810264</v>
      </c>
      <c r="D1059" s="7">
        <f>IF(RETORNOS!I1059="","",RETORNOS!I1059)</f>
        <v>-0.01015861975</v>
      </c>
      <c r="E1059" s="7">
        <f t="shared" si="2"/>
        <v>-0.006230715006</v>
      </c>
      <c r="F1059" s="7">
        <f t="shared" si="3"/>
        <v>-0.008450932474</v>
      </c>
      <c r="G1059" s="7">
        <f t="shared" si="4"/>
        <v>-0.004523027732</v>
      </c>
      <c r="H1059" s="5">
        <f t="shared" ref="H1059:K1059" si="1059">IF(B1059="","",H1058*(1+B1059))</f>
        <v>308.9884203</v>
      </c>
      <c r="I1059" s="5">
        <f t="shared" si="1059"/>
        <v>208.396247</v>
      </c>
      <c r="J1059" s="5">
        <f t="shared" si="1059"/>
        <v>152.9905486</v>
      </c>
      <c r="K1059" s="5">
        <f t="shared" si="1059"/>
        <v>185.5721114</v>
      </c>
      <c r="L1059" s="7">
        <f t="shared" si="6"/>
        <v>-0.02978496983</v>
      </c>
    </row>
    <row r="1060" ht="15.75" customHeight="1">
      <c r="A1060" s="4">
        <f>IF(RETORNOS!A1060="","",RETORNOS!A1060)</f>
        <v>45952</v>
      </c>
      <c r="B1060" s="7">
        <f>IF(RETORNOS!B1060="","",OPTIMIZACION!$B$5*RETORNOS!B1060+OPTIMIZACION!$B$6*RETORNOS!C1060+OPTIMIZACION!$B$7*RETORNOS!D1060+OPTIMIZACION!$B$8*RETORNOS!E1060+OPTIMIZACION!$B$9*RETORNOS!F1060+OPTIMIZACION!$B$10*RETORNOS!G1060)</f>
        <v>0.001444268391</v>
      </c>
      <c r="C1060" s="7">
        <f>IF(RETORNOS!H1060="","",RETORNOS!H1060)</f>
        <v>0.01280404667</v>
      </c>
      <c r="D1060" s="7">
        <f>IF(RETORNOS!I1060="","",RETORNOS!I1060)</f>
        <v>-0.002317208498</v>
      </c>
      <c r="E1060" s="7">
        <f t="shared" si="2"/>
        <v>0.005243419084</v>
      </c>
      <c r="F1060" s="7">
        <f t="shared" si="3"/>
        <v>-0.01135977827</v>
      </c>
      <c r="G1060" s="7">
        <f t="shared" si="4"/>
        <v>-0.003799150693</v>
      </c>
      <c r="H1060" s="5">
        <f t="shared" ref="H1060:K1060" si="1060">IF(B1060="","",H1059*(1+B1060))</f>
        <v>309.4346825</v>
      </c>
      <c r="I1060" s="5">
        <f t="shared" si="1060"/>
        <v>211.0645623</v>
      </c>
      <c r="J1060" s="5">
        <f t="shared" si="1060"/>
        <v>152.6360376</v>
      </c>
      <c r="K1060" s="5">
        <f t="shared" si="1060"/>
        <v>186.5451438</v>
      </c>
      <c r="L1060" s="7">
        <f t="shared" si="6"/>
        <v>-0.02838371893</v>
      </c>
    </row>
    <row r="1061" ht="15.75" customHeight="1">
      <c r="A1061" s="4">
        <f>IF(RETORNOS!A1061="","",RETORNOS!A1061)</f>
        <v>45953</v>
      </c>
      <c r="B1061" s="7">
        <f>IF(RETORNOS!B1061="","",OPTIMIZACION!$B$5*RETORNOS!B1061+OPTIMIZACION!$B$6*RETORNOS!C1061+OPTIMIZACION!$B$7*RETORNOS!D1061+OPTIMIZACION!$B$8*RETORNOS!E1061+OPTIMIZACION!$B$9*RETORNOS!F1061+OPTIMIZACION!$B$10*RETORNOS!G1061)</f>
        <v>0.003864365818</v>
      </c>
      <c r="C1061" s="7">
        <f>IF(RETORNOS!H1061="","",RETORNOS!H1061)</f>
        <v>0.0133267783</v>
      </c>
      <c r="D1061" s="7">
        <f>IF(RETORNOS!I1061="","",RETORNOS!I1061)</f>
        <v>-0.0007756827903</v>
      </c>
      <c r="E1061" s="7">
        <f t="shared" si="2"/>
        <v>0.006275547755</v>
      </c>
      <c r="F1061" s="7">
        <f t="shared" si="3"/>
        <v>-0.009462412483</v>
      </c>
      <c r="G1061" s="7">
        <f t="shared" si="4"/>
        <v>-0.002411181937</v>
      </c>
      <c r="H1061" s="5">
        <f t="shared" ref="H1061:K1061" si="1061">IF(B1061="","",H1060*(1+B1061))</f>
        <v>310.6304513</v>
      </c>
      <c r="I1061" s="5">
        <f t="shared" si="1061"/>
        <v>213.8773729</v>
      </c>
      <c r="J1061" s="5">
        <f t="shared" si="1061"/>
        <v>152.5176405</v>
      </c>
      <c r="K1061" s="5">
        <f t="shared" si="1061"/>
        <v>187.7158167</v>
      </c>
      <c r="L1061" s="7">
        <f t="shared" si="6"/>
        <v>-0.02462903818</v>
      </c>
    </row>
    <row r="1062" ht="15.75" customHeight="1">
      <c r="A1062" s="4">
        <f>IF(RETORNOS!A1062="","",RETORNOS!A1062)</f>
        <v>45954</v>
      </c>
      <c r="B1062" s="7">
        <f>IF(RETORNOS!B1062="","",OPTIMIZACION!$B$5*RETORNOS!B1062+OPTIMIZACION!$B$6*RETORNOS!C1062+OPTIMIZACION!$B$7*RETORNOS!D1062+OPTIMIZACION!$B$8*RETORNOS!E1062+OPTIMIZACION!$B$9*RETORNOS!F1062+OPTIMIZACION!$B$10*RETORNOS!G1062)</f>
        <v>-0.0003494506654</v>
      </c>
      <c r="C1062" s="7">
        <f>IF(RETORNOS!H1062="","",RETORNOS!H1062)</f>
        <v>-0.01011584937</v>
      </c>
      <c r="D1062" s="7">
        <f>IF(RETORNOS!I1062="","",RETORNOS!I1062)</f>
        <v>0.01173573298</v>
      </c>
      <c r="E1062" s="7">
        <f t="shared" si="2"/>
        <v>0.0008099418013</v>
      </c>
      <c r="F1062" s="7">
        <f t="shared" si="3"/>
        <v>0.009766398708</v>
      </c>
      <c r="G1062" s="7">
        <f t="shared" si="4"/>
        <v>-0.001159392467</v>
      </c>
      <c r="H1062" s="5">
        <f t="shared" ref="H1062:K1062" si="1062">IF(B1062="","",H1061*(1+B1062))</f>
        <v>310.5219013</v>
      </c>
      <c r="I1062" s="5">
        <f t="shared" si="1062"/>
        <v>211.7138216</v>
      </c>
      <c r="J1062" s="5">
        <f t="shared" si="1062"/>
        <v>154.3075468</v>
      </c>
      <c r="K1062" s="5">
        <f t="shared" si="1062"/>
        <v>187.8678556</v>
      </c>
      <c r="L1062" s="7">
        <f t="shared" si="6"/>
        <v>-0.02496988222</v>
      </c>
    </row>
    <row r="1063" ht="15.75" customHeight="1">
      <c r="A1063" s="4">
        <f>IF(RETORNOS!A1063="","",RETORNOS!A1063)</f>
        <v>45957</v>
      </c>
      <c r="B1063" s="7">
        <f>IF(RETORNOS!B1063="","",OPTIMIZACION!$B$5*RETORNOS!B1063+OPTIMIZACION!$B$6*RETORNOS!C1063+OPTIMIZACION!$B$7*RETORNOS!D1063+OPTIMIZACION!$B$8*RETORNOS!E1063+OPTIMIZACION!$B$9*RETORNOS!F1063+OPTIMIZACION!$B$10*RETORNOS!G1063)</f>
        <v>0.02422569537</v>
      </c>
      <c r="C1063" s="7">
        <f>IF(RETORNOS!H1063="","",RETORNOS!H1063)</f>
        <v>0.002384180584</v>
      </c>
      <c r="D1063" s="7">
        <f>IF(RETORNOS!I1063="","",RETORNOS!I1063)</f>
        <v>0.002736192261</v>
      </c>
      <c r="E1063" s="7">
        <f t="shared" si="2"/>
        <v>0.002560186422</v>
      </c>
      <c r="F1063" s="7">
        <f t="shared" si="3"/>
        <v>0.02184151479</v>
      </c>
      <c r="G1063" s="7">
        <f t="shared" si="4"/>
        <v>0.02166550895</v>
      </c>
      <c r="H1063" s="5">
        <f t="shared" ref="H1063:K1063" si="1063">IF(B1063="","",H1062*(1+B1063))</f>
        <v>318.0445103</v>
      </c>
      <c r="I1063" s="5">
        <f t="shared" si="1063"/>
        <v>212.2185856</v>
      </c>
      <c r="J1063" s="5">
        <f t="shared" si="1063"/>
        <v>154.7297619</v>
      </c>
      <c r="K1063" s="5">
        <f t="shared" si="1063"/>
        <v>188.3488324</v>
      </c>
      <c r="L1063" s="7">
        <f t="shared" si="6"/>
        <v>-0.001349099605</v>
      </c>
    </row>
    <row r="1064" ht="15.75" customHeight="1">
      <c r="A1064" s="4">
        <f>IF(RETORNOS!A1064="","",RETORNOS!A1064)</f>
        <v>45958</v>
      </c>
      <c r="B1064" s="7">
        <f>IF(RETORNOS!B1064="","",OPTIMIZACION!$B$5*RETORNOS!B1064+OPTIMIZACION!$B$6*RETORNOS!C1064+OPTIMIZACION!$B$7*RETORNOS!D1064+OPTIMIZACION!$B$8*RETORNOS!E1064+OPTIMIZACION!$B$9*RETORNOS!F1064+OPTIMIZACION!$B$10*RETORNOS!G1064)</f>
        <v>-0.01002799672</v>
      </c>
      <c r="C1064" s="7">
        <f>IF(RETORNOS!H1064="","",RETORNOS!H1064)</f>
        <v>-0.01042111733</v>
      </c>
      <c r="D1064" s="7">
        <f>IF(RETORNOS!I1064="","",RETORNOS!I1064)</f>
        <v>-0.01647789864</v>
      </c>
      <c r="E1064" s="7">
        <f t="shared" si="2"/>
        <v>-0.01344950798</v>
      </c>
      <c r="F1064" s="7">
        <f t="shared" si="3"/>
        <v>0.0003931206099</v>
      </c>
      <c r="G1064" s="7">
        <f t="shared" si="4"/>
        <v>0.003421511265</v>
      </c>
      <c r="H1064" s="5">
        <f t="shared" ref="H1064:K1064" si="1064">IF(B1064="","",H1063*(1+B1064))</f>
        <v>314.855161</v>
      </c>
      <c r="I1064" s="5">
        <f t="shared" si="1064"/>
        <v>210.0070308</v>
      </c>
      <c r="J1064" s="5">
        <f t="shared" si="1064"/>
        <v>152.1801406</v>
      </c>
      <c r="K1064" s="5">
        <f t="shared" si="1064"/>
        <v>185.8156332</v>
      </c>
      <c r="L1064" s="7">
        <f t="shared" si="6"/>
        <v>-0.01136356756</v>
      </c>
    </row>
    <row r="1065" ht="15.75" customHeight="1">
      <c r="A1065" s="4">
        <f>IF(RETORNOS!A1065="","",RETORNOS!A1065)</f>
        <v>45959</v>
      </c>
      <c r="B1065" s="7">
        <f>IF(RETORNOS!B1065="","",OPTIMIZACION!$B$5*RETORNOS!B1065+OPTIMIZACION!$B$6*RETORNOS!C1065+OPTIMIZACION!$B$7*RETORNOS!D1065+OPTIMIZACION!$B$8*RETORNOS!E1065+OPTIMIZACION!$B$9*RETORNOS!F1065+OPTIMIZACION!$B$10*RETORNOS!G1065)</f>
        <v>0.01094059855</v>
      </c>
      <c r="C1065" s="7">
        <f>IF(RETORNOS!H1065="","",RETORNOS!H1065)</f>
        <v>0.007439253027</v>
      </c>
      <c r="D1065" s="7">
        <f>IF(RETORNOS!I1065="","",RETORNOS!I1065)</f>
        <v>-0.0003331120039</v>
      </c>
      <c r="E1065" s="7">
        <f t="shared" si="2"/>
        <v>0.003553070512</v>
      </c>
      <c r="F1065" s="7">
        <f t="shared" si="3"/>
        <v>0.003501345525</v>
      </c>
      <c r="G1065" s="7">
        <f t="shared" si="4"/>
        <v>0.00738752804</v>
      </c>
      <c r="H1065" s="5">
        <f t="shared" ref="H1065:K1065" si="1065">IF(B1065="","",H1064*(1+B1065))</f>
        <v>318.2998649</v>
      </c>
      <c r="I1065" s="5">
        <f t="shared" si="1065"/>
        <v>211.5693263</v>
      </c>
      <c r="J1065" s="5">
        <f t="shared" si="1065"/>
        <v>152.1294475</v>
      </c>
      <c r="K1065" s="5">
        <f t="shared" si="1065"/>
        <v>186.4758493</v>
      </c>
      <c r="L1065" s="7">
        <f t="shared" si="6"/>
        <v>-0.0005472932366</v>
      </c>
    </row>
    <row r="1066" ht="15.75" customHeight="1">
      <c r="A1066" s="4">
        <f>IF(RETORNOS!A1066="","",RETORNOS!A1066)</f>
        <v>45960</v>
      </c>
      <c r="B1066" s="7">
        <f>IF(RETORNOS!B1066="","",OPTIMIZACION!$B$5*RETORNOS!B1066+OPTIMIZACION!$B$6*RETORNOS!C1066+OPTIMIZACION!$B$7*RETORNOS!D1066+OPTIMIZACION!$B$8*RETORNOS!E1066+OPTIMIZACION!$B$9*RETORNOS!F1066+OPTIMIZACION!$B$10*RETORNOS!G1066)</f>
        <v>-0.004495080066</v>
      </c>
      <c r="C1066" s="7">
        <f>IF(RETORNOS!H1066="","",RETORNOS!H1066)</f>
        <v>-0.005908372104</v>
      </c>
      <c r="D1066" s="7">
        <f>IF(RETORNOS!I1066="","",RETORNOS!I1066)</f>
        <v>-0.004217842862</v>
      </c>
      <c r="E1066" s="7">
        <f t="shared" si="2"/>
        <v>-0.005063107483</v>
      </c>
      <c r="F1066" s="7">
        <f t="shared" si="3"/>
        <v>0.001413292038</v>
      </c>
      <c r="G1066" s="7">
        <f t="shared" si="4"/>
        <v>0.0005680274169</v>
      </c>
      <c r="H1066" s="5">
        <f t="shared" ref="H1066:K1066" si="1066">IF(B1066="","",H1065*(1+B1066))</f>
        <v>316.8690815</v>
      </c>
      <c r="I1066" s="5">
        <f t="shared" si="1066"/>
        <v>210.3192959</v>
      </c>
      <c r="J1066" s="5">
        <f t="shared" si="1066"/>
        <v>151.4877894</v>
      </c>
      <c r="K1066" s="5">
        <f t="shared" si="1066"/>
        <v>185.531702</v>
      </c>
      <c r="L1066" s="7">
        <f t="shared" si="6"/>
        <v>-0.005039913176</v>
      </c>
    </row>
    <row r="1067" ht="15.75" customHeight="1">
      <c r="A1067" s="4">
        <f>IF(RETORNOS!A1067="","",RETORNOS!A1067)</f>
        <v>45961</v>
      </c>
      <c r="B1067" s="7">
        <f>IF(RETORNOS!B1067="","",OPTIMIZACION!$B$5*RETORNOS!B1067+OPTIMIZACION!$B$6*RETORNOS!C1067+OPTIMIZACION!$B$7*RETORNOS!D1067+OPTIMIZACION!$B$8*RETORNOS!E1067+OPTIMIZACION!$B$9*RETORNOS!F1067+OPTIMIZACION!$B$10*RETORNOS!G1067)</f>
        <v>0.001616726179</v>
      </c>
      <c r="C1067" s="7">
        <f>IF(RETORNOS!H1067="","",RETORNOS!H1067)</f>
        <v>0.007315240045</v>
      </c>
      <c r="D1067" s="7">
        <f>IF(RETORNOS!I1067="","",RETORNOS!I1067)</f>
        <v>-0.006910538065</v>
      </c>
      <c r="E1067" s="7">
        <f t="shared" si="2"/>
        <v>0.0002023509899</v>
      </c>
      <c r="F1067" s="7">
        <f t="shared" si="3"/>
        <v>-0.005698513866</v>
      </c>
      <c r="G1067" s="7">
        <f t="shared" si="4"/>
        <v>0.001414375189</v>
      </c>
      <c r="H1067" s="5">
        <f t="shared" ref="H1067:K1067" si="1067">IF(B1067="","",H1066*(1+B1067))</f>
        <v>317.3813721</v>
      </c>
      <c r="I1067" s="5">
        <f t="shared" si="1067"/>
        <v>211.8578321</v>
      </c>
      <c r="J1067" s="5">
        <f t="shared" si="1067"/>
        <v>150.4409273</v>
      </c>
      <c r="K1067" s="5">
        <f t="shared" si="1067"/>
        <v>185.5692445</v>
      </c>
      <c r="L1067" s="7">
        <f t="shared" si="6"/>
        <v>-0.003431335156</v>
      </c>
    </row>
    <row r="1068" ht="15.75" customHeight="1">
      <c r="A1068" s="4">
        <f>IF(RETORNOS!A1068="","",RETORNOS!A1068)</f>
        <v>45964</v>
      </c>
      <c r="B1068" s="7">
        <f>IF(RETORNOS!B1068="","",OPTIMIZACION!$B$5*RETORNOS!B1068+OPTIMIZACION!$B$6*RETORNOS!C1068+OPTIMIZACION!$B$7*RETORNOS!D1068+OPTIMIZACION!$B$8*RETORNOS!E1068+OPTIMIZACION!$B$9*RETORNOS!F1068+OPTIMIZACION!$B$10*RETORNOS!G1068)</f>
        <v>0.005890958122</v>
      </c>
      <c r="C1068" s="7">
        <f>IF(RETORNOS!H1068="","",RETORNOS!H1068)</f>
        <v>0.000114436116</v>
      </c>
      <c r="D1068" s="7">
        <f>IF(RETORNOS!I1068="","",RETORNOS!I1068)</f>
        <v>0.0005608512274</v>
      </c>
      <c r="E1068" s="7">
        <f t="shared" si="2"/>
        <v>0.0003376436717</v>
      </c>
      <c r="F1068" s="7">
        <f t="shared" si="3"/>
        <v>0.005776522006</v>
      </c>
      <c r="G1068" s="7">
        <f t="shared" si="4"/>
        <v>0.00555331445</v>
      </c>
      <c r="H1068" s="5">
        <f t="shared" ref="H1068:K1068" si="1068">IF(B1068="","",H1067*(1+B1068))</f>
        <v>319.2510524</v>
      </c>
      <c r="I1068" s="5">
        <f t="shared" si="1068"/>
        <v>211.8820763</v>
      </c>
      <c r="J1068" s="5">
        <f t="shared" si="1068"/>
        <v>150.5253023</v>
      </c>
      <c r="K1068" s="5">
        <f t="shared" si="1068"/>
        <v>185.6319008</v>
      </c>
      <c r="L1068" s="7">
        <f t="shared" si="6"/>
        <v>0</v>
      </c>
    </row>
    <row r="1069" ht="15.75" customHeight="1">
      <c r="A1069" s="4">
        <f>IF(RETORNOS!A1069="","",RETORNOS!A1069)</f>
        <v>45965</v>
      </c>
      <c r="B1069" s="7">
        <f>IF(RETORNOS!B1069="","",OPTIMIZACION!$B$5*RETORNOS!B1069+OPTIMIZACION!$B$6*RETORNOS!C1069+OPTIMIZACION!$B$7*RETORNOS!D1069+OPTIMIZACION!$B$8*RETORNOS!E1069+OPTIMIZACION!$B$9*RETORNOS!F1069+OPTIMIZACION!$B$10*RETORNOS!G1069)</f>
        <v>-0.01714073081</v>
      </c>
      <c r="C1069" s="7">
        <f>IF(RETORNOS!H1069="","",RETORNOS!H1069)</f>
        <v>-0.01077864866</v>
      </c>
      <c r="D1069" s="7">
        <f>IF(RETORNOS!I1069="","",RETORNOS!I1069)</f>
        <v>-0.003589244021</v>
      </c>
      <c r="E1069" s="7">
        <f t="shared" si="2"/>
        <v>-0.007183946343</v>
      </c>
      <c r="F1069" s="7">
        <f t="shared" si="3"/>
        <v>-0.00636208215</v>
      </c>
      <c r="G1069" s="7">
        <f t="shared" si="4"/>
        <v>-0.009956784471</v>
      </c>
      <c r="H1069" s="5">
        <f t="shared" ref="H1069:K1069" si="1069">IF(B1069="","",H1068*(1+B1069))</f>
        <v>313.7788561</v>
      </c>
      <c r="I1069" s="5">
        <f t="shared" si="1069"/>
        <v>209.5982738</v>
      </c>
      <c r="J1069" s="5">
        <f t="shared" si="1069"/>
        <v>149.9850302</v>
      </c>
      <c r="K1069" s="5">
        <f t="shared" si="1069"/>
        <v>184.2983312</v>
      </c>
      <c r="L1069" s="7">
        <f t="shared" si="6"/>
        <v>-0.01714073081</v>
      </c>
    </row>
    <row r="1070" ht="15.75" customHeight="1">
      <c r="A1070" s="4">
        <f>IF(RETORNOS!A1070="","",RETORNOS!A1070)</f>
        <v>45966</v>
      </c>
      <c r="B1070" s="7">
        <f>IF(RETORNOS!B1070="","",OPTIMIZACION!$B$5*RETORNOS!B1070+OPTIMIZACION!$B$6*RETORNOS!C1070+OPTIMIZACION!$B$7*RETORNOS!D1070+OPTIMIZACION!$B$8*RETORNOS!E1070+OPTIMIZACION!$B$9*RETORNOS!F1070+OPTIMIZACION!$B$10*RETORNOS!G1070)</f>
        <v>0.005268586942</v>
      </c>
      <c r="C1070" s="7">
        <f>IF(RETORNOS!H1070="","",RETORNOS!H1070)</f>
        <v>0.002637271118</v>
      </c>
      <c r="D1070" s="7">
        <f>IF(RETORNOS!I1070="","",RETORNOS!I1070)</f>
        <v>0.000224568726</v>
      </c>
      <c r="E1070" s="7">
        <f t="shared" si="2"/>
        <v>0.001430919922</v>
      </c>
      <c r="F1070" s="7">
        <f t="shared" si="3"/>
        <v>0.002631315823</v>
      </c>
      <c r="G1070" s="7">
        <f t="shared" si="4"/>
        <v>0.003837667019</v>
      </c>
      <c r="H1070" s="5">
        <f t="shared" ref="H1070:K1070" si="1070">IF(B1070="","",H1069*(1+B1070))</f>
        <v>315.4320273</v>
      </c>
      <c r="I1070" s="5">
        <f t="shared" si="1070"/>
        <v>210.1510413</v>
      </c>
      <c r="J1070" s="5">
        <f t="shared" si="1070"/>
        <v>150.0187122</v>
      </c>
      <c r="K1070" s="5">
        <f t="shared" si="1070"/>
        <v>184.5620474</v>
      </c>
      <c r="L1070" s="7">
        <f t="shared" si="6"/>
        <v>-0.0119624513</v>
      </c>
    </row>
    <row r="1071" ht="15.75" customHeight="1">
      <c r="A1071" s="4">
        <f>IF(RETORNOS!A1071="","",RETORNOS!A1071)</f>
        <v>45967</v>
      </c>
      <c r="B1071" s="7">
        <f>IF(RETORNOS!B1071="","",OPTIMIZACION!$B$5*RETORNOS!B1071+OPTIMIZACION!$B$6*RETORNOS!C1071+OPTIMIZACION!$B$7*RETORNOS!D1071+OPTIMIZACION!$B$8*RETORNOS!E1071+OPTIMIZACION!$B$9*RETORNOS!F1071+OPTIMIZACION!$B$10*RETORNOS!G1071)</f>
        <v>-0.004156331329</v>
      </c>
      <c r="C1071" s="7">
        <f>IF(RETORNOS!H1071="","",RETORNOS!H1071)</f>
        <v>0.009723007349</v>
      </c>
      <c r="D1071" s="7">
        <f>IF(RETORNOS!I1071="","",RETORNOS!I1071)</f>
        <v>-0.004388312348</v>
      </c>
      <c r="E1071" s="7">
        <f t="shared" si="2"/>
        <v>0.0026673475</v>
      </c>
      <c r="F1071" s="7">
        <f t="shared" si="3"/>
        <v>-0.01387933868</v>
      </c>
      <c r="G1071" s="7">
        <f t="shared" si="4"/>
        <v>-0.006823678829</v>
      </c>
      <c r="H1071" s="5">
        <f t="shared" ref="H1071:K1071" si="1071">IF(B1071="","",H1070*(1+B1071))</f>
        <v>314.1209873</v>
      </c>
      <c r="I1071" s="5">
        <f t="shared" si="1071"/>
        <v>212.1943414</v>
      </c>
      <c r="J1071" s="5">
        <f t="shared" si="1071"/>
        <v>149.3603832</v>
      </c>
      <c r="K1071" s="5">
        <f t="shared" si="1071"/>
        <v>185.0543385</v>
      </c>
      <c r="L1071" s="7">
        <f t="shared" si="6"/>
        <v>-0.01606906272</v>
      </c>
    </row>
    <row r="1072" ht="15.75" customHeight="1">
      <c r="A1072" s="4">
        <f>IF(RETORNOS!A1072="","",RETORNOS!A1072)</f>
        <v>45968</v>
      </c>
      <c r="B1072" s="7">
        <f>IF(RETORNOS!B1072="","",OPTIMIZACION!$B$5*RETORNOS!B1072+OPTIMIZACION!$B$6*RETORNOS!C1072+OPTIMIZACION!$B$7*RETORNOS!D1072+OPTIMIZACION!$B$8*RETORNOS!E1072+OPTIMIZACION!$B$9*RETORNOS!F1072+OPTIMIZACION!$B$10*RETORNOS!G1072)</f>
        <v>0.01486700587</v>
      </c>
      <c r="C1072" s="7">
        <f>IF(RETORNOS!H1072="","",RETORNOS!H1072)</f>
        <v>0.01438922899</v>
      </c>
      <c r="D1072" s="7">
        <f>IF(RETORNOS!I1072="","",RETORNOS!I1072)</f>
        <v>0.01390404297</v>
      </c>
      <c r="E1072" s="7">
        <f t="shared" si="2"/>
        <v>0.01414663598</v>
      </c>
      <c r="F1072" s="7">
        <f t="shared" si="3"/>
        <v>0.0004777768859</v>
      </c>
      <c r="G1072" s="7">
        <f t="shared" si="4"/>
        <v>0.0007203698946</v>
      </c>
      <c r="H1072" s="5">
        <f t="shared" ref="H1072:K1072" si="1072">IF(B1072="","",H1071*(1+B1072))</f>
        <v>318.7910258</v>
      </c>
      <c r="I1072" s="5">
        <f t="shared" si="1072"/>
        <v>215.2476544</v>
      </c>
      <c r="J1072" s="5">
        <f t="shared" si="1072"/>
        <v>151.4370964</v>
      </c>
      <c r="K1072" s="5">
        <f t="shared" si="1072"/>
        <v>187.6722348</v>
      </c>
      <c r="L1072" s="7">
        <f t="shared" si="6"/>
        <v>-0.001440955697</v>
      </c>
    </row>
    <row r="1073" ht="15.75" customHeight="1">
      <c r="A1073" s="4">
        <f>IF(RETORNOS!A1073="","",RETORNOS!A1073)</f>
        <v>45971</v>
      </c>
      <c r="B1073" s="7">
        <f>IF(RETORNOS!B1073="","",OPTIMIZACION!$B$5*RETORNOS!B1073+OPTIMIZACION!$B$6*RETORNOS!C1073+OPTIMIZACION!$B$7*RETORNOS!D1073+OPTIMIZACION!$B$8*RETORNOS!E1073+OPTIMIZACION!$B$9*RETORNOS!F1073+OPTIMIZACION!$B$10*RETORNOS!G1073)</f>
        <v>0.006445206584</v>
      </c>
      <c r="C1073" s="7">
        <f>IF(RETORNOS!H1073="","",RETORNOS!H1073)</f>
        <v>0.009044503915</v>
      </c>
      <c r="D1073" s="7">
        <f>IF(RETORNOS!I1073="","",RETORNOS!I1073)</f>
        <v>-0.0003347464576</v>
      </c>
      <c r="E1073" s="7">
        <f t="shared" si="2"/>
        <v>0.004354878729</v>
      </c>
      <c r="F1073" s="7">
        <f t="shared" si="3"/>
        <v>-0.002599297331</v>
      </c>
      <c r="G1073" s="7">
        <f t="shared" si="4"/>
        <v>0.002090327855</v>
      </c>
      <c r="H1073" s="5">
        <f t="shared" ref="H1073:K1073" si="1073">IF(B1073="","",H1072*(1+B1073))</f>
        <v>320.8456998</v>
      </c>
      <c r="I1073" s="5">
        <f t="shared" si="1073"/>
        <v>217.1944626</v>
      </c>
      <c r="J1073" s="5">
        <f t="shared" si="1073"/>
        <v>151.3864034</v>
      </c>
      <c r="K1073" s="5">
        <f t="shared" si="1073"/>
        <v>188.4895247</v>
      </c>
      <c r="L1073" s="7">
        <f t="shared" si="6"/>
        <v>0</v>
      </c>
    </row>
    <row r="1074" ht="15.75" customHeight="1">
      <c r="A1074" s="4">
        <f>IF(RETORNOS!A1074="","",RETORNOS!A1074)</f>
        <v>45972</v>
      </c>
      <c r="B1074" s="7">
        <f>IF(RETORNOS!B1074="","",OPTIMIZACION!$B$5*RETORNOS!B1074+OPTIMIZACION!$B$6*RETORNOS!C1074+OPTIMIZACION!$B$7*RETORNOS!D1074+OPTIMIZACION!$B$8*RETORNOS!E1074+OPTIMIZACION!$B$9*RETORNOS!F1074+OPTIMIZACION!$B$10*RETORNOS!G1074)</f>
        <v>-0.002736986548</v>
      </c>
      <c r="C1074" s="7">
        <f>IF(RETORNOS!H1074="","",RETORNOS!H1074)</f>
        <v>0.01306227968</v>
      </c>
      <c r="D1074" s="7">
        <f>IF(RETORNOS!I1074="","",RETORNOS!I1074)</f>
        <v>0.0005573484597</v>
      </c>
      <c r="E1074" s="7">
        <f t="shared" si="2"/>
        <v>0.006809814071</v>
      </c>
      <c r="F1074" s="7">
        <f t="shared" si="3"/>
        <v>-0.01579926623</v>
      </c>
      <c r="G1074" s="7">
        <f t="shared" si="4"/>
        <v>-0.009546800618</v>
      </c>
      <c r="H1074" s="5">
        <f t="shared" ref="H1074:K1074" si="1074">IF(B1074="","",H1073*(1+B1074))</f>
        <v>319.9675495</v>
      </c>
      <c r="I1074" s="5">
        <f t="shared" si="1074"/>
        <v>220.0315174</v>
      </c>
      <c r="J1074" s="5">
        <f t="shared" si="1074"/>
        <v>151.4707784</v>
      </c>
      <c r="K1074" s="5">
        <f t="shared" si="1074"/>
        <v>189.7731033</v>
      </c>
      <c r="L1074" s="7">
        <f t="shared" si="6"/>
        <v>-0.002736986548</v>
      </c>
    </row>
    <row r="1075" ht="15.75" customHeight="1">
      <c r="A1075" s="4">
        <f>IF(RETORNOS!A1075="","",RETORNOS!A1075)</f>
        <v>45973</v>
      </c>
      <c r="B1075" s="7">
        <f>IF(RETORNOS!B1075="","",OPTIMIZACION!$B$5*RETORNOS!B1075+OPTIMIZACION!$B$6*RETORNOS!C1075+OPTIMIZACION!$B$7*RETORNOS!D1075+OPTIMIZACION!$B$8*RETORNOS!E1075+OPTIMIZACION!$B$9*RETORNOS!F1075+OPTIMIZACION!$B$10*RETORNOS!G1075)</f>
        <v>-0.00102079353</v>
      </c>
      <c r="C1075" s="7">
        <f>IF(RETORNOS!H1075="","",RETORNOS!H1075)</f>
        <v>-0.01398468868</v>
      </c>
      <c r="D1075" s="7">
        <f>IF(RETORNOS!I1075="","",RETORNOS!I1075)</f>
        <v>0.00234270415</v>
      </c>
      <c r="E1075" s="7">
        <f t="shared" si="2"/>
        <v>-0.005820992267</v>
      </c>
      <c r="F1075" s="7">
        <f t="shared" si="3"/>
        <v>0.01296389515</v>
      </c>
      <c r="G1075" s="7">
        <f t="shared" si="4"/>
        <v>0.004800198737</v>
      </c>
      <c r="H1075" s="5">
        <f t="shared" ref="H1075:K1075" si="1075">IF(B1075="","",H1074*(1+B1075))</f>
        <v>319.6409287</v>
      </c>
      <c r="I1075" s="5">
        <f t="shared" si="1075"/>
        <v>216.9544452</v>
      </c>
      <c r="J1075" s="5">
        <f t="shared" si="1075"/>
        <v>151.8256296</v>
      </c>
      <c r="K1075" s="5">
        <f t="shared" si="1075"/>
        <v>188.6684355</v>
      </c>
      <c r="L1075" s="7">
        <f t="shared" si="6"/>
        <v>-0.003754986179</v>
      </c>
    </row>
    <row r="1076" ht="15.75" customHeight="1">
      <c r="A1076" s="4">
        <f>IF(RETORNOS!A1076="","",RETORNOS!A1076)</f>
        <v>45974</v>
      </c>
      <c r="B1076" s="7">
        <f>IF(RETORNOS!B1076="","",OPTIMIZACION!$B$5*RETORNOS!B1076+OPTIMIZACION!$B$6*RETORNOS!C1076+OPTIMIZACION!$B$7*RETORNOS!D1076+OPTIMIZACION!$B$8*RETORNOS!E1076+OPTIMIZACION!$B$9*RETORNOS!F1076+OPTIMIZACION!$B$10*RETORNOS!G1076)</f>
        <v>-0.01300216073</v>
      </c>
      <c r="C1076" s="7">
        <f>IF(RETORNOS!H1076="","",RETORNOS!H1076)</f>
        <v>0.002547850419</v>
      </c>
      <c r="D1076" s="7">
        <f>IF(RETORNOS!I1076="","",RETORNOS!I1076)</f>
        <v>-0.01379032168</v>
      </c>
      <c r="E1076" s="7">
        <f t="shared" si="2"/>
        <v>-0.005621235629</v>
      </c>
      <c r="F1076" s="7">
        <f t="shared" si="3"/>
        <v>-0.01555001115</v>
      </c>
      <c r="G1076" s="7">
        <f t="shared" si="4"/>
        <v>-0.007380925101</v>
      </c>
      <c r="H1076" s="5">
        <f t="shared" ref="H1076:K1076" si="1076">IF(B1076="","",H1075*(1+B1076))</f>
        <v>315.4849059</v>
      </c>
      <c r="I1076" s="5">
        <f t="shared" si="1076"/>
        <v>217.5072126</v>
      </c>
      <c r="J1076" s="5">
        <f t="shared" si="1076"/>
        <v>149.7319053</v>
      </c>
      <c r="K1076" s="5">
        <f t="shared" si="1076"/>
        <v>187.6078858</v>
      </c>
      <c r="L1076" s="7">
        <f t="shared" si="6"/>
        <v>-0.01670832398</v>
      </c>
    </row>
    <row r="1077" ht="15.75" customHeight="1">
      <c r="A1077" s="4">
        <f>IF(RETORNOS!A1077="","",RETORNOS!A1077)</f>
        <v>45975</v>
      </c>
      <c r="B1077" s="7">
        <f>IF(RETORNOS!B1077="","",OPTIMIZACION!$B$5*RETORNOS!B1077+OPTIMIZACION!$B$6*RETORNOS!C1077+OPTIMIZACION!$B$7*RETORNOS!D1077+OPTIMIZACION!$B$8*RETORNOS!E1077+OPTIMIZACION!$B$9*RETORNOS!F1077+OPTIMIZACION!$B$10*RETORNOS!G1077)</f>
        <v>0.009624738837</v>
      </c>
      <c r="C1077" s="7">
        <f>IF(RETORNOS!H1077="","",RETORNOS!H1077)</f>
        <v>0.01702052718</v>
      </c>
      <c r="D1077" s="7">
        <f>IF(RETORNOS!I1077="","",RETORNOS!I1077)</f>
        <v>0.0009020656622</v>
      </c>
      <c r="E1077" s="7">
        <f t="shared" si="2"/>
        <v>0.008961296421</v>
      </c>
      <c r="F1077" s="7">
        <f t="shared" si="3"/>
        <v>-0.007395788342</v>
      </c>
      <c r="G1077" s="7">
        <f t="shared" si="4"/>
        <v>0.0006634424162</v>
      </c>
      <c r="H1077" s="5">
        <f t="shared" ref="H1077:K1077" si="1077">IF(B1077="","",H1076*(1+B1077))</f>
        <v>318.5213658</v>
      </c>
      <c r="I1077" s="5">
        <f t="shared" si="1077"/>
        <v>221.2093001</v>
      </c>
      <c r="J1077" s="5">
        <f t="shared" si="1077"/>
        <v>149.8669733</v>
      </c>
      <c r="K1077" s="5">
        <f t="shared" si="1077"/>
        <v>189.2890957</v>
      </c>
      <c r="L1077" s="7">
        <f t="shared" si="6"/>
        <v>-0.007244398393</v>
      </c>
    </row>
    <row r="1078" ht="15.75" customHeight="1">
      <c r="A1078" s="4">
        <f>IF(RETORNOS!A1078="","",RETORNOS!A1078)</f>
        <v>45978</v>
      </c>
      <c r="B1078" s="7">
        <f>IF(RETORNOS!B1078="","",OPTIMIZACION!$B$5*RETORNOS!B1078+OPTIMIZACION!$B$6*RETORNOS!C1078+OPTIMIZACION!$B$7*RETORNOS!D1078+OPTIMIZACION!$B$8*RETORNOS!E1078+OPTIMIZACION!$B$9*RETORNOS!F1078+OPTIMIZACION!$B$10*RETORNOS!G1078)</f>
        <v>-0.01026841043</v>
      </c>
      <c r="C1078" s="7">
        <f>IF(RETORNOS!H1078="","",RETORNOS!H1078)</f>
        <v>-0.01825690306</v>
      </c>
      <c r="D1078" s="7">
        <f>IF(RETORNOS!I1078="","",RETORNOS!I1078)</f>
        <v>0.009012526731</v>
      </c>
      <c r="E1078" s="7">
        <f t="shared" si="2"/>
        <v>-0.004622188162</v>
      </c>
      <c r="F1078" s="7">
        <f t="shared" si="3"/>
        <v>0.007988492627</v>
      </c>
      <c r="G1078" s="7">
        <f t="shared" si="4"/>
        <v>-0.005646222266</v>
      </c>
      <c r="H1078" s="5">
        <f t="shared" ref="H1078:K1078" si="1078">IF(B1078="","",H1077*(1+B1078))</f>
        <v>315.2506577</v>
      </c>
      <c r="I1078" s="5">
        <f t="shared" si="1078"/>
        <v>217.1707033</v>
      </c>
      <c r="J1078" s="5">
        <f t="shared" si="1078"/>
        <v>151.2176534</v>
      </c>
      <c r="K1078" s="5">
        <f t="shared" si="1078"/>
        <v>188.4141658</v>
      </c>
      <c r="L1078" s="7">
        <f t="shared" si="6"/>
        <v>-0.01743842037</v>
      </c>
    </row>
    <row r="1079" ht="15.75" customHeight="1">
      <c r="A1079" s="4">
        <f>IF(RETORNOS!A1079="","",RETORNOS!A1079)</f>
        <v>45979</v>
      </c>
      <c r="B1079" s="7">
        <f>IF(RETORNOS!B1079="","",OPTIMIZACION!$B$5*RETORNOS!B1079+OPTIMIZACION!$B$6*RETORNOS!C1079+OPTIMIZACION!$B$7*RETORNOS!D1079+OPTIMIZACION!$B$8*RETORNOS!E1079+OPTIMIZACION!$B$9*RETORNOS!F1079+OPTIMIZACION!$B$10*RETORNOS!G1079)</f>
        <v>-0.0004637192962</v>
      </c>
      <c r="C1079" s="7">
        <f>IF(RETORNOS!H1079="","",RETORNOS!H1079)</f>
        <v>0.007968616734</v>
      </c>
      <c r="D1079" s="7">
        <f>IF(RETORNOS!I1079="","",RETORNOS!I1079)</f>
        <v>-0.003795548836</v>
      </c>
      <c r="E1079" s="7">
        <f t="shared" si="2"/>
        <v>0.002086533949</v>
      </c>
      <c r="F1079" s="7">
        <f t="shared" si="3"/>
        <v>-0.00843233603</v>
      </c>
      <c r="G1079" s="7">
        <f t="shared" si="4"/>
        <v>-0.002550253245</v>
      </c>
      <c r="H1079" s="5">
        <f t="shared" ref="H1079:K1079" si="1079">IF(B1079="","",H1078*(1+B1079))</f>
        <v>315.1044698</v>
      </c>
      <c r="I1079" s="5">
        <f t="shared" si="1079"/>
        <v>218.9012534</v>
      </c>
      <c r="J1079" s="5">
        <f t="shared" si="1079"/>
        <v>150.6436994</v>
      </c>
      <c r="K1079" s="5">
        <f t="shared" si="1079"/>
        <v>188.8072984</v>
      </c>
      <c r="L1079" s="7">
        <f t="shared" si="6"/>
        <v>-0.01789405313</v>
      </c>
    </row>
    <row r="1080" ht="15.75" customHeight="1">
      <c r="A1080" s="4">
        <f>IF(RETORNOS!A1080="","",RETORNOS!A1080)</f>
        <v>45980</v>
      </c>
      <c r="B1080" s="7">
        <f>IF(RETORNOS!B1080="","",OPTIMIZACION!$B$5*RETORNOS!B1080+OPTIMIZACION!$B$6*RETORNOS!C1080+OPTIMIZACION!$B$7*RETORNOS!D1080+OPTIMIZACION!$B$8*RETORNOS!E1080+OPTIMIZACION!$B$9*RETORNOS!F1080+OPTIMIZACION!$B$10*RETORNOS!G1080)</f>
        <v>-0.004088216807</v>
      </c>
      <c r="C1080" s="7">
        <f>IF(RETORNOS!H1080="","",RETORNOS!H1080)</f>
        <v>-0.01295821695</v>
      </c>
      <c r="D1080" s="7">
        <f>IF(RETORNOS!I1080="","",RETORNOS!I1080)</f>
        <v>-0.008408219865</v>
      </c>
      <c r="E1080" s="7">
        <f t="shared" si="2"/>
        <v>-0.01068321841</v>
      </c>
      <c r="F1080" s="7">
        <f t="shared" si="3"/>
        <v>0.008870000142</v>
      </c>
      <c r="G1080" s="7">
        <f t="shared" si="4"/>
        <v>0.0065950016</v>
      </c>
      <c r="H1080" s="5">
        <f t="shared" ref="H1080:K1080" si="1080">IF(B1080="","",H1079*(1+B1080))</f>
        <v>313.8162545</v>
      </c>
      <c r="I1080" s="5">
        <f t="shared" si="1080"/>
        <v>216.0646835</v>
      </c>
      <c r="J1080" s="5">
        <f t="shared" si="1080"/>
        <v>149.3770541</v>
      </c>
      <c r="K1080" s="5">
        <f t="shared" si="1080"/>
        <v>186.7902288</v>
      </c>
      <c r="L1080" s="7">
        <f t="shared" si="6"/>
        <v>-0.02190911517</v>
      </c>
    </row>
    <row r="1081" ht="15.75" customHeight="1">
      <c r="A1081" s="4">
        <f>IF(RETORNOS!A1081="","",RETORNOS!A1081)</f>
        <v>45981</v>
      </c>
      <c r="B1081" s="7">
        <f>IF(RETORNOS!B1081="","",OPTIMIZACION!$B$5*RETORNOS!B1081+OPTIMIZACION!$B$6*RETORNOS!C1081+OPTIMIZACION!$B$7*RETORNOS!D1081+OPTIMIZACION!$B$8*RETORNOS!E1081+OPTIMIZACION!$B$9*RETORNOS!F1081+OPTIMIZACION!$B$10*RETORNOS!G1081)</f>
        <v>-0.01431323637</v>
      </c>
      <c r="C1081" s="7">
        <f>IF(RETORNOS!H1081="","",RETORNOS!H1081)</f>
        <v>-0.0113487178</v>
      </c>
      <c r="D1081" s="7">
        <f>IF(RETORNOS!I1081="","",RETORNOS!I1081)</f>
        <v>-0.005085888425</v>
      </c>
      <c r="E1081" s="7">
        <f t="shared" si="2"/>
        <v>-0.008217303112</v>
      </c>
      <c r="F1081" s="7">
        <f t="shared" si="3"/>
        <v>-0.002964518566</v>
      </c>
      <c r="G1081" s="7">
        <f t="shared" si="4"/>
        <v>-0.006095933254</v>
      </c>
      <c r="H1081" s="5">
        <f t="shared" ref="H1081:K1081" si="1081">IF(B1081="","",H1080*(1+B1081))</f>
        <v>309.3245282</v>
      </c>
      <c r="I1081" s="5">
        <f t="shared" si="1081"/>
        <v>213.6126264</v>
      </c>
      <c r="J1081" s="5">
        <f t="shared" si="1081"/>
        <v>148.6173391</v>
      </c>
      <c r="K1081" s="5">
        <f t="shared" si="1081"/>
        <v>185.2553169</v>
      </c>
      <c r="L1081" s="7">
        <f t="shared" si="6"/>
        <v>-0.03590876119</v>
      </c>
    </row>
    <row r="1082" ht="15.75" customHeight="1">
      <c r="A1082" s="4">
        <f>IF(RETORNOS!A1082="","",RETORNOS!A1082)</f>
        <v>45982</v>
      </c>
      <c r="B1082" s="7">
        <f>IF(RETORNOS!B1082="","",OPTIMIZACION!$B$5*RETORNOS!B1082+OPTIMIZACION!$B$6*RETORNOS!C1082+OPTIMIZACION!$B$7*RETORNOS!D1082+OPTIMIZACION!$B$8*RETORNOS!E1082+OPTIMIZACION!$B$9*RETORNOS!F1082+OPTIMIZACION!$B$10*RETORNOS!G1082)</f>
        <v>-0.0009786233092</v>
      </c>
      <c r="C1082" s="7">
        <f>IF(RETORNOS!H1082="","",RETORNOS!H1082)</f>
        <v>0.006303570131</v>
      </c>
      <c r="D1082" s="7">
        <f>IF(RETORNOS!I1082="","",RETORNOS!I1082)</f>
        <v>0.001476563841</v>
      </c>
      <c r="E1082" s="7">
        <f t="shared" si="2"/>
        <v>0.003890066986</v>
      </c>
      <c r="F1082" s="7">
        <f t="shared" si="3"/>
        <v>-0.007282193441</v>
      </c>
      <c r="G1082" s="7">
        <f t="shared" si="4"/>
        <v>-0.004868690296</v>
      </c>
      <c r="H1082" s="5">
        <f t="shared" ref="H1082:K1082" si="1082">IF(B1082="","",H1081*(1+B1082))</f>
        <v>309.021816</v>
      </c>
      <c r="I1082" s="5">
        <f t="shared" si="1082"/>
        <v>214.9591485</v>
      </c>
      <c r="J1082" s="5">
        <f t="shared" si="1082"/>
        <v>148.836782</v>
      </c>
      <c r="K1082" s="5">
        <f t="shared" si="1082"/>
        <v>185.9759725</v>
      </c>
      <c r="L1082" s="7">
        <f t="shared" si="6"/>
        <v>-0.03685224335</v>
      </c>
    </row>
    <row r="1083" ht="15.75" customHeight="1">
      <c r="A1083" s="4">
        <f>IF(RETORNOS!A1083="","",RETORNOS!A1083)</f>
        <v>45985</v>
      </c>
      <c r="B1083" s="7">
        <f>IF(RETORNOS!B1083="","",OPTIMIZACION!$B$5*RETORNOS!B1083+OPTIMIZACION!$B$6*RETORNOS!C1083+OPTIMIZACION!$B$7*RETORNOS!D1083+OPTIMIZACION!$B$8*RETORNOS!E1083+OPTIMIZACION!$B$9*RETORNOS!F1083+OPTIMIZACION!$B$10*RETORNOS!G1083)</f>
        <v>-0.0009873372529</v>
      </c>
      <c r="C1083" s="7">
        <f>IF(RETORNOS!H1083="","",RETORNOS!H1083)</f>
        <v>-0.002797070294</v>
      </c>
      <c r="D1083" s="7">
        <f>IF(RETORNOS!I1083="","",RETORNOS!I1083)</f>
        <v>0.01134477793</v>
      </c>
      <c r="E1083" s="7">
        <f t="shared" si="2"/>
        <v>0.004273853817</v>
      </c>
      <c r="F1083" s="7">
        <f t="shared" si="3"/>
        <v>0.001809733042</v>
      </c>
      <c r="G1083" s="7">
        <f t="shared" si="4"/>
        <v>-0.00526119107</v>
      </c>
      <c r="H1083" s="5">
        <f t="shared" ref="H1083:K1083" si="1083">IF(B1083="","",H1082*(1+B1083))</f>
        <v>308.7167073</v>
      </c>
      <c r="I1083" s="5">
        <f t="shared" si="1083"/>
        <v>214.3578927</v>
      </c>
      <c r="J1083" s="5">
        <f t="shared" si="1083"/>
        <v>150.5253023</v>
      </c>
      <c r="K1083" s="5">
        <f t="shared" si="1083"/>
        <v>186.7708066</v>
      </c>
      <c r="L1083" s="7">
        <f t="shared" si="6"/>
        <v>-0.03780319501</v>
      </c>
    </row>
    <row r="1084" ht="15.75" customHeight="1">
      <c r="A1084" s="4">
        <f>IF(RETORNOS!A1084="","",RETORNOS!A1084)</f>
        <v>45986</v>
      </c>
      <c r="B1084" s="7">
        <f>IF(RETORNOS!B1084="","",OPTIMIZACION!$B$5*RETORNOS!B1084+OPTIMIZACION!$B$6*RETORNOS!C1084+OPTIMIZACION!$B$7*RETORNOS!D1084+OPTIMIZACION!$B$8*RETORNOS!E1084+OPTIMIZACION!$B$9*RETORNOS!F1084+OPTIMIZACION!$B$10*RETORNOS!G1084)</f>
        <v>-0.003359697212</v>
      </c>
      <c r="C1084" s="7">
        <f>IF(RETORNOS!H1084="","",RETORNOS!H1084)</f>
        <v>-0.006279392238</v>
      </c>
      <c r="D1084" s="7">
        <f>IF(RETORNOS!I1084="","",RETORNOS!I1084)</f>
        <v>-0.003813006715</v>
      </c>
      <c r="E1084" s="7">
        <f t="shared" si="2"/>
        <v>-0.005046199477</v>
      </c>
      <c r="F1084" s="7">
        <f t="shared" si="3"/>
        <v>0.002919695026</v>
      </c>
      <c r="G1084" s="7">
        <f t="shared" si="4"/>
        <v>0.001686502264</v>
      </c>
      <c r="H1084" s="5">
        <f t="shared" ref="H1084:K1084" si="1084">IF(B1084="","",H1083*(1+B1084))</f>
        <v>307.6795126</v>
      </c>
      <c r="I1084" s="5">
        <f t="shared" si="1084"/>
        <v>213.0118554</v>
      </c>
      <c r="J1084" s="5">
        <f t="shared" si="1084"/>
        <v>149.9513483</v>
      </c>
      <c r="K1084" s="5">
        <f t="shared" si="1084"/>
        <v>185.8283238</v>
      </c>
      <c r="L1084" s="7">
        <f t="shared" si="6"/>
        <v>-0.04103588493</v>
      </c>
    </row>
    <row r="1085" ht="15.75" customHeight="1">
      <c r="A1085" s="4">
        <f>IF(RETORNOS!A1085="","",RETORNOS!A1085)</f>
        <v>45987</v>
      </c>
      <c r="B1085" s="7">
        <f>IF(RETORNOS!B1085="","",OPTIMIZACION!$B$5*RETORNOS!B1085+OPTIMIZACION!$B$6*RETORNOS!C1085+OPTIMIZACION!$B$7*RETORNOS!D1085+OPTIMIZACION!$B$8*RETORNOS!E1085+OPTIMIZACION!$B$9*RETORNOS!F1085+OPTIMIZACION!$B$10*RETORNOS!G1085)</f>
        <v>0.01311400697</v>
      </c>
      <c r="C1085" s="7">
        <f>IF(RETORNOS!H1085="","",RETORNOS!H1085)</f>
        <v>0.007561944435</v>
      </c>
      <c r="D1085" s="7">
        <f>IF(RETORNOS!I1085="","",RETORNOS!I1085)</f>
        <v>0.01328656414</v>
      </c>
      <c r="E1085" s="7">
        <f t="shared" si="2"/>
        <v>0.01042425429</v>
      </c>
      <c r="F1085" s="7">
        <f t="shared" si="3"/>
        <v>0.005552062534</v>
      </c>
      <c r="G1085" s="7">
        <f t="shared" si="4"/>
        <v>0.00268975268</v>
      </c>
      <c r="H1085" s="5">
        <f t="shared" ref="H1085:K1085" si="1085">IF(B1085="","",H1084*(1+B1085))</f>
        <v>311.7144239</v>
      </c>
      <c r="I1085" s="5">
        <f t="shared" si="1085"/>
        <v>214.6226392</v>
      </c>
      <c r="J1085" s="5">
        <f t="shared" si="1085"/>
        <v>151.9436865</v>
      </c>
      <c r="K1085" s="5">
        <f t="shared" si="1085"/>
        <v>187.7654455</v>
      </c>
      <c r="L1085" s="7">
        <f t="shared" si="6"/>
        <v>-0.02846002284</v>
      </c>
    </row>
    <row r="1086" ht="15.75" customHeight="1">
      <c r="A1086" s="4">
        <f>IF(RETORNOS!A1086="","",RETORNOS!A1086)</f>
        <v>45989</v>
      </c>
      <c r="B1086" s="7">
        <f>IF(RETORNOS!B1086="","",OPTIMIZACION!$B$5*RETORNOS!B1086+OPTIMIZACION!$B$6*RETORNOS!C1086+OPTIMIZACION!$B$7*RETORNOS!D1086+OPTIMIZACION!$B$8*RETORNOS!E1086+OPTIMIZACION!$B$9*RETORNOS!F1086+OPTIMIZACION!$B$10*RETORNOS!G1086)</f>
        <v>0.01180291504</v>
      </c>
      <c r="C1086" s="7">
        <f>IF(RETORNOS!H1086="","",RETORNOS!H1086)</f>
        <v>0.01310358383</v>
      </c>
      <c r="D1086" s="7">
        <f>IF(RETORNOS!I1086="","",RETORNOS!I1086)</f>
        <v>0.007111477333</v>
      </c>
      <c r="E1086" s="7">
        <f t="shared" si="2"/>
        <v>0.01010753058</v>
      </c>
      <c r="F1086" s="7">
        <f t="shared" si="3"/>
        <v>-0.00130066879</v>
      </c>
      <c r="G1086" s="7">
        <f t="shared" si="4"/>
        <v>0.001695384458</v>
      </c>
      <c r="H1086" s="5">
        <f t="shared" ref="H1086:K1086" si="1086">IF(B1086="","",H1085*(1+B1086))</f>
        <v>315.3935628</v>
      </c>
      <c r="I1086" s="5">
        <f t="shared" si="1086"/>
        <v>217.434965</v>
      </c>
      <c r="J1086" s="5">
        <f t="shared" si="1086"/>
        <v>153.0242306</v>
      </c>
      <c r="K1086" s="5">
        <f t="shared" si="1086"/>
        <v>189.6632905</v>
      </c>
      <c r="L1086" s="7">
        <f t="shared" si="6"/>
        <v>-0.01699301904</v>
      </c>
    </row>
    <row r="1087" ht="15.75" customHeight="1">
      <c r="A1087" s="4">
        <f>IF(RETORNOS!A1087="","",RETORNOS!A1087)</f>
        <v>45992</v>
      </c>
      <c r="B1087" s="7">
        <f>IF(RETORNOS!B1087="","",OPTIMIZACION!$B$5*RETORNOS!B1087+OPTIMIZACION!$B$6*RETORNOS!C1087+OPTIMIZACION!$B$7*RETORNOS!D1087+OPTIMIZACION!$B$8*RETORNOS!E1087+OPTIMIZACION!$B$9*RETORNOS!F1087+OPTIMIZACION!$B$10*RETORNOS!G1087)</f>
        <v>-0.00834817461</v>
      </c>
      <c r="C1087" s="7">
        <f>IF(RETORNOS!H1087="","",RETORNOS!H1087)</f>
        <v>0.009618064925</v>
      </c>
      <c r="D1087" s="7">
        <f>IF(RETORNOS!I1087="","",RETORNOS!I1087)</f>
        <v>-0.02339153983</v>
      </c>
      <c r="E1087" s="7">
        <f t="shared" si="2"/>
        <v>-0.006886737451</v>
      </c>
      <c r="F1087" s="7">
        <f t="shared" si="3"/>
        <v>-0.01796623953</v>
      </c>
      <c r="G1087" s="7">
        <f t="shared" si="4"/>
        <v>-0.001461437159</v>
      </c>
      <c r="H1087" s="5">
        <f t="shared" ref="H1087:K1087" si="1087">IF(B1087="","",H1086*(1+B1087))</f>
        <v>312.7606022</v>
      </c>
      <c r="I1087" s="5">
        <f t="shared" si="1087"/>
        <v>219.5262686</v>
      </c>
      <c r="J1087" s="5">
        <f t="shared" si="1087"/>
        <v>149.4447582</v>
      </c>
      <c r="K1087" s="5">
        <f t="shared" si="1087"/>
        <v>188.3571292</v>
      </c>
      <c r="L1087" s="7">
        <f t="shared" si="6"/>
        <v>-0.02519933295</v>
      </c>
    </row>
    <row r="1088" ht="15.75" customHeight="1">
      <c r="A1088" s="4">
        <f>IF(RETORNOS!A1088="","",RETORNOS!A1088)</f>
        <v>45993</v>
      </c>
      <c r="B1088" s="7">
        <f>IF(RETORNOS!B1088="","",OPTIMIZACION!$B$5*RETORNOS!B1088+OPTIMIZACION!$B$6*RETORNOS!C1088+OPTIMIZACION!$B$7*RETORNOS!D1088+OPTIMIZACION!$B$8*RETORNOS!E1088+OPTIMIZACION!$B$9*RETORNOS!F1088+OPTIMIZACION!$B$10*RETORNOS!G1088)</f>
        <v>-0.01004802565</v>
      </c>
      <c r="C1088" s="7">
        <f>IF(RETORNOS!H1088="","",RETORNOS!H1088)</f>
        <v>-0.0129213235</v>
      </c>
      <c r="D1088" s="7">
        <f>IF(RETORNOS!I1088="","",RETORNOS!I1088)</f>
        <v>-0.007118839313</v>
      </c>
      <c r="E1088" s="7">
        <f t="shared" si="2"/>
        <v>-0.0100200814</v>
      </c>
      <c r="F1088" s="7">
        <f t="shared" si="3"/>
        <v>0.002873297849</v>
      </c>
      <c r="G1088" s="7">
        <f t="shared" si="4"/>
        <v>-0.00002794424342</v>
      </c>
      <c r="H1088" s="5">
        <f t="shared" ref="H1088:K1088" si="1088">IF(B1088="","",H1087*(1+B1088))</f>
        <v>309.6179757</v>
      </c>
      <c r="I1088" s="5">
        <f t="shared" si="1088"/>
        <v>216.6896986</v>
      </c>
      <c r="J1088" s="5">
        <f t="shared" si="1088"/>
        <v>148.380885</v>
      </c>
      <c r="K1088" s="5">
        <f t="shared" si="1088"/>
        <v>186.4697755</v>
      </c>
      <c r="L1088" s="7">
        <f t="shared" si="6"/>
        <v>-0.03499415506</v>
      </c>
    </row>
    <row r="1089" ht="15.75" customHeight="1">
      <c r="A1089" s="4">
        <f>IF(RETORNOS!A1089="","",RETORNOS!A1089)</f>
        <v>45994</v>
      </c>
      <c r="B1089" s="7">
        <f>IF(RETORNOS!B1089="","",OPTIMIZACION!$B$5*RETORNOS!B1089+OPTIMIZACION!$B$6*RETORNOS!C1089+OPTIMIZACION!$B$7*RETORNOS!D1089+OPTIMIZACION!$B$8*RETORNOS!E1089+OPTIMIZACION!$B$9*RETORNOS!F1089+OPTIMIZACION!$B$10*RETORNOS!G1089)</f>
        <v>0.01009236752</v>
      </c>
      <c r="C1089" s="7">
        <f>IF(RETORNOS!H1089="","",RETORNOS!H1089)</f>
        <v>0.01874958043</v>
      </c>
      <c r="D1089" s="7">
        <f>IF(RETORNOS!I1089="","",RETORNOS!I1089)</f>
        <v>-0.003184830211</v>
      </c>
      <c r="E1089" s="7">
        <f t="shared" si="2"/>
        <v>0.007782375111</v>
      </c>
      <c r="F1089" s="7">
        <f t="shared" si="3"/>
        <v>-0.008657212914</v>
      </c>
      <c r="G1089" s="7">
        <f t="shared" si="4"/>
        <v>0.002309992409</v>
      </c>
      <c r="H1089" s="5">
        <f t="shared" ref="H1089:K1089" si="1089">IF(B1089="","",H1088*(1+B1089))</f>
        <v>312.7427541</v>
      </c>
      <c r="I1089" s="5">
        <f t="shared" si="1089"/>
        <v>220.7525396</v>
      </c>
      <c r="J1089" s="5">
        <f t="shared" si="1089"/>
        <v>147.9083171</v>
      </c>
      <c r="K1089" s="5">
        <f t="shared" si="1089"/>
        <v>187.9209532</v>
      </c>
      <c r="L1089" s="7">
        <f t="shared" si="6"/>
        <v>-0.02525496141</v>
      </c>
    </row>
    <row r="1090" ht="15.75" customHeight="1">
      <c r="A1090" s="4">
        <f>IF(RETORNOS!A1090="","",RETORNOS!A1090)</f>
        <v>45995</v>
      </c>
      <c r="B1090" s="7">
        <f>IF(RETORNOS!B1090="","",OPTIMIZACION!$B$5*RETORNOS!B1090+OPTIMIZACION!$B$6*RETORNOS!C1090+OPTIMIZACION!$B$7*RETORNOS!D1090+OPTIMIZACION!$B$8*RETORNOS!E1090+OPTIMIZACION!$B$9*RETORNOS!F1090+OPTIMIZACION!$B$10*RETORNOS!G1090)</f>
        <v>0.00554722945</v>
      </c>
      <c r="C1090" s="7">
        <f>IF(RETORNOS!H1090="","",RETORNOS!H1090)</f>
        <v>0.00424584147</v>
      </c>
      <c r="D1090" s="7">
        <f>IF(RETORNOS!I1090="","",RETORNOS!I1090)</f>
        <v>-0.002054096577</v>
      </c>
      <c r="E1090" s="7">
        <f t="shared" si="2"/>
        <v>0.001095872446</v>
      </c>
      <c r="F1090" s="7">
        <f t="shared" si="3"/>
        <v>0.00130138798</v>
      </c>
      <c r="G1090" s="7">
        <f t="shared" si="4"/>
        <v>0.004451357004</v>
      </c>
      <c r="H1090" s="5">
        <f t="shared" ref="H1090:K1090" si="1090">IF(B1090="","",H1089*(1+B1090))</f>
        <v>314.4776099</v>
      </c>
      <c r="I1090" s="5">
        <f t="shared" si="1090"/>
        <v>221.6898199</v>
      </c>
      <c r="J1090" s="5">
        <f t="shared" si="1090"/>
        <v>147.6044991</v>
      </c>
      <c r="K1090" s="5">
        <f t="shared" si="1090"/>
        <v>188.1268906</v>
      </c>
      <c r="L1090" s="7">
        <f t="shared" si="6"/>
        <v>-0.01984782703</v>
      </c>
    </row>
    <row r="1091" ht="15.75" customHeight="1">
      <c r="A1091" s="4">
        <f>IF(RETORNOS!A1091="","",RETORNOS!A1091)</f>
        <v>45996</v>
      </c>
      <c r="B1091" s="7">
        <f>IF(RETORNOS!B1091="","",OPTIMIZACION!$B$5*RETORNOS!B1091+OPTIMIZACION!$B$6*RETORNOS!C1091+OPTIMIZACION!$B$7*RETORNOS!D1091+OPTIMIZACION!$B$8*RETORNOS!E1091+OPTIMIZACION!$B$9*RETORNOS!F1091+OPTIMIZACION!$B$10*RETORNOS!G1091)</f>
        <v>-0.01470618103</v>
      </c>
      <c r="C1091" s="7">
        <f>IF(RETORNOS!H1091="","",RETORNOS!H1091)</f>
        <v>-0.004120716882</v>
      </c>
      <c r="D1091" s="7">
        <f>IF(RETORNOS!I1091="","",RETORNOS!I1091)</f>
        <v>-0.009381165754</v>
      </c>
      <c r="E1091" s="7">
        <f t="shared" si="2"/>
        <v>-0.006750941318</v>
      </c>
      <c r="F1091" s="7">
        <f t="shared" si="3"/>
        <v>-0.01058546415</v>
      </c>
      <c r="G1091" s="7">
        <f t="shared" si="4"/>
        <v>-0.007955239716</v>
      </c>
      <c r="H1091" s="5">
        <f t="shared" ref="H1091:K1091" si="1091">IF(B1091="","",H1090*(1+B1091))</f>
        <v>309.8528452</v>
      </c>
      <c r="I1091" s="5">
        <f t="shared" si="1091"/>
        <v>220.7762989</v>
      </c>
      <c r="J1091" s="5">
        <f t="shared" si="1091"/>
        <v>146.2197968</v>
      </c>
      <c r="K1091" s="5">
        <f t="shared" si="1091"/>
        <v>186.856857</v>
      </c>
      <c r="L1091" s="7">
        <f t="shared" si="6"/>
        <v>-0.03426212233</v>
      </c>
    </row>
    <row r="1092" ht="15.75" customHeight="1">
      <c r="A1092" s="4">
        <f>IF(RETORNOS!A1092="","",RETORNOS!A1092)</f>
        <v>45999</v>
      </c>
      <c r="B1092" s="7">
        <f>IF(RETORNOS!B1092="","",OPTIMIZACION!$B$5*RETORNOS!B1092+OPTIMIZACION!$B$6*RETORNOS!C1092+OPTIMIZACION!$B$7*RETORNOS!D1092+OPTIMIZACION!$B$8*RETORNOS!E1092+OPTIMIZACION!$B$9*RETORNOS!F1092+OPTIMIZACION!$B$10*RETORNOS!G1092)</f>
        <v>-0.004537970957</v>
      </c>
      <c r="C1092" s="7">
        <f>IF(RETORNOS!H1092="","",RETORNOS!H1092)</f>
        <v>-0.01088689663</v>
      </c>
      <c r="D1092" s="7">
        <f>IF(RETORNOS!I1092="","",RETORNOS!I1092)</f>
        <v>-0.0133952878</v>
      </c>
      <c r="E1092" s="7">
        <f t="shared" si="2"/>
        <v>-0.01214109222</v>
      </c>
      <c r="F1092" s="7">
        <f t="shared" si="3"/>
        <v>0.006348925673</v>
      </c>
      <c r="G1092" s="7">
        <f t="shared" si="4"/>
        <v>0.007603121258</v>
      </c>
      <c r="H1092" s="5">
        <f t="shared" ref="H1092:K1092" si="1092">IF(B1092="","",H1091*(1+B1092))</f>
        <v>308.446742</v>
      </c>
      <c r="I1092" s="5">
        <f t="shared" si="1092"/>
        <v>218.3727301</v>
      </c>
      <c r="J1092" s="5">
        <f t="shared" si="1092"/>
        <v>144.2611406</v>
      </c>
      <c r="K1092" s="5">
        <f t="shared" si="1092"/>
        <v>184.5882107</v>
      </c>
      <c r="L1092" s="7">
        <f t="shared" si="6"/>
        <v>-0.03864461277</v>
      </c>
    </row>
    <row r="1093" ht="15.75" customHeight="1">
      <c r="A1093" s="4">
        <f>IF(RETORNOS!A1093="","",RETORNOS!A1093)</f>
        <v>46000</v>
      </c>
      <c r="B1093" s="7">
        <f>IF(RETORNOS!B1093="","",OPTIMIZACION!$B$5*RETORNOS!B1093+OPTIMIZACION!$B$6*RETORNOS!C1093+OPTIMIZACION!$B$7*RETORNOS!D1093+OPTIMIZACION!$B$8*RETORNOS!E1093+OPTIMIZACION!$B$9*RETORNOS!F1093+OPTIMIZACION!$B$10*RETORNOS!G1093)</f>
        <v>0.001549613503</v>
      </c>
      <c r="C1093" s="7">
        <f>IF(RETORNOS!H1093="","",RETORNOS!H1093)</f>
        <v>0.006163944036</v>
      </c>
      <c r="D1093" s="7">
        <f>IF(RETORNOS!I1093="","",RETORNOS!I1093)</f>
        <v>0.0007027953804</v>
      </c>
      <c r="E1093" s="7">
        <f t="shared" si="2"/>
        <v>0.003433369708</v>
      </c>
      <c r="F1093" s="7">
        <f t="shared" si="3"/>
        <v>-0.004614330533</v>
      </c>
      <c r="G1093" s="7">
        <f t="shared" si="4"/>
        <v>-0.001883756205</v>
      </c>
      <c r="H1093" s="5">
        <f t="shared" ref="H1093:K1093" si="1093">IF(B1093="","",H1092*(1+B1093))</f>
        <v>308.9247152</v>
      </c>
      <c r="I1093" s="5">
        <f t="shared" si="1093"/>
        <v>219.7187674</v>
      </c>
      <c r="J1093" s="5">
        <f t="shared" si="1093"/>
        <v>144.3625266</v>
      </c>
      <c r="K1093" s="5">
        <f t="shared" si="1093"/>
        <v>185.2219702</v>
      </c>
      <c r="L1093" s="7">
        <f t="shared" si="6"/>
        <v>-0.03715488348</v>
      </c>
    </row>
    <row r="1094" ht="15.75" customHeight="1">
      <c r="A1094" s="4">
        <f>IF(RETORNOS!A1094="","",RETORNOS!A1094)</f>
        <v>46001</v>
      </c>
      <c r="B1094" s="7">
        <f>IF(RETORNOS!B1094="","",OPTIMIZACION!$B$5*RETORNOS!B1094+OPTIMIZACION!$B$6*RETORNOS!C1094+OPTIMIZACION!$B$7*RETORNOS!D1094+OPTIMIZACION!$B$8*RETORNOS!E1094+OPTIMIZACION!$B$9*RETORNOS!F1094+OPTIMIZACION!$B$10*RETORNOS!G1094)</f>
        <v>-0.0002173331446</v>
      </c>
      <c r="C1094" s="7">
        <f>IF(RETORNOS!H1094="","",RETORNOS!H1094)</f>
        <v>0.0105045494</v>
      </c>
      <c r="D1094" s="7">
        <f>IF(RETORNOS!I1094="","",RETORNOS!I1094)</f>
        <v>-0.0004689867765</v>
      </c>
      <c r="E1094" s="7">
        <f t="shared" si="2"/>
        <v>0.00501778131</v>
      </c>
      <c r="F1094" s="7">
        <f t="shared" si="3"/>
        <v>-0.01072188254</v>
      </c>
      <c r="G1094" s="7">
        <f t="shared" si="4"/>
        <v>-0.005235114455</v>
      </c>
      <c r="H1094" s="5">
        <f t="shared" ref="H1094:K1094" si="1094">IF(B1094="","",H1093*(1+B1094))</f>
        <v>308.8575757</v>
      </c>
      <c r="I1094" s="5">
        <f t="shared" si="1094"/>
        <v>222.0268141</v>
      </c>
      <c r="J1094" s="5">
        <f t="shared" si="1094"/>
        <v>144.2948225</v>
      </c>
      <c r="K1094" s="5">
        <f t="shared" si="1094"/>
        <v>186.1513736</v>
      </c>
      <c r="L1094" s="7">
        <f t="shared" si="6"/>
        <v>-0.03736414163</v>
      </c>
    </row>
    <row r="1095" ht="15.75" customHeight="1">
      <c r="A1095" s="4">
        <f>IF(RETORNOS!A1095="","",RETORNOS!A1095)</f>
        <v>46002</v>
      </c>
      <c r="B1095" s="7">
        <f>IF(RETORNOS!B1095="","",OPTIMIZACION!$B$5*RETORNOS!B1095+OPTIMIZACION!$B$6*RETORNOS!C1095+OPTIMIZACION!$B$7*RETORNOS!D1095+OPTIMIZACION!$B$8*RETORNOS!E1095+OPTIMIZACION!$B$9*RETORNOS!F1095+OPTIMIZACION!$B$10*RETORNOS!G1095)</f>
        <v>0.006714501258</v>
      </c>
      <c r="C1095" s="7">
        <f>IF(RETORNOS!H1095="","",RETORNOS!H1095)</f>
        <v>-0.004765263804</v>
      </c>
      <c r="D1095" s="7">
        <f>IF(RETORNOS!I1095="","",RETORNOS!I1095)</f>
        <v>0.007255022164</v>
      </c>
      <c r="E1095" s="7">
        <f t="shared" si="2"/>
        <v>0.00124487918</v>
      </c>
      <c r="F1095" s="7">
        <f t="shared" si="3"/>
        <v>0.01147976506</v>
      </c>
      <c r="G1095" s="7">
        <f t="shared" si="4"/>
        <v>0.005469622078</v>
      </c>
      <c r="H1095" s="5">
        <f t="shared" ref="H1095:K1095" si="1095">IF(B1095="","",H1094*(1+B1095))</f>
        <v>310.9314002</v>
      </c>
      <c r="I1095" s="5">
        <f t="shared" si="1095"/>
        <v>220.9687977</v>
      </c>
      <c r="J1095" s="5">
        <f t="shared" si="1095"/>
        <v>145.3416846</v>
      </c>
      <c r="K1095" s="5">
        <f t="shared" si="1095"/>
        <v>186.3831095</v>
      </c>
      <c r="L1095" s="7">
        <f t="shared" si="6"/>
        <v>-0.03090052195</v>
      </c>
    </row>
    <row r="1096" ht="15.75" customHeight="1">
      <c r="A1096" s="4">
        <f>IF(RETORNOS!A1096="","",RETORNOS!A1096)</f>
        <v>46003</v>
      </c>
      <c r="B1096" s="7">
        <f>IF(RETORNOS!B1096="","",OPTIMIZACION!$B$5*RETORNOS!B1096+OPTIMIZACION!$B$6*RETORNOS!C1096+OPTIMIZACION!$B$7*RETORNOS!D1096+OPTIMIZACION!$B$8*RETORNOS!E1096+OPTIMIZACION!$B$9*RETORNOS!F1096+OPTIMIZACION!$B$10*RETORNOS!G1096)</f>
        <v>-0.0155214451</v>
      </c>
      <c r="C1096" s="7">
        <f>IF(RETORNOS!H1096="","",RETORNOS!H1096)</f>
        <v>-0.009791207224</v>
      </c>
      <c r="D1096" s="7">
        <f>IF(RETORNOS!I1096="","",RETORNOS!I1096)</f>
        <v>-0.004878311411</v>
      </c>
      <c r="E1096" s="7">
        <f t="shared" si="2"/>
        <v>-0.007334759318</v>
      </c>
      <c r="F1096" s="7">
        <f t="shared" si="3"/>
        <v>-0.005730237873</v>
      </c>
      <c r="G1096" s="7">
        <f t="shared" si="4"/>
        <v>-0.00818668578</v>
      </c>
      <c r="H1096" s="5">
        <f t="shared" ref="H1096:K1096" si="1096">IF(B1096="","",H1095*(1+B1096))</f>
        <v>306.1052956</v>
      </c>
      <c r="I1096" s="5">
        <f t="shared" si="1096"/>
        <v>218.8052464</v>
      </c>
      <c r="J1096" s="5">
        <f t="shared" si="1096"/>
        <v>144.6326626</v>
      </c>
      <c r="K1096" s="5">
        <f t="shared" si="1096"/>
        <v>185.0160343</v>
      </c>
      <c r="L1096" s="7">
        <f t="shared" si="6"/>
        <v>-0.04594234629</v>
      </c>
    </row>
    <row r="1097" ht="15.75" customHeight="1">
      <c r="A1097" s="4">
        <f>IF(RETORNOS!A1097="","",RETORNOS!A1097)</f>
        <v>46006</v>
      </c>
      <c r="B1097" s="7">
        <f>IF(RETORNOS!B1097="","",OPTIMIZACION!$B$5*RETORNOS!B1097+OPTIMIZACION!$B$6*RETORNOS!C1097+OPTIMIZACION!$B$7*RETORNOS!D1097+OPTIMIZACION!$B$8*RETORNOS!E1097+OPTIMIZACION!$B$9*RETORNOS!F1097+OPTIMIZACION!$B$10*RETORNOS!G1097)</f>
        <v>0.001029245701</v>
      </c>
      <c r="C1097" s="7">
        <f>IF(RETORNOS!H1097="","",RETORNOS!H1097)</f>
        <v>-0.0070315322</v>
      </c>
      <c r="D1097" s="7">
        <f>IF(RETORNOS!I1097="","",RETORNOS!I1097)</f>
        <v>0.009105814219</v>
      </c>
      <c r="E1097" s="7">
        <f t="shared" si="2"/>
        <v>0.001037141009</v>
      </c>
      <c r="F1097" s="7">
        <f t="shared" si="3"/>
        <v>0.008060777901</v>
      </c>
      <c r="G1097" s="7">
        <f t="shared" si="4"/>
        <v>-0.000007895308221</v>
      </c>
      <c r="H1097" s="5">
        <f t="shared" ref="H1097:K1097" si="1097">IF(B1097="","",H1096*(1+B1097))</f>
        <v>306.4203532</v>
      </c>
      <c r="I1097" s="5">
        <f t="shared" si="1097"/>
        <v>217.2667103</v>
      </c>
      <c r="J1097" s="5">
        <f t="shared" si="1097"/>
        <v>145.9496608</v>
      </c>
      <c r="K1097" s="5">
        <f t="shared" si="1097"/>
        <v>185.207922</v>
      </c>
      <c r="L1097" s="7">
        <f t="shared" si="6"/>
        <v>-0.04496038656</v>
      </c>
    </row>
    <row r="1098" ht="15.75" customHeight="1">
      <c r="A1098" s="4">
        <f>IF(RETORNOS!A1098="","",RETORNOS!A1098)</f>
        <v>46007</v>
      </c>
      <c r="B1098" s="7">
        <f>IF(RETORNOS!B1098="","",OPTIMIZACION!$B$5*RETORNOS!B1098+OPTIMIZACION!$B$6*RETORNOS!C1098+OPTIMIZACION!$B$7*RETORNOS!D1098+OPTIMIZACION!$B$8*RETORNOS!E1098+OPTIMIZACION!$B$9*RETORNOS!F1098+OPTIMIZACION!$B$10*RETORNOS!G1098)</f>
        <v>-0.01163606504</v>
      </c>
      <c r="C1098" s="7">
        <f>IF(RETORNOS!H1098="","",RETORNOS!H1098)</f>
        <v>-0.03053695769</v>
      </c>
      <c r="D1098" s="7">
        <f>IF(RETORNOS!I1098="","",RETORNOS!I1098)</f>
        <v>-0.004165656528</v>
      </c>
      <c r="E1098" s="7">
        <f t="shared" si="2"/>
        <v>-0.01735130711</v>
      </c>
      <c r="F1098" s="7">
        <f t="shared" si="3"/>
        <v>0.01890089265</v>
      </c>
      <c r="G1098" s="7">
        <f t="shared" si="4"/>
        <v>0.005715242068</v>
      </c>
      <c r="H1098" s="5">
        <f t="shared" ref="H1098:K1098" si="1098">IF(B1098="","",H1097*(1+B1098))</f>
        <v>302.854826</v>
      </c>
      <c r="I1098" s="5">
        <f t="shared" si="1098"/>
        <v>210.632046</v>
      </c>
      <c r="J1098" s="5">
        <f t="shared" si="1098"/>
        <v>145.3416846</v>
      </c>
      <c r="K1098" s="5">
        <f t="shared" si="1098"/>
        <v>181.9943225</v>
      </c>
      <c r="L1098" s="7">
        <f t="shared" si="6"/>
        <v>-0.05607328961</v>
      </c>
    </row>
    <row r="1099" ht="15.75" customHeight="1">
      <c r="A1099" s="4">
        <f>IF(RETORNOS!A1099="","",RETORNOS!A1099)</f>
        <v>46008</v>
      </c>
      <c r="B1099" s="7">
        <f>IF(RETORNOS!B1099="","",OPTIMIZACION!$B$5*RETORNOS!B1099+OPTIMIZACION!$B$6*RETORNOS!C1099+OPTIMIZACION!$B$7*RETORNOS!D1099+OPTIMIZACION!$B$8*RETORNOS!E1099+OPTIMIZACION!$B$9*RETORNOS!F1099+OPTIMIZACION!$B$10*RETORNOS!G1099)</f>
        <v>-0.001008800108</v>
      </c>
      <c r="C1099" s="7">
        <f>IF(RETORNOS!H1099="","",RETORNOS!H1099)</f>
        <v>0.02214103689</v>
      </c>
      <c r="D1099" s="7">
        <f>IF(RETORNOS!I1099="","",RETORNOS!I1099)</f>
        <v>-0.006505195495</v>
      </c>
      <c r="E1099" s="7">
        <f t="shared" si="2"/>
        <v>0.007817920695</v>
      </c>
      <c r="F1099" s="7">
        <f t="shared" si="3"/>
        <v>-0.02314983699</v>
      </c>
      <c r="G1099" s="7">
        <f t="shared" si="4"/>
        <v>-0.008826720803</v>
      </c>
      <c r="H1099" s="5">
        <f t="shared" ref="H1099:K1099" si="1099">IF(B1099="","",H1098*(1+B1099))</f>
        <v>302.549306</v>
      </c>
      <c r="I1099" s="5">
        <f t="shared" si="1099"/>
        <v>215.2956579</v>
      </c>
      <c r="J1099" s="5">
        <f t="shared" si="1099"/>
        <v>144.3962086</v>
      </c>
      <c r="K1099" s="5">
        <f t="shared" si="1099"/>
        <v>183.4171397</v>
      </c>
      <c r="L1099" s="7">
        <f t="shared" si="6"/>
        <v>-0.05702552298</v>
      </c>
    </row>
    <row r="1100" ht="15.75" customHeight="1">
      <c r="A1100" s="4">
        <f>IF(RETORNOS!A1100="","",RETORNOS!A1100)</f>
        <v>46009</v>
      </c>
      <c r="B1100" s="7">
        <f>IF(RETORNOS!B1100="","",OPTIMIZACION!$B$5*RETORNOS!B1100+OPTIMIZACION!$B$6*RETORNOS!C1100+OPTIMIZACION!$B$7*RETORNOS!D1100+OPTIMIZACION!$B$8*RETORNOS!E1100+OPTIMIZACION!$B$9*RETORNOS!F1100+OPTIMIZACION!$B$10*RETORNOS!G1100)</f>
        <v>0.006549159473</v>
      </c>
      <c r="C1100" s="7">
        <f>IF(RETORNOS!H1100="","",RETORNOS!H1100)</f>
        <v>-0.01451527538</v>
      </c>
      <c r="D1100" s="7">
        <f>IF(RETORNOS!I1100="","",RETORNOS!I1100)</f>
        <v>0.009822863309</v>
      </c>
      <c r="E1100" s="7">
        <f t="shared" si="2"/>
        <v>-0.002346206038</v>
      </c>
      <c r="F1100" s="7">
        <f t="shared" si="3"/>
        <v>0.02106443486</v>
      </c>
      <c r="G1100" s="7">
        <f t="shared" si="4"/>
        <v>0.008895365511</v>
      </c>
      <c r="H1100" s="5">
        <f t="shared" ref="H1100:K1100" si="1100">IF(B1100="","",H1099*(1+B1100))</f>
        <v>304.5307497</v>
      </c>
      <c r="I1100" s="5">
        <f t="shared" si="1100"/>
        <v>212.1705821</v>
      </c>
      <c r="J1100" s="5">
        <f t="shared" si="1100"/>
        <v>145.8145928</v>
      </c>
      <c r="K1100" s="5">
        <f t="shared" si="1100"/>
        <v>182.9868053</v>
      </c>
      <c r="L1100" s="7">
        <f t="shared" si="6"/>
        <v>-0.05084983275</v>
      </c>
    </row>
    <row r="1101" ht="15.75" customHeight="1">
      <c r="A1101" s="4">
        <f>IF(RETORNOS!A1101="","",RETORNOS!A1101)</f>
        <v>46010</v>
      </c>
      <c r="B1101" s="7">
        <f>IF(RETORNOS!B1101="","",OPTIMIZACION!$B$5*RETORNOS!B1101+OPTIMIZACION!$B$6*RETORNOS!C1101+OPTIMIZACION!$B$7*RETORNOS!D1101+OPTIMIZACION!$B$8*RETORNOS!E1101+OPTIMIZACION!$B$9*RETORNOS!F1101+OPTIMIZACION!$B$10*RETORNOS!G1101)</f>
        <v>-0.008103334047</v>
      </c>
      <c r="C1101" s="7">
        <f>IF(RETORNOS!H1101="","",RETORNOS!H1101)</f>
        <v>0</v>
      </c>
      <c r="D1101" s="7">
        <f>IF(RETORNOS!I1101="","",RETORNOS!I1101)</f>
        <v>-0.01273720388</v>
      </c>
      <c r="E1101" s="7">
        <f t="shared" si="2"/>
        <v>-0.006368601941</v>
      </c>
      <c r="F1101" s="7">
        <f t="shared" si="3"/>
        <v>-0.008103334047</v>
      </c>
      <c r="G1101" s="7">
        <f t="shared" si="4"/>
        <v>-0.001734732106</v>
      </c>
      <c r="H1101" s="5">
        <f t="shared" ref="H1101:K1101" si="1101">IF(B1101="","",H1100*(1+B1101))</f>
        <v>302.0630353</v>
      </c>
      <c r="I1101" s="5">
        <f t="shared" si="1101"/>
        <v>212.1705821</v>
      </c>
      <c r="J1101" s="5">
        <f t="shared" si="1101"/>
        <v>143.9573226</v>
      </c>
      <c r="K1101" s="5">
        <f t="shared" si="1101"/>
        <v>181.8214351</v>
      </c>
      <c r="L1101" s="7">
        <f t="shared" si="6"/>
        <v>-0.05854111362</v>
      </c>
    </row>
    <row r="1102" ht="15.75" customHeight="1">
      <c r="A1102" s="4">
        <f>IF(RETORNOS!A1102="","",RETORNOS!A1102)</f>
        <v>46013</v>
      </c>
      <c r="B1102" s="7">
        <f>IF(RETORNOS!B1102="","",OPTIMIZACION!$B$5*RETORNOS!B1102+OPTIMIZACION!$B$6*RETORNOS!C1102+OPTIMIZACION!$B$7*RETORNOS!D1102+OPTIMIZACION!$B$8*RETORNOS!E1102+OPTIMIZACION!$B$9*RETORNOS!F1102+OPTIMIZACION!$B$10*RETORNOS!G1102)</f>
        <v>0.006518545311</v>
      </c>
      <c r="C1102" s="7">
        <f>IF(RETORNOS!H1102="","",RETORNOS!H1102)</f>
        <v>0.01035262929</v>
      </c>
      <c r="D1102" s="7">
        <f>IF(RETORNOS!I1102="","",RETORNOS!I1102)</f>
        <v>0.003715187839</v>
      </c>
      <c r="E1102" s="7">
        <f t="shared" si="2"/>
        <v>0.007033908566</v>
      </c>
      <c r="F1102" s="7">
        <f t="shared" si="3"/>
        <v>-0.003834083983</v>
      </c>
      <c r="G1102" s="7">
        <f t="shared" si="4"/>
        <v>-0.0005153632554</v>
      </c>
      <c r="H1102" s="5">
        <f t="shared" ref="H1102:K1102" si="1102">IF(B1102="","",H1101*(1+B1102))</f>
        <v>304.0320469</v>
      </c>
      <c r="I1102" s="5">
        <f t="shared" si="1102"/>
        <v>214.3671055</v>
      </c>
      <c r="J1102" s="5">
        <f t="shared" si="1102"/>
        <v>144.4921511</v>
      </c>
      <c r="K1102" s="5">
        <f t="shared" si="1102"/>
        <v>183.1003505</v>
      </c>
      <c r="L1102" s="7">
        <f t="shared" si="6"/>
        <v>-0.05240417121</v>
      </c>
    </row>
    <row r="1103" ht="15.75" customHeight="1">
      <c r="A1103" s="4">
        <f>IF(RETORNOS!A1103="","",RETORNOS!A1103)</f>
        <v>46014</v>
      </c>
      <c r="B1103" s="7">
        <f>IF(RETORNOS!B1103="","",OPTIMIZACION!$B$5*RETORNOS!B1103+OPTIMIZACION!$B$6*RETORNOS!C1103+OPTIMIZACION!$B$7*RETORNOS!D1103+OPTIMIZACION!$B$8*RETORNOS!E1103+OPTIMIZACION!$B$9*RETORNOS!F1103+OPTIMIZACION!$B$10*RETORNOS!G1103)</f>
        <v>0.009402343226</v>
      </c>
      <c r="C1103" s="7">
        <f>IF(RETORNOS!H1103="","",RETORNOS!H1103)</f>
        <v>0.0065596019</v>
      </c>
      <c r="D1103" s="7">
        <f>IF(RETORNOS!I1103="","",RETORNOS!I1103)</f>
        <v>0.003531904874</v>
      </c>
      <c r="E1103" s="7">
        <f t="shared" si="2"/>
        <v>0.005045753387</v>
      </c>
      <c r="F1103" s="7">
        <f t="shared" si="3"/>
        <v>0.002842741326</v>
      </c>
      <c r="G1103" s="7">
        <f t="shared" si="4"/>
        <v>0.004356589839</v>
      </c>
      <c r="H1103" s="5">
        <f t="shared" ref="H1103:K1103" si="1103">IF(B1103="","",H1102*(1+B1103))</f>
        <v>306.8906605</v>
      </c>
      <c r="I1103" s="5">
        <f t="shared" si="1103"/>
        <v>215.7732684</v>
      </c>
      <c r="J1103" s="5">
        <f t="shared" si="1103"/>
        <v>145.0024836</v>
      </c>
      <c r="K1103" s="5">
        <f t="shared" si="1103"/>
        <v>184.0242297</v>
      </c>
      <c r="L1103" s="7">
        <f t="shared" si="6"/>
        <v>-0.04349454999</v>
      </c>
    </row>
    <row r="1104" ht="15.75" customHeight="1">
      <c r="A1104" s="4">
        <f>IF(RETORNOS!A1104="","",RETORNOS!A1104)</f>
        <v>46015</v>
      </c>
      <c r="B1104" s="7">
        <f>IF(RETORNOS!B1104="","",OPTIMIZACION!$B$5*RETORNOS!B1104+OPTIMIZACION!$B$6*RETORNOS!C1104+OPTIMIZACION!$B$7*RETORNOS!D1104+OPTIMIZACION!$B$8*RETORNOS!E1104+OPTIMIZACION!$B$9*RETORNOS!F1104+OPTIMIZACION!$B$10*RETORNOS!G1104)</f>
        <v>0.001619913747</v>
      </c>
      <c r="C1104" s="7">
        <f>IF(RETORNOS!H1104="","",RETORNOS!H1104)</f>
        <v>-0.002921348315</v>
      </c>
      <c r="D1104" s="7">
        <f>IF(RETORNOS!I1104="","",RETORNOS!I1104)</f>
        <v>0.004458000939</v>
      </c>
      <c r="E1104" s="7">
        <f t="shared" si="2"/>
        <v>0.000768326312</v>
      </c>
      <c r="F1104" s="7">
        <f t="shared" si="3"/>
        <v>0.004541262062</v>
      </c>
      <c r="G1104" s="7">
        <f t="shared" si="4"/>
        <v>0.0008515874353</v>
      </c>
      <c r="H1104" s="5">
        <f t="shared" ref="H1104:K1104" si="1104">IF(B1104="","",H1103*(1+B1104))</f>
        <v>307.3877969</v>
      </c>
      <c r="I1104" s="5">
        <f t="shared" si="1104"/>
        <v>215.1429195</v>
      </c>
      <c r="J1104" s="5">
        <f t="shared" si="1104"/>
        <v>145.6489048</v>
      </c>
      <c r="K1104" s="5">
        <f t="shared" si="1104"/>
        <v>184.1656204</v>
      </c>
      <c r="L1104" s="7">
        <f t="shared" si="6"/>
        <v>-0.04194509366</v>
      </c>
    </row>
    <row r="1105" ht="15.75" customHeight="1">
      <c r="A1105" s="4">
        <f>IF(RETORNOS!A1105="","",RETORNOS!A1105)</f>
        <v>46017</v>
      </c>
      <c r="B1105" s="7">
        <f>IF(RETORNOS!B1105="","",OPTIMIZACION!$B$5*RETORNOS!B1105+OPTIMIZACION!$B$6*RETORNOS!C1105+OPTIMIZACION!$B$7*RETORNOS!D1105+OPTIMIZACION!$B$8*RETORNOS!E1105+OPTIMIZACION!$B$9*RETORNOS!F1105+OPTIMIZACION!$B$10*RETORNOS!G1105)</f>
        <v>-0.0008379153112</v>
      </c>
      <c r="C1105" s="7">
        <f>IF(RETORNOS!H1105="","",RETORNOS!H1105)</f>
        <v>-0.003831417625</v>
      </c>
      <c r="D1105" s="7">
        <f>IF(RETORNOS!I1105="","",RETORNOS!I1105)</f>
        <v>-0.0007007708479</v>
      </c>
      <c r="E1105" s="7">
        <f t="shared" si="2"/>
        <v>-0.002266094236</v>
      </c>
      <c r="F1105" s="7">
        <f t="shared" si="3"/>
        <v>0.002993502313</v>
      </c>
      <c r="G1105" s="7">
        <f t="shared" si="4"/>
        <v>0.001428178925</v>
      </c>
      <c r="H1105" s="5">
        <f t="shared" ref="H1105:K1105" si="1105">IF(B1105="","",H1104*(1+B1105))</f>
        <v>307.130232</v>
      </c>
      <c r="I1105" s="5">
        <f t="shared" si="1105"/>
        <v>214.3186171</v>
      </c>
      <c r="J1105" s="5">
        <f t="shared" si="1105"/>
        <v>145.5468383</v>
      </c>
      <c r="K1105" s="5">
        <f t="shared" si="1105"/>
        <v>183.7482837</v>
      </c>
      <c r="L1105" s="7">
        <f t="shared" si="6"/>
        <v>-0.04274786253</v>
      </c>
    </row>
    <row r="1106" ht="15.75" customHeight="1">
      <c r="A1106" s="4">
        <f>IF(RETORNOS!A1106="","",RETORNOS!A1106)</f>
        <v>46020</v>
      </c>
      <c r="B1106" s="7">
        <f>IF(RETORNOS!B1106="","",OPTIMIZACION!$B$5*RETORNOS!B1106+OPTIMIZACION!$B$6*RETORNOS!C1106+OPTIMIZACION!$B$7*RETORNOS!D1106+OPTIMIZACION!$B$8*RETORNOS!E1106+OPTIMIZACION!$B$9*RETORNOS!F1106+OPTIMIZACION!$B$10*RETORNOS!G1106)</f>
        <v>0.006254545145</v>
      </c>
      <c r="C1106" s="7">
        <f>IF(RETORNOS!H1106="","",RETORNOS!H1106)</f>
        <v>0.009502262443</v>
      </c>
      <c r="D1106" s="7">
        <f>IF(RETORNOS!I1106="","",RETORNOS!I1106)</f>
        <v>0.001870032726</v>
      </c>
      <c r="E1106" s="7">
        <f t="shared" si="2"/>
        <v>0.005686147585</v>
      </c>
      <c r="F1106" s="7">
        <f t="shared" si="3"/>
        <v>-0.003247717298</v>
      </c>
      <c r="G1106" s="7">
        <f t="shared" si="4"/>
        <v>0.0005683975609</v>
      </c>
      <c r="H1106" s="5">
        <f t="shared" ref="H1106:K1106" si="1106">IF(B1106="","",H1105*(1+B1106))</f>
        <v>309.0511919</v>
      </c>
      <c r="I1106" s="5">
        <f t="shared" si="1106"/>
        <v>216.3551289</v>
      </c>
      <c r="J1106" s="5">
        <f t="shared" si="1106"/>
        <v>145.8190157</v>
      </c>
      <c r="K1106" s="5">
        <f t="shared" si="1106"/>
        <v>184.7931036</v>
      </c>
      <c r="L1106" s="7">
        <f t="shared" si="6"/>
        <v>-0.03676068582</v>
      </c>
    </row>
    <row r="1107" ht="15.75" customHeight="1">
      <c r="A1107" s="4">
        <f>IF(RETORNOS!A1107="","",RETORNOS!A1107)</f>
        <v>46021</v>
      </c>
      <c r="B1107" s="7">
        <f>IF(RETORNOS!B1107="","",OPTIMIZACION!$B$5*RETORNOS!B1107+OPTIMIZACION!$B$6*RETORNOS!C1107+OPTIMIZACION!$B$7*RETORNOS!D1107+OPTIMIZACION!$B$8*RETORNOS!E1107+OPTIMIZACION!$B$9*RETORNOS!F1107+OPTIMIZACION!$B$10*RETORNOS!G1107)</f>
        <v>0.001499983905</v>
      </c>
      <c r="C1107" s="7">
        <f>IF(RETORNOS!H1107="","",RETORNOS!H1107)</f>
        <v>0.00761990139</v>
      </c>
      <c r="D1107" s="7">
        <f>IF(RETORNOS!I1107="","",RETORNOS!I1107)</f>
        <v>0.002333177788</v>
      </c>
      <c r="E1107" s="7">
        <f t="shared" si="2"/>
        <v>0.004976539589</v>
      </c>
      <c r="F1107" s="7">
        <f t="shared" si="3"/>
        <v>-0.006119917485</v>
      </c>
      <c r="G1107" s="7">
        <f t="shared" si="4"/>
        <v>-0.003476555684</v>
      </c>
      <c r="H1107" s="5">
        <f t="shared" ref="H1107:K1107" si="1107">IF(B1107="","",H1106*(1+B1107))</f>
        <v>309.5147637</v>
      </c>
      <c r="I1107" s="5">
        <f t="shared" si="1107"/>
        <v>218.0037336</v>
      </c>
      <c r="J1107" s="5">
        <f t="shared" si="1107"/>
        <v>146.1592374</v>
      </c>
      <c r="K1107" s="5">
        <f t="shared" si="1107"/>
        <v>185.7127338</v>
      </c>
      <c r="L1107" s="7">
        <f t="shared" si="6"/>
        <v>-0.03531584236</v>
      </c>
    </row>
    <row r="1108" ht="15.75" customHeight="1">
      <c r="A1108" s="4">
        <f>IF(RETORNOS!A1108="","",RETORNOS!A1108)</f>
        <v>46022</v>
      </c>
      <c r="B1108" s="7">
        <f>IF(RETORNOS!B1108="","",OPTIMIZACION!$B$5*RETORNOS!B1108+OPTIMIZACION!$B$6*RETORNOS!C1108+OPTIMIZACION!$B$7*RETORNOS!D1108+OPTIMIZACION!$B$8*RETORNOS!E1108+OPTIMIZACION!$B$9*RETORNOS!F1108+OPTIMIZACION!$B$10*RETORNOS!G1108)</f>
        <v>-0.003869544957</v>
      </c>
      <c r="C1108" s="7">
        <f>IF(RETORNOS!H1108="","",RETORNOS!H1108)</f>
        <v>-0.005560498221</v>
      </c>
      <c r="D1108" s="7">
        <f>IF(RETORNOS!I1108="","",RETORNOS!I1108)</f>
        <v>-0.006284916201</v>
      </c>
      <c r="E1108" s="7">
        <f t="shared" si="2"/>
        <v>-0.005922707211</v>
      </c>
      <c r="F1108" s="7">
        <f t="shared" si="3"/>
        <v>0.001690953263</v>
      </c>
      <c r="G1108" s="7">
        <f t="shared" si="4"/>
        <v>0.002053162254</v>
      </c>
      <c r="H1108" s="5">
        <f t="shared" ref="H1108:K1108" si="1108">IF(B1108="","",H1107*(1+B1108))</f>
        <v>308.3170824</v>
      </c>
      <c r="I1108" s="5">
        <f t="shared" si="1108"/>
        <v>216.7915242</v>
      </c>
      <c r="J1108" s="5">
        <f t="shared" si="1108"/>
        <v>145.2406388</v>
      </c>
      <c r="K1108" s="5">
        <f t="shared" si="1108"/>
        <v>184.6128116</v>
      </c>
      <c r="L1108" s="7">
        <f t="shared" si="6"/>
        <v>-0.03904873107</v>
      </c>
    </row>
    <row r="1109" ht="15.75" customHeight="1">
      <c r="A1109" s="4">
        <f>IF(RETORNOS!A1109="","",RETORNOS!A1109)</f>
        <v>46024</v>
      </c>
      <c r="B1109" s="7">
        <f>IF(RETORNOS!B1109="","",OPTIMIZACION!$B$5*RETORNOS!B1109+OPTIMIZACION!$B$6*RETORNOS!C1109+OPTIMIZACION!$B$7*RETORNOS!D1109+OPTIMIZACION!$B$8*RETORNOS!E1109+OPTIMIZACION!$B$9*RETORNOS!F1109+OPTIMIZACION!$B$10*RETORNOS!G1109)</f>
        <v>0.01274349956</v>
      </c>
      <c r="C1109" s="7">
        <f>IF(RETORNOS!H1109="","",RETORNOS!H1109)</f>
        <v>0.02102437933</v>
      </c>
      <c r="D1109" s="7">
        <f>IF(RETORNOS!I1109="","",RETORNOS!I1109)</f>
        <v>0.01147809792</v>
      </c>
      <c r="E1109" s="7">
        <f t="shared" si="2"/>
        <v>0.01625123862</v>
      </c>
      <c r="F1109" s="7">
        <f t="shared" si="3"/>
        <v>-0.008280879774</v>
      </c>
      <c r="G1109" s="7">
        <f t="shared" si="4"/>
        <v>-0.003507739065</v>
      </c>
      <c r="H1109" s="5">
        <f t="shared" ref="H1109:K1109" si="1109">IF(B1109="","",H1108*(1+B1109))</f>
        <v>312.246121</v>
      </c>
      <c r="I1109" s="5">
        <f t="shared" si="1109"/>
        <v>221.3494315</v>
      </c>
      <c r="J1109" s="5">
        <f t="shared" si="1109"/>
        <v>146.9077251</v>
      </c>
      <c r="K1109" s="5">
        <f t="shared" si="1109"/>
        <v>187.6129985</v>
      </c>
      <c r="L1109" s="7">
        <f t="shared" si="6"/>
        <v>-0.026802849</v>
      </c>
    </row>
    <row r="1110" ht="15.75" customHeight="1">
      <c r="A1110" s="4">
        <f>IF(RETORNOS!A1110="","",RETORNOS!A1110)</f>
        <v>46027</v>
      </c>
      <c r="B1110" s="7">
        <f>IF(RETORNOS!B1110="","",OPTIMIZACION!$B$5*RETORNOS!B1110+OPTIMIZACION!$B$6*RETORNOS!C1110+OPTIMIZACION!$B$7*RETORNOS!D1110+OPTIMIZACION!$B$8*RETORNOS!E1110+OPTIMIZACION!$B$9*RETORNOS!F1110+OPTIMIZACION!$B$10*RETORNOS!G1110)</f>
        <v>0.002966905256</v>
      </c>
      <c r="C1110" s="7">
        <f>IF(RETORNOS!H1110="","",RETORNOS!H1110)</f>
        <v>0.02716319825</v>
      </c>
      <c r="D1110" s="7">
        <f>IF(RETORNOS!I1110="","",RETORNOS!I1110)</f>
        <v>-0.01111625753</v>
      </c>
      <c r="E1110" s="7">
        <f t="shared" si="2"/>
        <v>0.00802347036</v>
      </c>
      <c r="F1110" s="7">
        <f t="shared" si="3"/>
        <v>-0.02419629299</v>
      </c>
      <c r="G1110" s="7">
        <f t="shared" si="4"/>
        <v>-0.005056565105</v>
      </c>
      <c r="H1110" s="5">
        <f t="shared" ref="H1110:K1110" si="1110">IF(B1110="","",H1109*(1+B1110))</f>
        <v>313.1725257</v>
      </c>
      <c r="I1110" s="5">
        <f t="shared" si="1110"/>
        <v>227.36199</v>
      </c>
      <c r="J1110" s="5">
        <f t="shared" si="1110"/>
        <v>145.274661</v>
      </c>
      <c r="K1110" s="5">
        <f t="shared" si="1110"/>
        <v>189.1183058</v>
      </c>
      <c r="L1110" s="7">
        <f t="shared" si="6"/>
        <v>-0.02391546526</v>
      </c>
    </row>
    <row r="1111" ht="15.75" customHeight="1">
      <c r="A1111" s="4">
        <f>IF(RETORNOS!A1111="","",RETORNOS!A1111)</f>
        <v>46028</v>
      </c>
      <c r="B1111" s="7">
        <f>IF(RETORNOS!B1111="","",OPTIMIZACION!$B$5*RETORNOS!B1111+OPTIMIZACION!$B$6*RETORNOS!C1111+OPTIMIZACION!$B$7*RETORNOS!D1111+OPTIMIZACION!$B$8*RETORNOS!E1111+OPTIMIZACION!$B$9*RETORNOS!F1111+OPTIMIZACION!$B$10*RETORNOS!G1111)</f>
        <v>-0.01024883465</v>
      </c>
      <c r="C1111" s="7">
        <f>IF(RETORNOS!H1111="","",RETORNOS!H1111)</f>
        <v>-0.02665813606</v>
      </c>
      <c r="D1111" s="7">
        <f>IF(RETORNOS!I1111="","",RETORNOS!I1111)</f>
        <v>0.004918032787</v>
      </c>
      <c r="E1111" s="7">
        <f t="shared" si="2"/>
        <v>-0.01087005164</v>
      </c>
      <c r="F1111" s="7">
        <f t="shared" si="3"/>
        <v>0.01640930141</v>
      </c>
      <c r="G1111" s="7">
        <f t="shared" si="4"/>
        <v>0.0006212169895</v>
      </c>
      <c r="H1111" s="5">
        <f t="shared" ref="H1111:K1111" si="1111">IF(B1111="","",H1110*(1+B1111))</f>
        <v>309.9628722</v>
      </c>
      <c r="I1111" s="5">
        <f t="shared" si="1111"/>
        <v>221.3009431</v>
      </c>
      <c r="J1111" s="5">
        <f t="shared" si="1111"/>
        <v>145.9891265</v>
      </c>
      <c r="K1111" s="5">
        <f t="shared" si="1111"/>
        <v>187.06258</v>
      </c>
      <c r="L1111" s="7">
        <f t="shared" si="6"/>
        <v>-0.03391919426</v>
      </c>
    </row>
    <row r="1112" ht="15.75" customHeight="1">
      <c r="A1112" s="4">
        <f>IF(RETORNOS!A1112="","",RETORNOS!A1112)</f>
        <v>46029</v>
      </c>
      <c r="B1112" s="7">
        <f>IF(RETORNOS!B1112="","",OPTIMIZACION!$B$5*RETORNOS!B1112+OPTIMIZACION!$B$6*RETORNOS!C1112+OPTIMIZACION!$B$7*RETORNOS!D1112+OPTIMIZACION!$B$8*RETORNOS!E1112+OPTIMIZACION!$B$9*RETORNOS!F1112+OPTIMIZACION!$B$10*RETORNOS!G1112)</f>
        <v>-0.02244775339</v>
      </c>
      <c r="C1112" s="7">
        <f>IF(RETORNOS!H1112="","",RETORNOS!H1112)</f>
        <v>-0.01117440841</v>
      </c>
      <c r="D1112" s="7">
        <f>IF(RETORNOS!I1112="","",RETORNOS!I1112)</f>
        <v>-0.02423677464</v>
      </c>
      <c r="E1112" s="7">
        <f t="shared" si="2"/>
        <v>-0.01770559153</v>
      </c>
      <c r="F1112" s="7">
        <f t="shared" si="3"/>
        <v>-0.01127334498</v>
      </c>
      <c r="G1112" s="7">
        <f t="shared" si="4"/>
        <v>-0.004742161862</v>
      </c>
      <c r="H1112" s="5">
        <f t="shared" ref="H1112:K1112" si="1112">IF(B1112="","",H1111*(1+B1112))</f>
        <v>303.0049021</v>
      </c>
      <c r="I1112" s="5">
        <f t="shared" si="1112"/>
        <v>218.828036</v>
      </c>
      <c r="J1112" s="5">
        <f t="shared" si="1112"/>
        <v>142.450821</v>
      </c>
      <c r="K1112" s="5">
        <f t="shared" si="1112"/>
        <v>183.7505264</v>
      </c>
      <c r="L1112" s="7">
        <f t="shared" si="6"/>
        <v>-0.05560553794</v>
      </c>
    </row>
    <row r="1113" ht="15.75" customHeight="1">
      <c r="A1113" s="4">
        <f>IF(RETORNOS!A1113="","",RETORNOS!A1113)</f>
        <v>46030</v>
      </c>
      <c r="B1113" s="7">
        <f>IF(RETORNOS!B1113="","",OPTIMIZACION!$B$5*RETORNOS!B1113+OPTIMIZACION!$B$6*RETORNOS!C1113+OPTIMIZACION!$B$7*RETORNOS!D1113+OPTIMIZACION!$B$8*RETORNOS!E1113+OPTIMIZACION!$B$9*RETORNOS!F1113+OPTIMIZACION!$B$10*RETORNOS!G1113)</f>
        <v>0.01447225006</v>
      </c>
      <c r="C1113" s="7">
        <f>IF(RETORNOS!H1113="","",RETORNOS!H1113)</f>
        <v>0.03146465766</v>
      </c>
      <c r="D1113" s="7">
        <f>IF(RETORNOS!I1113="","",RETORNOS!I1113)</f>
        <v>0.002866013852</v>
      </c>
      <c r="E1113" s="7">
        <f t="shared" si="2"/>
        <v>0.01716533575</v>
      </c>
      <c r="F1113" s="7">
        <f t="shared" si="3"/>
        <v>-0.0169924076</v>
      </c>
      <c r="G1113" s="7">
        <f t="shared" si="4"/>
        <v>-0.002693085694</v>
      </c>
      <c r="H1113" s="5">
        <f t="shared" ref="H1113:K1113" si="1113">IF(B1113="","",H1112*(1+B1113))</f>
        <v>307.3900648</v>
      </c>
      <c r="I1113" s="5">
        <f t="shared" si="1113"/>
        <v>225.7133852</v>
      </c>
      <c r="J1113" s="5">
        <f t="shared" si="1113"/>
        <v>142.859087</v>
      </c>
      <c r="K1113" s="5">
        <f t="shared" si="1113"/>
        <v>186.9046659</v>
      </c>
      <c r="L1113" s="7">
        <f t="shared" si="6"/>
        <v>-0.04193802513</v>
      </c>
    </row>
    <row r="1114" ht="15.75" customHeight="1">
      <c r="A1114" s="4">
        <f>IF(RETORNOS!A1114="","",RETORNOS!A1114)</f>
        <v>46031</v>
      </c>
      <c r="B1114" s="7">
        <f>IF(RETORNOS!B1114="","",OPTIMIZACION!$B$5*RETORNOS!B1114+OPTIMIZACION!$B$6*RETORNOS!C1114+OPTIMIZACION!$B$7*RETORNOS!D1114+OPTIMIZACION!$B$8*RETORNOS!E1114+OPTIMIZACION!$B$9*RETORNOS!F1114+OPTIMIZACION!$B$10*RETORNOS!G1114)</f>
        <v>0.01266700532</v>
      </c>
      <c r="C1114" s="7">
        <f>IF(RETORNOS!H1114="","",RETORNOS!H1114)</f>
        <v>0.002577873255</v>
      </c>
      <c r="D1114" s="7">
        <f>IF(RETORNOS!I1114="","",RETORNOS!I1114)</f>
        <v>0.01238390093</v>
      </c>
      <c r="E1114" s="7">
        <f t="shared" si="2"/>
        <v>0.007480887092</v>
      </c>
      <c r="F1114" s="7">
        <f t="shared" si="3"/>
        <v>0.01008913206</v>
      </c>
      <c r="G1114" s="7">
        <f t="shared" si="4"/>
        <v>0.005186118226</v>
      </c>
      <c r="H1114" s="5">
        <f t="shared" ref="H1114:K1114" si="1114">IF(B1114="","",H1113*(1+B1114))</f>
        <v>311.2837764</v>
      </c>
      <c r="I1114" s="5">
        <f t="shared" si="1114"/>
        <v>226.2952457</v>
      </c>
      <c r="J1114" s="5">
        <f t="shared" si="1114"/>
        <v>144.6282398</v>
      </c>
      <c r="K1114" s="5">
        <f t="shared" si="1114"/>
        <v>188.3028786</v>
      </c>
      <c r="L1114" s="7">
        <f t="shared" si="6"/>
        <v>-0.029802249</v>
      </c>
    </row>
    <row r="1115" ht="15.75" customHeight="1">
      <c r="A1115" s="4">
        <f>IF(RETORNOS!A1115="","",RETORNOS!A1115)</f>
        <v>46034</v>
      </c>
      <c r="B1115" s="7">
        <f>IF(RETORNOS!B1115="","",OPTIMIZACION!$B$5*RETORNOS!B1115+OPTIMIZACION!$B$6*RETORNOS!C1115+OPTIMIZACION!$B$7*RETORNOS!D1115+OPTIMIZACION!$B$8*RETORNOS!E1115+OPTIMIZACION!$B$9*RETORNOS!F1115+OPTIMIZACION!$B$10*RETORNOS!G1115)</f>
        <v>-0.00007512378476</v>
      </c>
      <c r="C1115" s="7">
        <f>IF(RETORNOS!H1115="","",RETORNOS!H1115)</f>
        <v>-0.007070923505</v>
      </c>
      <c r="D1115" s="7">
        <f>IF(RETORNOS!I1115="","",RETORNOS!I1115)</f>
        <v>0.001646671371</v>
      </c>
      <c r="E1115" s="7">
        <f t="shared" si="2"/>
        <v>-0.002712126067</v>
      </c>
      <c r="F1115" s="7">
        <f t="shared" si="3"/>
        <v>0.006995799721</v>
      </c>
      <c r="G1115" s="7">
        <f t="shared" si="4"/>
        <v>0.002637002282</v>
      </c>
      <c r="H1115" s="5">
        <f t="shared" ref="H1115:K1115" si="1115">IF(B1115="","",H1114*(1+B1115))</f>
        <v>311.2603916</v>
      </c>
      <c r="I1115" s="5">
        <f t="shared" si="1115"/>
        <v>224.6951293</v>
      </c>
      <c r="J1115" s="5">
        <f t="shared" si="1115"/>
        <v>144.8663949</v>
      </c>
      <c r="K1115" s="5">
        <f t="shared" si="1115"/>
        <v>187.7921775</v>
      </c>
      <c r="L1115" s="7">
        <f t="shared" si="6"/>
        <v>-0.02987513393</v>
      </c>
    </row>
    <row r="1116" ht="15.75" customHeight="1">
      <c r="A1116" s="4">
        <f>IF(RETORNOS!A1116="","",RETORNOS!A1116)</f>
        <v>46035</v>
      </c>
      <c r="B1116" s="7">
        <f>IF(RETORNOS!B1116="","",OPTIMIZACION!$B$5*RETORNOS!B1116+OPTIMIZACION!$B$6*RETORNOS!C1116+OPTIMIZACION!$B$7*RETORNOS!D1116+OPTIMIZACION!$B$8*RETORNOS!E1116+OPTIMIZACION!$B$9*RETORNOS!F1116+OPTIMIZACION!$B$10*RETORNOS!G1116)</f>
        <v>0.01382762828</v>
      </c>
      <c r="C1116" s="7">
        <f>IF(RETORNOS!H1116="","",RETORNOS!H1116)</f>
        <v>0.01424255503</v>
      </c>
      <c r="D1116" s="7">
        <f>IF(RETORNOS!I1116="","",RETORNOS!I1116)</f>
        <v>0.006341005167</v>
      </c>
      <c r="E1116" s="7">
        <f t="shared" si="2"/>
        <v>0.0102917801</v>
      </c>
      <c r="F1116" s="7">
        <f t="shared" si="3"/>
        <v>-0.0004149267473</v>
      </c>
      <c r="G1116" s="7">
        <f t="shared" si="4"/>
        <v>0.003535848183</v>
      </c>
      <c r="H1116" s="5">
        <f t="shared" ref="H1116:K1116" si="1116">IF(B1116="","",H1115*(1+B1116))</f>
        <v>315.5643846</v>
      </c>
      <c r="I1116" s="5">
        <f t="shared" si="1116"/>
        <v>227.8953621</v>
      </c>
      <c r="J1116" s="5">
        <f t="shared" si="1116"/>
        <v>145.7849935</v>
      </c>
      <c r="K1116" s="5">
        <f t="shared" si="1116"/>
        <v>189.7248932</v>
      </c>
      <c r="L1116" s="7">
        <f t="shared" si="6"/>
        <v>-0.0164606079</v>
      </c>
    </row>
    <row r="1117" ht="15.75" customHeight="1">
      <c r="A1117" s="4">
        <f>IF(RETORNOS!A1117="","",RETORNOS!A1117)</f>
        <v>46036</v>
      </c>
      <c r="B1117" s="7">
        <f>IF(RETORNOS!B1117="","",OPTIMIZACION!$B$5*RETORNOS!B1117+OPTIMIZACION!$B$6*RETORNOS!C1117+OPTIMIZACION!$B$7*RETORNOS!D1117+OPTIMIZACION!$B$8*RETORNOS!E1117+OPTIMIZACION!$B$9*RETORNOS!F1117+OPTIMIZACION!$B$10*RETORNOS!G1117)</f>
        <v>0.007836392992</v>
      </c>
      <c r="C1117" s="7">
        <f>IF(RETORNOS!H1117="","",RETORNOS!H1117)</f>
        <v>0.02255319149</v>
      </c>
      <c r="D1117" s="7">
        <f>IF(RETORNOS!I1117="","",RETORNOS!I1117)</f>
        <v>0.007467911319</v>
      </c>
      <c r="E1117" s="7">
        <f t="shared" si="2"/>
        <v>0.0150105514</v>
      </c>
      <c r="F1117" s="7">
        <f t="shared" si="3"/>
        <v>-0.0147167985</v>
      </c>
      <c r="G1117" s="7">
        <f t="shared" si="4"/>
        <v>-0.007174158412</v>
      </c>
      <c r="H1117" s="5">
        <f t="shared" ref="H1117:K1117" si="1117">IF(B1117="","",H1116*(1+B1117))</f>
        <v>318.0372711</v>
      </c>
      <c r="I1117" s="5">
        <f t="shared" si="1117"/>
        <v>233.0351298</v>
      </c>
      <c r="J1117" s="5">
        <f t="shared" si="1117"/>
        <v>146.8737029</v>
      </c>
      <c r="K1117" s="5">
        <f t="shared" si="1117"/>
        <v>192.5727685</v>
      </c>
      <c r="L1117" s="7">
        <f t="shared" si="6"/>
        <v>-0.008753206697</v>
      </c>
    </row>
    <row r="1118" ht="15.75" customHeight="1">
      <c r="A1118" s="4">
        <f>IF(RETORNOS!A1118="","",RETORNOS!A1118)</f>
        <v>46037</v>
      </c>
      <c r="B1118" s="7">
        <f>IF(RETORNOS!B1118="","",OPTIMIZACION!$B$5*RETORNOS!B1118+OPTIMIZACION!$B$6*RETORNOS!C1118+OPTIMIZACION!$B$7*RETORNOS!D1118+OPTIMIZACION!$B$8*RETORNOS!E1118+OPTIMIZACION!$B$9*RETORNOS!F1118+OPTIMIZACION!$B$10*RETORNOS!G1118)</f>
        <v>0.002512319003</v>
      </c>
      <c r="C1118" s="7">
        <f>IF(RETORNOS!H1118="","",RETORNOS!H1118)</f>
        <v>-0.00936329588</v>
      </c>
      <c r="D1118" s="7">
        <f>IF(RETORNOS!I1118="","",RETORNOS!I1118)</f>
        <v>0.01019226315</v>
      </c>
      <c r="E1118" s="7">
        <f t="shared" si="2"/>
        <v>0.0004144836328</v>
      </c>
      <c r="F1118" s="7">
        <f t="shared" si="3"/>
        <v>0.01187561488</v>
      </c>
      <c r="G1118" s="7">
        <f t="shared" si="4"/>
        <v>0.002097835371</v>
      </c>
      <c r="H1118" s="5">
        <f t="shared" ref="H1118:K1118" si="1118">IF(B1118="","",H1117*(1+B1118))</f>
        <v>318.8362822</v>
      </c>
      <c r="I1118" s="5">
        <f t="shared" si="1118"/>
        <v>230.853153</v>
      </c>
      <c r="J1118" s="5">
        <f t="shared" si="1118"/>
        <v>148.3706783</v>
      </c>
      <c r="K1118" s="5">
        <f t="shared" si="1118"/>
        <v>192.6525868</v>
      </c>
      <c r="L1118" s="7">
        <f t="shared" si="6"/>
        <v>-0.006262878541</v>
      </c>
    </row>
    <row r="1119" ht="15.75" customHeight="1">
      <c r="A1119" s="4">
        <f>IF(RETORNOS!A1119="","",RETORNOS!A1119)</f>
        <v>46038</v>
      </c>
      <c r="B1119" s="7">
        <f>IF(RETORNOS!B1119="","",OPTIMIZACION!$B$5*RETORNOS!B1119+OPTIMIZACION!$B$6*RETORNOS!C1119+OPTIMIZACION!$B$7*RETORNOS!D1119+OPTIMIZACION!$B$8*RETORNOS!E1119+OPTIMIZACION!$B$9*RETORNOS!F1119+OPTIMIZACION!$B$10*RETORNOS!G1119)</f>
        <v>0.003287720304</v>
      </c>
      <c r="C1119" s="7">
        <f>IF(RETORNOS!H1119="","",RETORNOS!H1119)</f>
        <v>0.001680319261</v>
      </c>
      <c r="D1119" s="7">
        <f>IF(RETORNOS!I1119="","",RETORNOS!I1119)</f>
        <v>-0.005044714515</v>
      </c>
      <c r="E1119" s="7">
        <f t="shared" si="2"/>
        <v>-0.001682197627</v>
      </c>
      <c r="F1119" s="7">
        <f t="shared" si="3"/>
        <v>0.001607401043</v>
      </c>
      <c r="G1119" s="7">
        <f t="shared" si="4"/>
        <v>0.004969917931</v>
      </c>
      <c r="H1119" s="5">
        <f t="shared" ref="H1119:K1119" si="1119">IF(B1119="","",H1118*(1+B1119))</f>
        <v>319.8845267</v>
      </c>
      <c r="I1119" s="5">
        <f t="shared" si="1119"/>
        <v>231.24106</v>
      </c>
      <c r="J1119" s="5">
        <f t="shared" si="1119"/>
        <v>147.6221906</v>
      </c>
      <c r="K1119" s="5">
        <f t="shared" si="1119"/>
        <v>192.328507</v>
      </c>
      <c r="L1119" s="7">
        <f t="shared" si="6"/>
        <v>-0.00299574883</v>
      </c>
    </row>
    <row r="1120" ht="15.75" customHeight="1">
      <c r="A1120" s="4">
        <f>IF(RETORNOS!A1120="","",RETORNOS!A1120)</f>
        <v>46042</v>
      </c>
      <c r="B1120" s="7">
        <f>IF(RETORNOS!B1120="","",OPTIMIZACION!$B$5*RETORNOS!B1120+OPTIMIZACION!$B$6*RETORNOS!C1120+OPTIMIZACION!$B$7*RETORNOS!D1120+OPTIMIZACION!$B$8*RETORNOS!E1120+OPTIMIZACION!$B$9*RETORNOS!F1120+OPTIMIZACION!$B$10*RETORNOS!G1120)</f>
        <v>-0.006314149449</v>
      </c>
      <c r="C1120" s="7">
        <f>IF(RETORNOS!H1120="","",RETORNOS!H1120)</f>
        <v>-0.00188718809</v>
      </c>
      <c r="D1120" s="7">
        <f>IF(RETORNOS!I1120="","",RETORNOS!I1120)</f>
        <v>-0.009910117539</v>
      </c>
      <c r="E1120" s="7">
        <f t="shared" si="2"/>
        <v>-0.005898652814</v>
      </c>
      <c r="F1120" s="7">
        <f t="shared" si="3"/>
        <v>-0.004426961359</v>
      </c>
      <c r="G1120" s="7">
        <f t="shared" si="4"/>
        <v>-0.0004154966348</v>
      </c>
      <c r="H1120" s="5">
        <f t="shared" ref="H1120:K1120" si="1120">IF(B1120="","",H1119*(1+B1120))</f>
        <v>317.864728</v>
      </c>
      <c r="I1120" s="5">
        <f t="shared" si="1120"/>
        <v>230.8046646</v>
      </c>
      <c r="J1120" s="5">
        <f t="shared" si="1120"/>
        <v>146.1592374</v>
      </c>
      <c r="K1120" s="5">
        <f t="shared" si="1120"/>
        <v>191.194028</v>
      </c>
      <c r="L1120" s="7">
        <f t="shared" si="6"/>
        <v>-0.009290982673</v>
      </c>
    </row>
    <row r="1121" ht="15.75" customHeight="1">
      <c r="A1121" s="4">
        <f>IF(RETORNOS!A1121="","",RETORNOS!A1121)</f>
        <v>46043</v>
      </c>
      <c r="B1121" s="7">
        <f>IF(RETORNOS!B1121="","",OPTIMIZACION!$B$5*RETORNOS!B1121+OPTIMIZACION!$B$6*RETORNOS!C1121+OPTIMIZACION!$B$7*RETORNOS!D1121+OPTIMIZACION!$B$8*RETORNOS!E1121+OPTIMIZACION!$B$9*RETORNOS!F1121+OPTIMIZACION!$B$10*RETORNOS!G1121)</f>
        <v>0.019099941</v>
      </c>
      <c r="C1121" s="7">
        <f>IF(RETORNOS!H1121="","",RETORNOS!H1121)</f>
        <v>0.02415966387</v>
      </c>
      <c r="D1121" s="7">
        <f>IF(RETORNOS!I1121="","",RETORNOS!I1121)</f>
        <v>0.001396648045</v>
      </c>
      <c r="E1121" s="7">
        <f t="shared" si="2"/>
        <v>0.01277815596</v>
      </c>
      <c r="F1121" s="7">
        <f t="shared" si="3"/>
        <v>-0.005059722862</v>
      </c>
      <c r="G1121" s="7">
        <f t="shared" si="4"/>
        <v>0.006321785048</v>
      </c>
      <c r="H1121" s="5">
        <f t="shared" ref="H1121:K1121" si="1121">IF(B1121="","",H1120*(1+B1121))</f>
        <v>323.9359256</v>
      </c>
      <c r="I1121" s="5">
        <f t="shared" si="1121"/>
        <v>236.3808277</v>
      </c>
      <c r="J1121" s="5">
        <f t="shared" si="1121"/>
        <v>146.3633704</v>
      </c>
      <c r="K1121" s="5">
        <f t="shared" si="1121"/>
        <v>193.6371351</v>
      </c>
      <c r="L1121" s="7">
        <f t="shared" si="6"/>
        <v>0</v>
      </c>
    </row>
    <row r="1122" ht="15.75" customHeight="1">
      <c r="A1122" s="4">
        <f>IF(RETORNOS!A1122="","",RETORNOS!A1122)</f>
        <v>46044</v>
      </c>
      <c r="B1122" s="7">
        <f>IF(RETORNOS!B1122="","",OPTIMIZACION!$B$5*RETORNOS!B1122+OPTIMIZACION!$B$6*RETORNOS!C1122+OPTIMIZACION!$B$7*RETORNOS!D1122+OPTIMIZACION!$B$8*RETORNOS!E1122+OPTIMIZACION!$B$9*RETORNOS!F1122+OPTIMIZACION!$B$10*RETORNOS!G1122)</f>
        <v>-0.004889222633</v>
      </c>
      <c r="C1122" s="7">
        <f>IF(RETORNOS!H1122="","",RETORNOS!H1122)</f>
        <v>0.003282051282</v>
      </c>
      <c r="D1122" s="7">
        <f>IF(RETORNOS!I1122="","",RETORNOS!I1122)</f>
        <v>-0.007205950721</v>
      </c>
      <c r="E1122" s="7">
        <f t="shared" si="2"/>
        <v>-0.001961949719</v>
      </c>
      <c r="F1122" s="7">
        <f t="shared" si="3"/>
        <v>-0.008171273915</v>
      </c>
      <c r="G1122" s="7">
        <f t="shared" si="4"/>
        <v>-0.002927272913</v>
      </c>
      <c r="H1122" s="5">
        <f t="shared" ref="H1122:K1122" si="1122">IF(B1122="","",H1121*(1+B1122))</f>
        <v>322.3521307</v>
      </c>
      <c r="I1122" s="5">
        <f t="shared" si="1122"/>
        <v>237.1566417</v>
      </c>
      <c r="J1122" s="5">
        <f t="shared" si="1122"/>
        <v>145.3086831</v>
      </c>
      <c r="K1122" s="5">
        <f t="shared" si="1122"/>
        <v>193.2572287</v>
      </c>
      <c r="L1122" s="7">
        <f t="shared" si="6"/>
        <v>-0.004889222633</v>
      </c>
    </row>
    <row r="1123" ht="15.75" customHeight="1">
      <c r="A1123" s="4">
        <f>IF(RETORNOS!A1123="","",RETORNOS!A1123)</f>
        <v>46045</v>
      </c>
      <c r="B1123" s="7">
        <f>IF(RETORNOS!B1123="","",OPTIMIZACION!$B$5*RETORNOS!B1123+OPTIMIZACION!$B$6*RETORNOS!C1123+OPTIMIZACION!$B$7*RETORNOS!D1123+OPTIMIZACION!$B$8*RETORNOS!E1123+OPTIMIZACION!$B$9*RETORNOS!F1123+OPTIMIZACION!$B$10*RETORNOS!G1123)</f>
        <v>0.007517276982</v>
      </c>
      <c r="C1123" s="7">
        <f>IF(RETORNOS!H1123="","",RETORNOS!H1123)</f>
        <v>0.005724800654</v>
      </c>
      <c r="D1123" s="7">
        <f>IF(RETORNOS!I1123="","",RETORNOS!I1123)</f>
        <v>-0.003512058066</v>
      </c>
      <c r="E1123" s="7">
        <f t="shared" si="2"/>
        <v>0.001106371294</v>
      </c>
      <c r="F1123" s="7">
        <f t="shared" si="3"/>
        <v>0.001792476328</v>
      </c>
      <c r="G1123" s="7">
        <f t="shared" si="4"/>
        <v>0.006410905688</v>
      </c>
      <c r="H1123" s="5">
        <f t="shared" ref="H1123:K1123" si="1123">IF(B1123="","",H1122*(1+B1123))</f>
        <v>324.7753409</v>
      </c>
      <c r="I1123" s="5">
        <f t="shared" si="1123"/>
        <v>238.5143162</v>
      </c>
      <c r="J1123" s="5">
        <f t="shared" si="1123"/>
        <v>144.7983506</v>
      </c>
      <c r="K1123" s="5">
        <f t="shared" si="1123"/>
        <v>193.471043</v>
      </c>
      <c r="L1123" s="7">
        <f t="shared" si="6"/>
        <v>0</v>
      </c>
    </row>
    <row r="1124" ht="15.75" customHeight="1">
      <c r="A1124" s="4">
        <f>IF(RETORNOS!A1124="","",RETORNOS!A1124)</f>
        <v>46048</v>
      </c>
      <c r="B1124" s="7">
        <f>IF(RETORNOS!B1124="","",OPTIMIZACION!$B$5*RETORNOS!B1124+OPTIMIZACION!$B$6*RETORNOS!C1124+OPTIMIZACION!$B$7*RETORNOS!D1124+OPTIMIZACION!$B$8*RETORNOS!E1124+OPTIMIZACION!$B$9*RETORNOS!F1124+OPTIMIZACION!$B$10*RETORNOS!G1124)</f>
        <v>-0.0007290585501</v>
      </c>
      <c r="C1124" s="7">
        <f>IF(RETORNOS!H1124="","",RETORNOS!H1124)</f>
        <v>0.0006098800569</v>
      </c>
      <c r="D1124" s="7">
        <f>IF(RETORNOS!I1124="","",RETORNOS!I1124)</f>
        <v>0.007283834586</v>
      </c>
      <c r="E1124" s="7">
        <f t="shared" si="2"/>
        <v>0.003946857322</v>
      </c>
      <c r="F1124" s="7">
        <f t="shared" si="3"/>
        <v>-0.001338938607</v>
      </c>
      <c r="G1124" s="7">
        <f t="shared" si="4"/>
        <v>-0.004675915872</v>
      </c>
      <c r="H1124" s="5">
        <f t="shared" ref="H1124:K1124" si="1124">IF(B1124="","",H1123*(1+B1124))</f>
        <v>324.5385607</v>
      </c>
      <c r="I1124" s="5">
        <f t="shared" si="1124"/>
        <v>238.6597813</v>
      </c>
      <c r="J1124" s="5">
        <f t="shared" si="1124"/>
        <v>145.8530378</v>
      </c>
      <c r="K1124" s="5">
        <f t="shared" si="1124"/>
        <v>194.2346456</v>
      </c>
      <c r="L1124" s="7">
        <f t="shared" si="6"/>
        <v>-0.0007290585501</v>
      </c>
    </row>
    <row r="1125" ht="15.75" customHeight="1">
      <c r="A1125" s="4">
        <f>IF(RETORNOS!A1125="","",RETORNOS!A1125)</f>
        <v>46049</v>
      </c>
      <c r="B1125" s="7">
        <f>IF(RETORNOS!B1125="","",OPTIMIZACION!$B$5*RETORNOS!B1125+OPTIMIZACION!$B$6*RETORNOS!C1125+OPTIMIZACION!$B$7*RETORNOS!D1125+OPTIMIZACION!$B$8*RETORNOS!E1125+OPTIMIZACION!$B$9*RETORNOS!F1125+OPTIMIZACION!$B$10*RETORNOS!G1125)</f>
        <v>0.02022367593</v>
      </c>
      <c r="C1125" s="7">
        <f>IF(RETORNOS!H1125="","",RETORNOS!H1125)</f>
        <v>0.009142624949</v>
      </c>
      <c r="D1125" s="7">
        <f>IF(RETORNOS!I1125="","",RETORNOS!I1125)</f>
        <v>0.01306274784</v>
      </c>
      <c r="E1125" s="7">
        <f t="shared" si="2"/>
        <v>0.0111026864</v>
      </c>
      <c r="F1125" s="7">
        <f t="shared" si="3"/>
        <v>0.01108105099</v>
      </c>
      <c r="G1125" s="7">
        <f t="shared" si="4"/>
        <v>0.009120989539</v>
      </c>
      <c r="H1125" s="5">
        <f t="shared" ref="H1125:K1125" si="1125">IF(B1125="","",H1124*(1+B1125))</f>
        <v>331.1019234</v>
      </c>
      <c r="I1125" s="5">
        <f t="shared" si="1125"/>
        <v>240.8417582</v>
      </c>
      <c r="J1125" s="5">
        <f t="shared" si="1125"/>
        <v>147.7582793</v>
      </c>
      <c r="K1125" s="5">
        <f t="shared" si="1125"/>
        <v>196.3911719</v>
      </c>
      <c r="L1125" s="7">
        <f t="shared" si="6"/>
        <v>0</v>
      </c>
    </row>
    <row r="1126" ht="15.75" customHeight="1">
      <c r="A1126" s="4">
        <f>IF(RETORNOS!A1126="","",RETORNOS!A1126)</f>
        <v>46050</v>
      </c>
      <c r="B1126" s="7">
        <f>IF(RETORNOS!B1126="","",OPTIMIZACION!$B$5*RETORNOS!B1126+OPTIMIZACION!$B$6*RETORNOS!C1126+OPTIMIZACION!$B$7*RETORNOS!D1126+OPTIMIZACION!$B$8*RETORNOS!E1126+OPTIMIZACION!$B$9*RETORNOS!F1126+OPTIMIZACION!$B$10*RETORNOS!G1126)</f>
        <v>0.007806168795</v>
      </c>
      <c r="C1126" s="7">
        <f>IF(RETORNOS!H1126="","",RETORNOS!H1126)</f>
        <v>0.007650493255</v>
      </c>
      <c r="D1126" s="7">
        <f>IF(RETORNOS!I1126="","",RETORNOS!I1126)</f>
        <v>-0.002302555837</v>
      </c>
      <c r="E1126" s="7">
        <f t="shared" si="2"/>
        <v>0.002673968709</v>
      </c>
      <c r="F1126" s="7">
        <f t="shared" si="3"/>
        <v>0.0001556755397</v>
      </c>
      <c r="G1126" s="7">
        <f t="shared" si="4"/>
        <v>0.005132200086</v>
      </c>
      <c r="H1126" s="5">
        <f t="shared" ref="H1126:K1126" si="1126">IF(B1126="","",H1125*(1+B1126))</f>
        <v>333.6865609</v>
      </c>
      <c r="I1126" s="5">
        <f t="shared" si="1126"/>
        <v>242.6843164</v>
      </c>
      <c r="J1126" s="5">
        <f t="shared" si="1126"/>
        <v>147.4180576</v>
      </c>
      <c r="K1126" s="5">
        <f t="shared" si="1126"/>
        <v>196.9163158</v>
      </c>
      <c r="L1126" s="7">
        <f t="shared" si="6"/>
        <v>0</v>
      </c>
    </row>
    <row r="1127" ht="15.75" customHeight="1">
      <c r="A1127" s="4">
        <f>IF(RETORNOS!A1127="","",RETORNOS!A1127)</f>
        <v>46051</v>
      </c>
      <c r="B1127" s="7">
        <f>IF(RETORNOS!B1127="","",OPTIMIZACION!$B$5*RETORNOS!B1127+OPTIMIZACION!$B$6*RETORNOS!C1127+OPTIMIZACION!$B$7*RETORNOS!D1127+OPTIMIZACION!$B$8*RETORNOS!E1127+OPTIMIZACION!$B$9*RETORNOS!F1127+OPTIMIZACION!$B$10*RETORNOS!G1127)</f>
        <v>0.0117866168</v>
      </c>
      <c r="C1127" s="7">
        <f>IF(RETORNOS!H1127="","",RETORNOS!H1127)</f>
        <v>0.009190809191</v>
      </c>
      <c r="D1127" s="7">
        <f>IF(RETORNOS!I1127="","",RETORNOS!I1127)</f>
        <v>0</v>
      </c>
      <c r="E1127" s="7">
        <f t="shared" si="2"/>
        <v>0.004595404595</v>
      </c>
      <c r="F1127" s="7">
        <f t="shared" si="3"/>
        <v>0.002595807609</v>
      </c>
      <c r="G1127" s="7">
        <f t="shared" si="4"/>
        <v>0.007191212204</v>
      </c>
      <c r="H1127" s="5">
        <f t="shared" ref="H1127:K1127" si="1127">IF(B1127="","",H1126*(1+B1127))</f>
        <v>337.6195965</v>
      </c>
      <c r="I1127" s="5">
        <f t="shared" si="1127"/>
        <v>244.9147817</v>
      </c>
      <c r="J1127" s="5">
        <f t="shared" si="1127"/>
        <v>147.4180576</v>
      </c>
      <c r="K1127" s="5">
        <f t="shared" si="1127"/>
        <v>197.8212259</v>
      </c>
      <c r="L1127" s="7">
        <f t="shared" si="6"/>
        <v>0</v>
      </c>
    </row>
    <row r="1128" ht="15.75" customHeight="1">
      <c r="A1128" s="4">
        <f>IF(RETORNOS!A1128="","",RETORNOS!A1128)</f>
        <v>46052</v>
      </c>
      <c r="B1128" s="7">
        <f>IF(RETORNOS!B1128="","",OPTIMIZACION!$B$5*RETORNOS!B1128+OPTIMIZACION!$B$6*RETORNOS!C1128+OPTIMIZACION!$B$7*RETORNOS!D1128+OPTIMIZACION!$B$8*RETORNOS!E1128+OPTIMIZACION!$B$9*RETORNOS!F1128+OPTIMIZACION!$B$10*RETORNOS!G1128)</f>
        <v>-0.001264186432</v>
      </c>
      <c r="C1128" s="7">
        <f>IF(RETORNOS!H1128="","",RETORNOS!H1128)</f>
        <v>0.01069095229</v>
      </c>
      <c r="D1128" s="7">
        <f>IF(RETORNOS!I1128="","",RETORNOS!I1128)</f>
        <v>-0.001846295869</v>
      </c>
      <c r="E1128" s="7">
        <f t="shared" si="2"/>
        <v>0.004422328209</v>
      </c>
      <c r="F1128" s="7">
        <f t="shared" si="3"/>
        <v>-0.01195513872</v>
      </c>
      <c r="G1128" s="7">
        <f t="shared" si="4"/>
        <v>-0.005686514641</v>
      </c>
      <c r="H1128" s="5">
        <f t="shared" ref="H1128:K1128" si="1128">IF(B1128="","",H1127*(1+B1128))</f>
        <v>337.1927824</v>
      </c>
      <c r="I1128" s="5">
        <f t="shared" si="1128"/>
        <v>247.5331539</v>
      </c>
      <c r="J1128" s="5">
        <f t="shared" si="1128"/>
        <v>147.1458803</v>
      </c>
      <c r="K1128" s="5">
        <f t="shared" si="1128"/>
        <v>198.6960563</v>
      </c>
      <c r="L1128" s="7">
        <f t="shared" si="6"/>
        <v>-0.001264186432</v>
      </c>
    </row>
    <row r="1129" ht="15.75" customHeight="1">
      <c r="A1129" s="4">
        <f>IF(RETORNOS!A1129="","",RETORNOS!A1129)</f>
        <v>46055</v>
      </c>
      <c r="B1129" s="7">
        <f>IF(RETORNOS!B1129="","",OPTIMIZACION!$B$5*RETORNOS!B1129+OPTIMIZACION!$B$6*RETORNOS!C1129+OPTIMIZACION!$B$7*RETORNOS!D1129+OPTIMIZACION!$B$8*RETORNOS!E1129+OPTIMIZACION!$B$9*RETORNOS!F1129+OPTIMIZACION!$B$10*RETORNOS!G1129)</f>
        <v>-0.01381288897</v>
      </c>
      <c r="C1129" s="7">
        <f>IF(RETORNOS!H1129="","",RETORNOS!H1129)</f>
        <v>-0.01958863859</v>
      </c>
      <c r="D1129" s="7">
        <f>IF(RETORNOS!I1129="","",RETORNOS!I1129)</f>
        <v>-0.01456647399</v>
      </c>
      <c r="E1129" s="7">
        <f t="shared" si="2"/>
        <v>-0.01707755629</v>
      </c>
      <c r="F1129" s="7">
        <f t="shared" si="3"/>
        <v>0.005775749621</v>
      </c>
      <c r="G1129" s="7">
        <f t="shared" si="4"/>
        <v>0.00326466732</v>
      </c>
      <c r="H1129" s="5">
        <f t="shared" ref="H1129:K1129" si="1129">IF(B1129="","",H1128*(1+B1129))</f>
        <v>332.5351759</v>
      </c>
      <c r="I1129" s="5">
        <f t="shared" si="1129"/>
        <v>242.6843164</v>
      </c>
      <c r="J1129" s="5">
        <f t="shared" si="1129"/>
        <v>145.0024836</v>
      </c>
      <c r="K1129" s="5">
        <f t="shared" si="1129"/>
        <v>195.3028132</v>
      </c>
      <c r="L1129" s="7">
        <f t="shared" si="6"/>
        <v>-0.01505961333</v>
      </c>
    </row>
    <row r="1130" ht="15.75" customHeight="1">
      <c r="A1130" s="4">
        <f>IF(RETORNOS!A1130="","",RETORNOS!A1130)</f>
        <v>46056</v>
      </c>
      <c r="B1130" s="7">
        <f>IF(RETORNOS!B1130="","",OPTIMIZACION!$B$5*RETORNOS!B1130+OPTIMIZACION!$B$6*RETORNOS!C1130+OPTIMIZACION!$B$7*RETORNOS!D1130+OPTIMIZACION!$B$8*RETORNOS!E1130+OPTIMIZACION!$B$9*RETORNOS!F1130+OPTIMIZACION!$B$10*RETORNOS!G1130)</f>
        <v>0.02196522348</v>
      </c>
      <c r="C1130" s="7">
        <f>IF(RETORNOS!H1130="","",RETORNOS!H1130)</f>
        <v>0.03236763237</v>
      </c>
      <c r="D1130" s="7">
        <f>IF(RETORNOS!I1130="","",RETORNOS!I1130)</f>
        <v>0.01454716096</v>
      </c>
      <c r="E1130" s="7">
        <f t="shared" si="2"/>
        <v>0.02345739666</v>
      </c>
      <c r="F1130" s="7">
        <f t="shared" si="3"/>
        <v>-0.01040240889</v>
      </c>
      <c r="G1130" s="7">
        <f t="shared" si="4"/>
        <v>-0.00149217318</v>
      </c>
      <c r="H1130" s="5">
        <f t="shared" ref="H1130:K1130" si="1130">IF(B1130="","",H1129*(1+B1130))</f>
        <v>339.8393854</v>
      </c>
      <c r="I1130" s="5">
        <f t="shared" si="1130"/>
        <v>250.5394332</v>
      </c>
      <c r="J1130" s="5">
        <f t="shared" si="1130"/>
        <v>147.1118581</v>
      </c>
      <c r="K1130" s="5">
        <f t="shared" si="1130"/>
        <v>199.8841088</v>
      </c>
      <c r="L1130" s="7">
        <f t="shared" si="6"/>
        <v>0</v>
      </c>
    </row>
    <row r="1131" ht="15.75" customHeight="1">
      <c r="A1131" s="4">
        <f>IF(RETORNOS!A1131="","",RETORNOS!A1131)</f>
        <v>46057</v>
      </c>
      <c r="B1131" s="7">
        <f>IF(RETORNOS!B1131="","",OPTIMIZACION!$B$5*RETORNOS!B1131+OPTIMIZACION!$B$6*RETORNOS!C1131+OPTIMIZACION!$B$7*RETORNOS!D1131+OPTIMIZACION!$B$8*RETORNOS!E1131+OPTIMIZACION!$B$9*RETORNOS!F1131+OPTIMIZACION!$B$10*RETORNOS!G1131)</f>
        <v>-0.003632413901</v>
      </c>
      <c r="C1131" s="7">
        <f>IF(RETORNOS!H1131="","",RETORNOS!H1131)</f>
        <v>0.02245016451</v>
      </c>
      <c r="D1131" s="7">
        <f>IF(RETORNOS!I1131="","",RETORNOS!I1131)</f>
        <v>-0.003700277521</v>
      </c>
      <c r="E1131" s="7">
        <f t="shared" si="2"/>
        <v>0.009374943492</v>
      </c>
      <c r="F1131" s="7">
        <f t="shared" si="3"/>
        <v>-0.02608257841</v>
      </c>
      <c r="G1131" s="7">
        <f t="shared" si="4"/>
        <v>-0.01300735739</v>
      </c>
      <c r="H1131" s="5">
        <f t="shared" ref="H1131:K1131" si="1131">IF(B1131="","",H1130*(1+B1131))</f>
        <v>338.6049481</v>
      </c>
      <c r="I1131" s="5">
        <f t="shared" si="1131"/>
        <v>256.1640847</v>
      </c>
      <c r="J1131" s="5">
        <f t="shared" si="1131"/>
        <v>146.5675034</v>
      </c>
      <c r="K1131" s="5">
        <f t="shared" si="1131"/>
        <v>201.758011</v>
      </c>
      <c r="L1131" s="7">
        <f t="shared" si="6"/>
        <v>-0.003632413901</v>
      </c>
    </row>
    <row r="1132" ht="15.75" customHeight="1">
      <c r="A1132" s="4">
        <f>IF(RETORNOS!A1132="","",RETORNOS!A1132)</f>
        <v>46058</v>
      </c>
      <c r="B1132" s="7">
        <f>IF(RETORNOS!B1132="","",OPTIMIZACION!$B$5*RETORNOS!B1132+OPTIMIZACION!$B$6*RETORNOS!C1132+OPTIMIZACION!$B$7*RETORNOS!D1132+OPTIMIZACION!$B$8*RETORNOS!E1132+OPTIMIZACION!$B$9*RETORNOS!F1132+OPTIMIZACION!$B$10*RETORNOS!G1132)</f>
        <v>-0.004964886115</v>
      </c>
      <c r="C1132" s="7">
        <f>IF(RETORNOS!H1132="","",RETORNOS!H1132)</f>
        <v>-0.0117357562</v>
      </c>
      <c r="D1132" s="7">
        <f>IF(RETORNOS!I1132="","",RETORNOS!I1132)</f>
        <v>0.0004642525534</v>
      </c>
      <c r="E1132" s="7">
        <f t="shared" si="2"/>
        <v>-0.005635751823</v>
      </c>
      <c r="F1132" s="7">
        <f t="shared" si="3"/>
        <v>0.006770870084</v>
      </c>
      <c r="G1132" s="7">
        <f t="shared" si="4"/>
        <v>0.0006708657076</v>
      </c>
      <c r="H1132" s="5">
        <f t="shared" ref="H1132:K1132" si="1132">IF(B1132="","",H1131*(1+B1132))</f>
        <v>336.9238131</v>
      </c>
      <c r="I1132" s="5">
        <f t="shared" si="1132"/>
        <v>253.1578054</v>
      </c>
      <c r="J1132" s="5">
        <f t="shared" si="1132"/>
        <v>146.6355477</v>
      </c>
      <c r="K1132" s="5">
        <f t="shared" si="1132"/>
        <v>200.6209529</v>
      </c>
      <c r="L1132" s="7">
        <f t="shared" si="6"/>
        <v>-0.008579265495</v>
      </c>
    </row>
    <row r="1133" ht="15.75" customHeight="1">
      <c r="A1133" s="4">
        <f>IF(RETORNOS!A1133="","",RETORNOS!A1133)</f>
        <v>46059</v>
      </c>
      <c r="B1133" s="7">
        <f>IF(RETORNOS!B1133="","",OPTIMIZACION!$B$5*RETORNOS!B1133+OPTIMIZACION!$B$6*RETORNOS!C1133+OPTIMIZACION!$B$7*RETORNOS!D1133+OPTIMIZACION!$B$8*RETORNOS!E1133+OPTIMIZACION!$B$9*RETORNOS!F1133+OPTIMIZACION!$B$10*RETORNOS!G1133)</f>
        <v>0.01255995151</v>
      </c>
      <c r="C1133" s="7">
        <f>IF(RETORNOS!H1133="","",RETORNOS!H1133)</f>
        <v>0.01991955564</v>
      </c>
      <c r="D1133" s="7">
        <f>IF(RETORNOS!I1133="","",RETORNOS!I1133)</f>
        <v>0.005800464037</v>
      </c>
      <c r="E1133" s="7">
        <f t="shared" si="2"/>
        <v>0.01286000984</v>
      </c>
      <c r="F1133" s="7">
        <f t="shared" si="3"/>
        <v>-0.00735960413</v>
      </c>
      <c r="G1133" s="7">
        <f t="shared" si="4"/>
        <v>-0.0003000583284</v>
      </c>
      <c r="H1133" s="5">
        <f t="shared" ref="H1133:K1133" si="1133">IF(B1133="","",H1132*(1+B1133))</f>
        <v>341.1555598</v>
      </c>
      <c r="I1133" s="5">
        <f t="shared" si="1133"/>
        <v>258.2005964</v>
      </c>
      <c r="J1133" s="5">
        <f t="shared" si="1133"/>
        <v>147.4861019</v>
      </c>
      <c r="K1133" s="5">
        <f t="shared" si="1133"/>
        <v>203.2009404</v>
      </c>
      <c r="L1133" s="7">
        <f t="shared" si="6"/>
        <v>0</v>
      </c>
    </row>
    <row r="1134" ht="15.75" customHeight="1">
      <c r="A1134" s="4">
        <f>IF(RETORNOS!A1134="","",RETORNOS!A1134)</f>
        <v>46062</v>
      </c>
      <c r="B1134" s="7">
        <f>IF(RETORNOS!B1134="","",OPTIMIZACION!$B$5*RETORNOS!B1134+OPTIMIZACION!$B$6*RETORNOS!C1134+OPTIMIZACION!$B$7*RETORNOS!D1134+OPTIMIZACION!$B$8*RETORNOS!E1134+OPTIMIZACION!$B$9*RETORNOS!F1134+OPTIMIZACION!$B$10*RETORNOS!G1134)</f>
        <v>0.007938190916</v>
      </c>
      <c r="C1134" s="7">
        <f>IF(RETORNOS!H1134="","",RETORNOS!H1134)</f>
        <v>0.007323943662</v>
      </c>
      <c r="D1134" s="7">
        <f>IF(RETORNOS!I1134="","",RETORNOS!I1134)</f>
        <v>0.002998846597</v>
      </c>
      <c r="E1134" s="7">
        <f t="shared" si="2"/>
        <v>0.00516139513</v>
      </c>
      <c r="F1134" s="7">
        <f t="shared" si="3"/>
        <v>0.0006142472541</v>
      </c>
      <c r="G1134" s="7">
        <f t="shared" si="4"/>
        <v>0.002776795786</v>
      </c>
      <c r="H1134" s="5">
        <f t="shared" ref="H1134:K1134" si="1134">IF(B1134="","",H1133*(1+B1134))</f>
        <v>343.8637178</v>
      </c>
      <c r="I1134" s="5">
        <f t="shared" si="1134"/>
        <v>260.091643</v>
      </c>
      <c r="J1134" s="5">
        <f t="shared" si="1134"/>
        <v>147.9283901</v>
      </c>
      <c r="K1134" s="5">
        <f t="shared" si="1134"/>
        <v>204.2497407</v>
      </c>
      <c r="L1134" s="7">
        <f t="shared" si="6"/>
        <v>0</v>
      </c>
    </row>
    <row r="1135" ht="15.75" customHeight="1">
      <c r="A1135" s="4">
        <f>IF(RETORNOS!A1135="","",RETORNOS!A1135)</f>
        <v>46063</v>
      </c>
      <c r="B1135" s="7">
        <f>IF(RETORNOS!B1135="","",OPTIMIZACION!$B$5*RETORNOS!B1135+OPTIMIZACION!$B$6*RETORNOS!C1135+OPTIMIZACION!$B$7*RETORNOS!D1135+OPTIMIZACION!$B$8*RETORNOS!E1135+OPTIMIZACION!$B$9*RETORNOS!F1135+OPTIMIZACION!$B$10*RETORNOS!G1135)</f>
        <v>0.01385286333</v>
      </c>
      <c r="C1135" s="7">
        <f>IF(RETORNOS!H1135="","",RETORNOS!H1135)</f>
        <v>-0.001118568233</v>
      </c>
      <c r="D1135" s="7">
        <f>IF(RETORNOS!I1135="","",RETORNOS!I1135)</f>
        <v>0.01655933763</v>
      </c>
      <c r="E1135" s="7">
        <f t="shared" si="2"/>
        <v>0.007720384697</v>
      </c>
      <c r="F1135" s="7">
        <f t="shared" si="3"/>
        <v>0.01497143157</v>
      </c>
      <c r="G1135" s="7">
        <f t="shared" si="4"/>
        <v>0.006132478636</v>
      </c>
      <c r="H1135" s="5">
        <f t="shared" ref="H1135:K1135" si="1135">IF(B1135="","",H1134*(1+B1135))</f>
        <v>348.6272149</v>
      </c>
      <c r="I1135" s="5">
        <f t="shared" si="1135"/>
        <v>259.8007128</v>
      </c>
      <c r="J1135" s="5">
        <f t="shared" si="1135"/>
        <v>150.3779863</v>
      </c>
      <c r="K1135" s="5">
        <f t="shared" si="1135"/>
        <v>205.8266273</v>
      </c>
      <c r="L1135" s="7">
        <f t="shared" si="6"/>
        <v>0</v>
      </c>
    </row>
    <row r="1136" ht="15.75" customHeight="1">
      <c r="A1136" s="4">
        <f>IF(RETORNOS!A1136="","",RETORNOS!A1136)</f>
        <v>46064</v>
      </c>
      <c r="B1136" s="7">
        <f>IF(RETORNOS!B1136="","",OPTIMIZACION!$B$5*RETORNOS!B1136+OPTIMIZACION!$B$6*RETORNOS!C1136+OPTIMIZACION!$B$7*RETORNOS!D1136+OPTIMIZACION!$B$8*RETORNOS!E1136+OPTIMIZACION!$B$9*RETORNOS!F1136+OPTIMIZACION!$B$10*RETORNOS!G1136)</f>
        <v>0.01855324785</v>
      </c>
      <c r="C1136" s="7">
        <f>IF(RETORNOS!H1136="","",RETORNOS!H1136)</f>
        <v>0.02612915267</v>
      </c>
      <c r="D1136" s="7">
        <f>IF(RETORNOS!I1136="","",RETORNOS!I1136)</f>
        <v>0.008823529412</v>
      </c>
      <c r="E1136" s="7">
        <f t="shared" si="2"/>
        <v>0.01747634104</v>
      </c>
      <c r="F1136" s="7">
        <f t="shared" si="3"/>
        <v>-0.007575904817</v>
      </c>
      <c r="G1136" s="7">
        <f t="shared" si="4"/>
        <v>0.001076906812</v>
      </c>
      <c r="H1136" s="5">
        <f t="shared" ref="H1136:K1136" si="1136">IF(B1136="","",H1135*(1+B1136))</f>
        <v>355.095382</v>
      </c>
      <c r="I1136" s="5">
        <f t="shared" si="1136"/>
        <v>266.5890853</v>
      </c>
      <c r="J1136" s="5">
        <f t="shared" si="1136"/>
        <v>151.7048509</v>
      </c>
      <c r="K1136" s="5">
        <f t="shared" si="1136"/>
        <v>209.4237236</v>
      </c>
      <c r="L1136" s="7">
        <f t="shared" si="6"/>
        <v>0</v>
      </c>
    </row>
    <row r="1137" ht="15.75" customHeight="1">
      <c r="A1137" s="4">
        <f>IF(RETORNOS!A1137="","",RETORNOS!A1137)</f>
        <v>46065</v>
      </c>
      <c r="B1137" s="7">
        <f>IF(RETORNOS!B1137="","",OPTIMIZACION!$B$5*RETORNOS!B1137+OPTIMIZACION!$B$6*RETORNOS!C1137+OPTIMIZACION!$B$7*RETORNOS!D1137+OPTIMIZACION!$B$8*RETORNOS!E1137+OPTIMIZACION!$B$9*RETORNOS!F1137+OPTIMIZACION!$B$10*RETORNOS!G1137)</f>
        <v>-0.008237649797</v>
      </c>
      <c r="C1137" s="7">
        <f>IF(RETORNOS!H1137="","",RETORNOS!H1137)</f>
        <v>-0.01818843216</v>
      </c>
      <c r="D1137" s="7">
        <f>IF(RETORNOS!I1137="","",RETORNOS!I1137)</f>
        <v>0.01480152501</v>
      </c>
      <c r="E1137" s="7">
        <f t="shared" si="2"/>
        <v>-0.001693453576</v>
      </c>
      <c r="F1137" s="7">
        <f t="shared" si="3"/>
        <v>0.00995078236</v>
      </c>
      <c r="G1137" s="7">
        <f t="shared" si="4"/>
        <v>-0.006544196221</v>
      </c>
      <c r="H1137" s="5">
        <f t="shared" ref="H1137:K1137" si="1137">IF(B1137="","",H1136*(1+B1137))</f>
        <v>352.1702306</v>
      </c>
      <c r="I1137" s="5">
        <f t="shared" si="1137"/>
        <v>261.7402478</v>
      </c>
      <c r="J1137" s="5">
        <f t="shared" si="1137"/>
        <v>153.950314</v>
      </c>
      <c r="K1137" s="5">
        <f t="shared" si="1137"/>
        <v>209.0690743</v>
      </c>
      <c r="L1137" s="7">
        <f t="shared" si="6"/>
        <v>-0.008237649797</v>
      </c>
    </row>
    <row r="1138" ht="15.75" customHeight="1">
      <c r="A1138" s="4">
        <f>IF(RETORNOS!A1138="","",RETORNOS!A1138)</f>
        <v>46066</v>
      </c>
      <c r="B1138" s="7">
        <f>IF(RETORNOS!B1138="","",OPTIMIZACION!$B$5*RETORNOS!B1138+OPTIMIZACION!$B$6*RETORNOS!C1138+OPTIMIZACION!$B$7*RETORNOS!D1138+OPTIMIZACION!$B$8*RETORNOS!E1138+OPTIMIZACION!$B$9*RETORNOS!F1138+OPTIMIZACION!$B$10*RETORNOS!G1138)</f>
        <v>0.01222234089</v>
      </c>
      <c r="C1138" s="7">
        <f>IF(RETORNOS!H1138="","",RETORNOS!H1138)</f>
        <v>0.006854390515</v>
      </c>
      <c r="D1138" s="7">
        <f>IF(RETORNOS!I1138="","",RETORNOS!I1138)</f>
        <v>0.02762430939</v>
      </c>
      <c r="E1138" s="7">
        <f t="shared" si="2"/>
        <v>0.01723934995</v>
      </c>
      <c r="F1138" s="7">
        <f t="shared" si="3"/>
        <v>0.005367950372</v>
      </c>
      <c r="G1138" s="7">
        <f t="shared" si="4"/>
        <v>-0.005017009067</v>
      </c>
      <c r="H1138" s="5">
        <f t="shared" ref="H1138:K1138" si="1138">IF(B1138="","",H1137*(1+B1138))</f>
        <v>356.4745752</v>
      </c>
      <c r="I1138" s="5">
        <f t="shared" si="1138"/>
        <v>263.5343176</v>
      </c>
      <c r="J1138" s="5">
        <f t="shared" si="1138"/>
        <v>158.2030851</v>
      </c>
      <c r="K1138" s="5">
        <f t="shared" si="1138"/>
        <v>212.6732892</v>
      </c>
      <c r="L1138" s="7">
        <f t="shared" si="6"/>
        <v>0</v>
      </c>
    </row>
    <row r="1139" ht="15.75" customHeight="1">
      <c r="A1139" s="4">
        <f>IF(RETORNOS!A1139="","",RETORNOS!A1139)</f>
        <v>46070</v>
      </c>
      <c r="B1139" s="7">
        <f>IF(RETORNOS!B1139="","",OPTIMIZACION!$B$5*RETORNOS!B1139+OPTIMIZACION!$B$6*RETORNOS!C1139+OPTIMIZACION!$B$7*RETORNOS!D1139+OPTIMIZACION!$B$8*RETORNOS!E1139+OPTIMIZACION!$B$9*RETORNOS!F1139+OPTIMIZACION!$B$10*RETORNOS!G1139)</f>
        <v>-0.01156951824</v>
      </c>
      <c r="C1139" s="7">
        <f>IF(RETORNOS!H1139="","",RETORNOS!H1139)</f>
        <v>-0.01103955842</v>
      </c>
      <c r="D1139" s="7">
        <f>IF(RETORNOS!I1139="","",RETORNOS!I1139)</f>
        <v>-0.002580645161</v>
      </c>
      <c r="E1139" s="7">
        <f t="shared" si="2"/>
        <v>-0.006810101789</v>
      </c>
      <c r="F1139" s="7">
        <f t="shared" si="3"/>
        <v>-0.0005299598206</v>
      </c>
      <c r="G1139" s="7">
        <f t="shared" si="4"/>
        <v>-0.004759416449</v>
      </c>
      <c r="H1139" s="5">
        <f t="shared" ref="H1139:K1139" si="1139">IF(B1139="","",H1138*(1+B1139))</f>
        <v>352.3503361</v>
      </c>
      <c r="I1139" s="5">
        <f t="shared" si="1139"/>
        <v>260.6250152</v>
      </c>
      <c r="J1139" s="5">
        <f t="shared" si="1139"/>
        <v>157.7948191</v>
      </c>
      <c r="K1139" s="5">
        <f t="shared" si="1139"/>
        <v>211.2249625</v>
      </c>
      <c r="L1139" s="7">
        <f t="shared" si="6"/>
        <v>-0.01156951824</v>
      </c>
    </row>
    <row r="1140" ht="15.75" customHeight="1">
      <c r="A1140" s="4">
        <f>IF(RETORNOS!A1140="","",RETORNOS!A1140)</f>
        <v>46071</v>
      </c>
      <c r="B1140" s="7">
        <f>IF(RETORNOS!B1140="","",OPTIMIZACION!$B$5*RETORNOS!B1140+OPTIMIZACION!$B$6*RETORNOS!C1140+OPTIMIZACION!$B$7*RETORNOS!D1140+OPTIMIZACION!$B$8*RETORNOS!E1140+OPTIMIZACION!$B$9*RETORNOS!F1140+OPTIMIZACION!$B$10*RETORNOS!G1140)</f>
        <v>0.001941150578</v>
      </c>
      <c r="C1140" s="7">
        <f>IF(RETORNOS!H1140="","",RETORNOS!H1140)</f>
        <v>0.0191627907</v>
      </c>
      <c r="D1140" s="7">
        <f>IF(RETORNOS!I1140="","",RETORNOS!I1140)</f>
        <v>-0.01660198361</v>
      </c>
      <c r="E1140" s="7">
        <f t="shared" si="2"/>
        <v>0.001280403542</v>
      </c>
      <c r="F1140" s="7">
        <f t="shared" si="3"/>
        <v>-0.01722164012</v>
      </c>
      <c r="G1140" s="7">
        <f t="shared" si="4"/>
        <v>0.0006607470358</v>
      </c>
      <c r="H1140" s="5">
        <f t="shared" ref="H1140:K1140" si="1140">IF(B1140="","",H1139*(1+B1140))</f>
        <v>353.0343012</v>
      </c>
      <c r="I1140" s="5">
        <f t="shared" si="1140"/>
        <v>265.6193178</v>
      </c>
      <c r="J1140" s="5">
        <f t="shared" si="1140"/>
        <v>155.1751121</v>
      </c>
      <c r="K1140" s="5">
        <f t="shared" si="1140"/>
        <v>211.4954157</v>
      </c>
      <c r="L1140" s="7">
        <f t="shared" si="6"/>
        <v>-0.009650825837</v>
      </c>
    </row>
    <row r="1141" ht="15.75" customHeight="1">
      <c r="A1141" s="4">
        <f>IF(RETORNOS!A1141="","",RETORNOS!A1141)</f>
        <v>46072</v>
      </c>
      <c r="B1141" s="7">
        <f>IF(RETORNOS!B1141="","",OPTIMIZACION!$B$5*RETORNOS!B1141+OPTIMIZACION!$B$6*RETORNOS!C1141+OPTIMIZACION!$B$7*RETORNOS!D1141+OPTIMIZACION!$B$8*RETORNOS!E1141+OPTIMIZACION!$B$9*RETORNOS!F1141+OPTIMIZACION!$B$10*RETORNOS!G1141)</f>
        <v>0.0148992632</v>
      </c>
      <c r="C1141" s="7">
        <f>IF(RETORNOS!H1141="","",RETORNOS!H1141)</f>
        <v>0.007301935013</v>
      </c>
      <c r="D1141" s="7">
        <f>IF(RETORNOS!I1141="","",RETORNOS!I1141)</f>
        <v>0.01096250822</v>
      </c>
      <c r="E1141" s="7">
        <f t="shared" si="2"/>
        <v>0.009132221617</v>
      </c>
      <c r="F1141" s="7">
        <f t="shared" si="3"/>
        <v>0.007597328188</v>
      </c>
      <c r="G1141" s="7">
        <f t="shared" si="4"/>
        <v>0.005767041584</v>
      </c>
      <c r="H1141" s="5">
        <f t="shared" ref="H1141:K1141" si="1141">IF(B1141="","",H1140*(1+B1141))</f>
        <v>358.2942522</v>
      </c>
      <c r="I1141" s="5">
        <f t="shared" si="1141"/>
        <v>267.5588528</v>
      </c>
      <c r="J1141" s="5">
        <f t="shared" si="1141"/>
        <v>156.8762205</v>
      </c>
      <c r="K1141" s="5">
        <f t="shared" si="1141"/>
        <v>213.4268387</v>
      </c>
      <c r="L1141" s="7">
        <f t="shared" si="6"/>
        <v>0</v>
      </c>
    </row>
    <row r="1142" ht="15.75" customHeight="1">
      <c r="A1142" s="4">
        <f>IF(RETORNOS!A1142="","",RETORNOS!A1142)</f>
        <v>46073</v>
      </c>
      <c r="B1142" s="7">
        <f>IF(RETORNOS!B1142="","",OPTIMIZACION!$B$5*RETORNOS!B1142+OPTIMIZACION!$B$6*RETORNOS!C1142+OPTIMIZACION!$B$7*RETORNOS!D1142+OPTIMIZACION!$B$8*RETORNOS!E1142+OPTIMIZACION!$B$9*RETORNOS!F1142+OPTIMIZACION!$B$10*RETORNOS!G1142)</f>
        <v>-0.007494345131</v>
      </c>
      <c r="C1142" s="7">
        <f>IF(RETORNOS!H1142="","",RETORNOS!H1142)</f>
        <v>-0.005436752447</v>
      </c>
      <c r="D1142" s="7">
        <f>IF(RETORNOS!I1142="","",RETORNOS!I1142)</f>
        <v>0.004771199306</v>
      </c>
      <c r="E1142" s="7">
        <f t="shared" si="2"/>
        <v>-0.0003327765703</v>
      </c>
      <c r="F1142" s="7">
        <f t="shared" si="3"/>
        <v>-0.002057592685</v>
      </c>
      <c r="G1142" s="7">
        <f t="shared" si="4"/>
        <v>-0.007161568561</v>
      </c>
      <c r="H1142" s="5">
        <f t="shared" ref="H1142:K1142" si="1142">IF(B1142="","",H1141*(1+B1142))</f>
        <v>355.6090714</v>
      </c>
      <c r="I1142" s="5">
        <f t="shared" si="1142"/>
        <v>266.1042015</v>
      </c>
      <c r="J1142" s="5">
        <f t="shared" si="1142"/>
        <v>157.6247083</v>
      </c>
      <c r="K1142" s="5">
        <f t="shared" si="1142"/>
        <v>213.3558152</v>
      </c>
      <c r="L1142" s="7">
        <f t="shared" si="6"/>
        <v>-0.007494345131</v>
      </c>
    </row>
    <row r="1143" ht="15.75" customHeight="1">
      <c r="A1143" s="4">
        <f>IF(RETORNOS!A1143="","",RETORNOS!A1143)</f>
        <v>46076</v>
      </c>
      <c r="B1143" s="7">
        <f>IF(RETORNOS!B1143="","",OPTIMIZACION!$B$5*RETORNOS!B1143+OPTIMIZACION!$B$6*RETORNOS!C1143+OPTIMIZACION!$B$7*RETORNOS!D1143+OPTIMIZACION!$B$8*RETORNOS!E1143+OPTIMIZACION!$B$9*RETORNOS!F1143+OPTIMIZACION!$B$10*RETORNOS!G1143)</f>
        <v>0.0005345425265</v>
      </c>
      <c r="C1143" s="7">
        <f>IF(RETORNOS!H1143="","",RETORNOS!H1143)</f>
        <v>0.004919825073</v>
      </c>
      <c r="D1143" s="7">
        <f>IF(RETORNOS!I1143="","",RETORNOS!I1143)</f>
        <v>0.007554500324</v>
      </c>
      <c r="E1143" s="7">
        <f t="shared" si="2"/>
        <v>0.006237162698</v>
      </c>
      <c r="F1143" s="7">
        <f t="shared" si="3"/>
        <v>-0.004385282546</v>
      </c>
      <c r="G1143" s="7">
        <f t="shared" si="4"/>
        <v>-0.005702620172</v>
      </c>
      <c r="H1143" s="5">
        <f t="shared" ref="H1143:K1143" si="1143">IF(B1143="","",H1142*(1+B1143))</f>
        <v>355.7991595</v>
      </c>
      <c r="I1143" s="5">
        <f t="shared" si="1143"/>
        <v>267.4133876</v>
      </c>
      <c r="J1143" s="5">
        <f t="shared" si="1143"/>
        <v>158.8154842</v>
      </c>
      <c r="K1143" s="5">
        <f t="shared" si="1143"/>
        <v>214.6865501</v>
      </c>
      <c r="L1143" s="7">
        <f t="shared" si="6"/>
        <v>-0.006963808651</v>
      </c>
    </row>
    <row r="1144" ht="15.75" customHeight="1">
      <c r="A1144" s="4">
        <f>IF(RETORNOS!A1144="","",RETORNOS!A1144)</f>
        <v>46077</v>
      </c>
      <c r="B1144" s="7">
        <f>IF(RETORNOS!B1144="","",OPTIMIZACION!$B$5*RETORNOS!B1144+OPTIMIZACION!$B$6*RETORNOS!C1144+OPTIMIZACION!$B$7*RETORNOS!D1144+OPTIMIZACION!$B$8*RETORNOS!E1144+OPTIMIZACION!$B$9*RETORNOS!F1144+OPTIMIZACION!$B$10*RETORNOS!G1144)</f>
        <v>0.00763022384</v>
      </c>
      <c r="C1144" s="7">
        <f>IF(RETORNOS!H1144="","",RETORNOS!H1144)</f>
        <v>-0.0009066183137</v>
      </c>
      <c r="D1144" s="7">
        <f>IF(RETORNOS!I1144="","",RETORNOS!I1144)</f>
        <v>0.01113967438</v>
      </c>
      <c r="E1144" s="7">
        <f t="shared" si="2"/>
        <v>0.005116528033</v>
      </c>
      <c r="F1144" s="7">
        <f t="shared" si="3"/>
        <v>0.008536842154</v>
      </c>
      <c r="G1144" s="7">
        <f t="shared" si="4"/>
        <v>0.002513695807</v>
      </c>
      <c r="H1144" s="5">
        <f t="shared" ref="H1144:K1144" si="1144">IF(B1144="","",H1143*(1+B1144))</f>
        <v>358.5139868</v>
      </c>
      <c r="I1144" s="5">
        <f t="shared" si="1144"/>
        <v>267.1709458</v>
      </c>
      <c r="J1144" s="5">
        <f t="shared" si="1144"/>
        <v>160.5846369</v>
      </c>
      <c r="K1144" s="5">
        <f t="shared" si="1144"/>
        <v>215.7849999</v>
      </c>
      <c r="L1144" s="7">
        <f t="shared" si="6"/>
        <v>0</v>
      </c>
    </row>
    <row r="1145" ht="15.75" customHeight="1">
      <c r="A1145" s="4">
        <f>IF(RETORNOS!A1145="","",RETORNOS!A1145)</f>
        <v>46078</v>
      </c>
      <c r="B1145" s="7">
        <f>IF(RETORNOS!B1145="","",OPTIMIZACION!$B$5*RETORNOS!B1145+OPTIMIZACION!$B$6*RETORNOS!C1145+OPTIMIZACION!$B$7*RETORNOS!D1145+OPTIMIZACION!$B$8*RETORNOS!E1145+OPTIMIZACION!$B$9*RETORNOS!F1145+OPTIMIZACION!$B$10*RETORNOS!G1145)</f>
        <v>0.001293575283</v>
      </c>
      <c r="C1145" s="7">
        <f>IF(RETORNOS!H1145="","",RETORNOS!H1145)</f>
        <v>-0.004174228675</v>
      </c>
      <c r="D1145" s="7">
        <f>IF(RETORNOS!I1145="","",RETORNOS!I1145)</f>
        <v>0.003389830508</v>
      </c>
      <c r="E1145" s="7">
        <f t="shared" si="2"/>
        <v>-0.0003921990833</v>
      </c>
      <c r="F1145" s="7">
        <f t="shared" si="3"/>
        <v>0.005467803958</v>
      </c>
      <c r="G1145" s="7">
        <f t="shared" si="4"/>
        <v>0.001685774366</v>
      </c>
      <c r="H1145" s="5">
        <f t="shared" ref="H1145:K1145" si="1145">IF(B1145="","",H1144*(1+B1145))</f>
        <v>358.9777516</v>
      </c>
      <c r="I1145" s="5">
        <f t="shared" si="1145"/>
        <v>266.0557131</v>
      </c>
      <c r="J1145" s="5">
        <f t="shared" si="1145"/>
        <v>161.1289917</v>
      </c>
      <c r="K1145" s="5">
        <f t="shared" si="1145"/>
        <v>215.7003692</v>
      </c>
      <c r="L1145" s="7">
        <f t="shared" si="6"/>
        <v>0</v>
      </c>
    </row>
    <row r="1146" ht="15.75" customHeight="1">
      <c r="A1146" s="4">
        <f>IF(RETORNOS!A1146="","",RETORNOS!A1146)</f>
        <v>46079</v>
      </c>
      <c r="B1146" s="7">
        <f>IF(RETORNOS!B1146="","",OPTIMIZACION!$B$5*RETORNOS!B1146+OPTIMIZACION!$B$6*RETORNOS!C1146+OPTIMIZACION!$B$7*RETORNOS!D1146+OPTIMIZACION!$B$8*RETORNOS!E1146+OPTIMIZACION!$B$9*RETORNOS!F1146+OPTIMIZACION!$B$10*RETORNOS!G1146)</f>
        <v>0.0007673307404</v>
      </c>
      <c r="C1146" s="7">
        <f>IF(RETORNOS!H1146="","",RETORNOS!H1146)</f>
        <v>0.003280481137</v>
      </c>
      <c r="D1146" s="7">
        <f>IF(RETORNOS!I1146="","",RETORNOS!I1146)</f>
        <v>-0.003800675676</v>
      </c>
      <c r="E1146" s="7">
        <f t="shared" si="2"/>
        <v>-0.0002600972692</v>
      </c>
      <c r="F1146" s="7">
        <f t="shared" si="3"/>
        <v>-0.002513150397</v>
      </c>
      <c r="G1146" s="7">
        <f t="shared" si="4"/>
        <v>0.00102742801</v>
      </c>
      <c r="H1146" s="5">
        <f t="shared" ref="H1146:K1146" si="1146">IF(B1146="","",H1145*(1+B1146))</f>
        <v>359.2532063</v>
      </c>
      <c r="I1146" s="5">
        <f t="shared" si="1146"/>
        <v>266.9285039</v>
      </c>
      <c r="J1146" s="5">
        <f t="shared" si="1146"/>
        <v>160.5165926</v>
      </c>
      <c r="K1146" s="5">
        <f t="shared" si="1146"/>
        <v>215.6442661</v>
      </c>
      <c r="L1146" s="7">
        <f t="shared" si="6"/>
        <v>0</v>
      </c>
    </row>
    <row r="1147" ht="15.75" customHeight="1">
      <c r="A1147" s="4">
        <f>IF(RETORNOS!A1147="","",RETORNOS!A1147)</f>
        <v>46080</v>
      </c>
      <c r="B1147" s="7">
        <f>IF(RETORNOS!B1147="","",OPTIMIZACION!$B$5*RETORNOS!B1147+OPTIMIZACION!$B$6*RETORNOS!C1147+OPTIMIZACION!$B$7*RETORNOS!D1147+OPTIMIZACION!$B$8*RETORNOS!E1147+OPTIMIZACION!$B$9*RETORNOS!F1147+OPTIMIZACION!$B$10*RETORNOS!G1147)</f>
        <v>0.0054485362</v>
      </c>
      <c r="C1147" s="7">
        <f>IF(RETORNOS!H1147="","",RETORNOS!H1147)</f>
        <v>0.01580381471</v>
      </c>
      <c r="D1147" s="7">
        <f>IF(RETORNOS!I1147="","",RETORNOS!I1147)</f>
        <v>0.01165748198</v>
      </c>
      <c r="E1147" s="7">
        <f t="shared" si="2"/>
        <v>0.01373064835</v>
      </c>
      <c r="F1147" s="7">
        <f t="shared" si="3"/>
        <v>-0.01035527851</v>
      </c>
      <c r="G1147" s="7">
        <f t="shared" si="4"/>
        <v>-0.008282112149</v>
      </c>
      <c r="H1147" s="5">
        <f t="shared" ref="H1147:K1147" si="1147">IF(B1147="","",H1146*(1+B1147))</f>
        <v>361.2106104</v>
      </c>
      <c r="I1147" s="5">
        <f t="shared" si="1147"/>
        <v>271.1469925</v>
      </c>
      <c r="J1147" s="5">
        <f t="shared" si="1147"/>
        <v>162.3878119</v>
      </c>
      <c r="K1147" s="5">
        <f t="shared" si="1147"/>
        <v>218.6052017</v>
      </c>
      <c r="L1147" s="7">
        <f t="shared" si="6"/>
        <v>0</v>
      </c>
    </row>
    <row r="1148" ht="15.75" customHeight="1">
      <c r="A1148" s="4">
        <f>IF(RETORNOS!A1148="","",RETORNOS!A1148)</f>
        <v>46083</v>
      </c>
      <c r="B1148" s="7">
        <f>IF(RETORNOS!B1148="","",OPTIMIZACION!$B$5*RETORNOS!B1148+OPTIMIZACION!$B$6*RETORNOS!C1148+OPTIMIZACION!$B$7*RETORNOS!D1148+OPTIMIZACION!$B$8*RETORNOS!E1148+OPTIMIZACION!$B$9*RETORNOS!F1148+OPTIMIZACION!$B$10*RETORNOS!G1148)</f>
        <v>0.002294211013</v>
      </c>
      <c r="C1148" s="7">
        <f>IF(RETORNOS!H1148="","",RETORNOS!H1148)</f>
        <v>0.0200286123</v>
      </c>
      <c r="D1148" s="7">
        <f>IF(RETORNOS!I1148="","",RETORNOS!I1148)</f>
        <v>-0.007542426147</v>
      </c>
      <c r="E1148" s="7">
        <f t="shared" si="2"/>
        <v>0.006243093078</v>
      </c>
      <c r="F1148" s="7">
        <f t="shared" si="3"/>
        <v>-0.01773440129</v>
      </c>
      <c r="G1148" s="7">
        <f t="shared" si="4"/>
        <v>-0.003948882065</v>
      </c>
      <c r="H1148" s="5">
        <f t="shared" ref="H1148:K1148" si="1148">IF(B1148="","",H1147*(1+B1148))</f>
        <v>362.0393037</v>
      </c>
      <c r="I1148" s="5">
        <f t="shared" si="1148"/>
        <v>276.5776905</v>
      </c>
      <c r="J1148" s="5">
        <f t="shared" si="1148"/>
        <v>161.1630138</v>
      </c>
      <c r="K1148" s="5">
        <f t="shared" si="1148"/>
        <v>219.9699743</v>
      </c>
      <c r="L1148" s="7">
        <f t="shared" si="6"/>
        <v>0</v>
      </c>
    </row>
    <row r="1149" ht="15.75" customHeight="1">
      <c r="A1149" s="4">
        <f>IF(RETORNOS!A1149="","",RETORNOS!A1149)</f>
        <v>46084</v>
      </c>
      <c r="B1149" s="7">
        <f>IF(RETORNOS!B1149="","",OPTIMIZACION!$B$5*RETORNOS!B1149+OPTIMIZACION!$B$6*RETORNOS!C1149+OPTIMIZACION!$B$7*RETORNOS!D1149+OPTIMIZACION!$B$8*RETORNOS!E1149+OPTIMIZACION!$B$9*RETORNOS!F1149+OPTIMIZACION!$B$10*RETORNOS!G1149)</f>
        <v>-0.01629734145</v>
      </c>
      <c r="C1149" s="7">
        <f>IF(RETORNOS!H1149="","",RETORNOS!H1149)</f>
        <v>-0.009116409537</v>
      </c>
      <c r="D1149" s="7">
        <f>IF(RETORNOS!I1149="","",RETORNOS!I1149)</f>
        <v>-0.006333122229</v>
      </c>
      <c r="E1149" s="7">
        <f t="shared" si="2"/>
        <v>-0.007724765883</v>
      </c>
      <c r="F1149" s="7">
        <f t="shared" si="3"/>
        <v>-0.007180931913</v>
      </c>
      <c r="G1149" s="7">
        <f t="shared" si="4"/>
        <v>-0.008572575567</v>
      </c>
      <c r="H1149" s="5">
        <f t="shared" ref="H1149:K1149" si="1149">IF(B1149="","",H1148*(1+B1149))</f>
        <v>356.1390256</v>
      </c>
      <c r="I1149" s="5">
        <f t="shared" si="1149"/>
        <v>274.056295</v>
      </c>
      <c r="J1149" s="5">
        <f t="shared" si="1149"/>
        <v>160.1423488</v>
      </c>
      <c r="K1149" s="5">
        <f t="shared" si="1149"/>
        <v>218.2707578</v>
      </c>
      <c r="L1149" s="7">
        <f t="shared" si="6"/>
        <v>-0.01629734145</v>
      </c>
    </row>
    <row r="1150" ht="15.75" customHeight="1">
      <c r="A1150" s="4">
        <f>IF(RETORNOS!A1150="","",RETORNOS!A1150)</f>
        <v>46085</v>
      </c>
      <c r="B1150" s="7">
        <f>IF(RETORNOS!B1150="","",OPTIMIZACION!$B$5*RETORNOS!B1150+OPTIMIZACION!$B$6*RETORNOS!C1150+OPTIMIZACION!$B$7*RETORNOS!D1150+OPTIMIZACION!$B$8*RETORNOS!E1150+OPTIMIZACION!$B$9*RETORNOS!F1150+OPTIMIZACION!$B$10*RETORNOS!G1150)</f>
        <v>0.0008160120354</v>
      </c>
      <c r="C1150" s="7">
        <f>IF(RETORNOS!H1150="","",RETORNOS!H1150)</f>
        <v>-0.005838641189</v>
      </c>
      <c r="D1150" s="7">
        <f>IF(RETORNOS!I1150="","",RETORNOS!I1150)</f>
        <v>0.004248990865</v>
      </c>
      <c r="E1150" s="7">
        <f t="shared" si="2"/>
        <v>-0.0007948251621</v>
      </c>
      <c r="F1150" s="7">
        <f t="shared" si="3"/>
        <v>0.006654653224</v>
      </c>
      <c r="G1150" s="7">
        <f t="shared" si="4"/>
        <v>0.001610837198</v>
      </c>
      <c r="H1150" s="5">
        <f t="shared" ref="H1150:K1150" si="1150">IF(B1150="","",H1149*(1+B1150))</f>
        <v>356.4296393</v>
      </c>
      <c r="I1150" s="5">
        <f t="shared" si="1150"/>
        <v>272.4561786</v>
      </c>
      <c r="J1150" s="5">
        <f t="shared" si="1150"/>
        <v>160.8227921</v>
      </c>
      <c r="K1150" s="5">
        <f t="shared" si="1150"/>
        <v>218.0972707</v>
      </c>
      <c r="L1150" s="7">
        <f t="shared" si="6"/>
        <v>-0.01549462824</v>
      </c>
    </row>
    <row r="1151" ht="15.75" customHeight="1">
      <c r="A1151" s="4">
        <f>IF(RETORNOS!A1151="","",RETORNOS!A1151)</f>
        <v>46086</v>
      </c>
      <c r="B1151" s="7">
        <f>IF(RETORNOS!B1151="","",OPTIMIZACION!$B$5*RETORNOS!B1151+OPTIMIZACION!$B$6*RETORNOS!C1151+OPTIMIZACION!$B$7*RETORNOS!D1151+OPTIMIZACION!$B$8*RETORNOS!E1151+OPTIMIZACION!$B$9*RETORNOS!F1151+OPTIMIZACION!$B$10*RETORNOS!G1151)</f>
        <v>0.002609959915</v>
      </c>
      <c r="C1151" s="7">
        <f>IF(RETORNOS!H1151="","",RETORNOS!H1151)</f>
        <v>0.005161060687</v>
      </c>
      <c r="D1151" s="7">
        <f>IF(RETORNOS!I1151="","",RETORNOS!I1151)</f>
        <v>-0.007827374656</v>
      </c>
      <c r="E1151" s="7">
        <f t="shared" si="2"/>
        <v>-0.001333156985</v>
      </c>
      <c r="F1151" s="7">
        <f t="shared" si="3"/>
        <v>-0.002551100772</v>
      </c>
      <c r="G1151" s="7">
        <f t="shared" si="4"/>
        <v>0.0039431169</v>
      </c>
      <c r="H1151" s="5">
        <f t="shared" ref="H1151:K1151" si="1151">IF(B1151="","",H1150*(1+B1151))</f>
        <v>357.3599064</v>
      </c>
      <c r="I1151" s="5">
        <f t="shared" si="1151"/>
        <v>273.8623415</v>
      </c>
      <c r="J1151" s="5">
        <f t="shared" si="1151"/>
        <v>159.5639719</v>
      </c>
      <c r="K1151" s="5">
        <f t="shared" si="1151"/>
        <v>217.8065128</v>
      </c>
      <c r="L1151" s="7">
        <f t="shared" si="6"/>
        <v>-0.01292510868</v>
      </c>
    </row>
    <row r="1152" ht="15.75" customHeight="1">
      <c r="A1152" s="4">
        <f>IF(RETORNOS!A1152="","",RETORNOS!A1152)</f>
        <v>46087</v>
      </c>
      <c r="B1152" s="7">
        <f>IF(RETORNOS!B1152="","",OPTIMIZACION!$B$5*RETORNOS!B1152+OPTIMIZACION!$B$6*RETORNOS!C1152+OPTIMIZACION!$B$7*RETORNOS!D1152+OPTIMIZACION!$B$8*RETORNOS!E1152+OPTIMIZACION!$B$9*RETORNOS!F1152+OPTIMIZACION!$B$10*RETORNOS!G1152)</f>
        <v>-0.004633387825</v>
      </c>
      <c r="C1152" s="7">
        <f>IF(RETORNOS!H1152="","",RETORNOS!H1152)</f>
        <v>0.001593484419</v>
      </c>
      <c r="D1152" s="7">
        <f>IF(RETORNOS!I1152="","",RETORNOS!I1152)</f>
        <v>-0.003411513859</v>
      </c>
      <c r="E1152" s="7">
        <f t="shared" si="2"/>
        <v>-0.00090901472</v>
      </c>
      <c r="F1152" s="7">
        <f t="shared" si="3"/>
        <v>-0.006226872244</v>
      </c>
      <c r="G1152" s="7">
        <f t="shared" si="4"/>
        <v>-0.003724373105</v>
      </c>
      <c r="H1152" s="5">
        <f t="shared" ref="H1152:K1152" si="1152">IF(B1152="","",H1151*(1+B1152))</f>
        <v>355.7041193</v>
      </c>
      <c r="I1152" s="5">
        <f t="shared" si="1152"/>
        <v>274.2987369</v>
      </c>
      <c r="J1152" s="5">
        <f t="shared" si="1152"/>
        <v>159.0196172</v>
      </c>
      <c r="K1152" s="5">
        <f t="shared" si="1152"/>
        <v>217.6085235</v>
      </c>
      <c r="L1152" s="7">
        <f t="shared" si="6"/>
        <v>-0.01749860947</v>
      </c>
    </row>
    <row r="1153" ht="15.75" customHeight="1">
      <c r="A1153" s="4">
        <f>IF(RETORNOS!A1153="","",RETORNOS!A1153)</f>
        <v>46090</v>
      </c>
      <c r="B1153" s="7">
        <f>IF(RETORNOS!B1153="","",OPTIMIZACION!$B$5*RETORNOS!B1153+OPTIMIZACION!$B$6*RETORNOS!C1153+OPTIMIZACION!$B$7*RETORNOS!D1153+OPTIMIZACION!$B$8*RETORNOS!E1153+OPTIMIZACION!$B$9*RETORNOS!F1153+OPTIMIZACION!$B$10*RETORNOS!G1153)</f>
        <v>-0.0001241487971</v>
      </c>
      <c r="C1153" s="7">
        <f>IF(RETORNOS!H1153="","",RETORNOS!H1153)</f>
        <v>-0.004419303518</v>
      </c>
      <c r="D1153" s="7">
        <f>IF(RETORNOS!I1153="","",RETORNOS!I1153)</f>
        <v>0.002353444587</v>
      </c>
      <c r="E1153" s="7">
        <f t="shared" si="2"/>
        <v>-0.001032929465</v>
      </c>
      <c r="F1153" s="7">
        <f t="shared" si="3"/>
        <v>0.004295154721</v>
      </c>
      <c r="G1153" s="7">
        <f t="shared" si="4"/>
        <v>0.0009087806683</v>
      </c>
      <c r="H1153" s="5">
        <f t="shared" ref="H1153:K1153" si="1153">IF(B1153="","",H1152*(1+B1153))</f>
        <v>355.6599591</v>
      </c>
      <c r="I1153" s="5">
        <f t="shared" si="1153"/>
        <v>273.0865275</v>
      </c>
      <c r="J1153" s="5">
        <f t="shared" si="1153"/>
        <v>159.393861</v>
      </c>
      <c r="K1153" s="5">
        <f t="shared" si="1153"/>
        <v>217.3837492</v>
      </c>
      <c r="L1153" s="7">
        <f t="shared" si="6"/>
        <v>-0.01762058583</v>
      </c>
    </row>
    <row r="1154" ht="15.75" customHeight="1">
      <c r="A1154" s="4">
        <f>IF(RETORNOS!A1154="","",RETORNOS!A1154)</f>
        <v>46091</v>
      </c>
      <c r="B1154" s="7">
        <f>IF(RETORNOS!B1154="","",OPTIMIZACION!$B$5*RETORNOS!B1154+OPTIMIZACION!$B$6*RETORNOS!C1154+OPTIMIZACION!$B$7*RETORNOS!D1154+OPTIMIZACION!$B$8*RETORNOS!E1154+OPTIMIZACION!$B$9*RETORNOS!F1154+OPTIMIZACION!$B$10*RETORNOS!G1154)</f>
        <v>-0.002317601342</v>
      </c>
      <c r="C1154" s="7">
        <f>IF(RETORNOS!H1154="","",RETORNOS!H1154)</f>
        <v>-0.01278409091</v>
      </c>
      <c r="D1154" s="7">
        <f>IF(RETORNOS!I1154="","",RETORNOS!I1154)</f>
        <v>-0.006189967983</v>
      </c>
      <c r="E1154" s="7">
        <f t="shared" si="2"/>
        <v>-0.009487029446</v>
      </c>
      <c r="F1154" s="7">
        <f t="shared" si="3"/>
        <v>0.01046648957</v>
      </c>
      <c r="G1154" s="7">
        <f t="shared" si="4"/>
        <v>0.007169428104</v>
      </c>
      <c r="H1154" s="5">
        <f t="shared" ref="H1154:K1154" si="1154">IF(B1154="","",H1153*(1+B1154))</f>
        <v>354.8356811</v>
      </c>
      <c r="I1154" s="5">
        <f t="shared" si="1154"/>
        <v>269.5953645</v>
      </c>
      <c r="J1154" s="5">
        <f t="shared" si="1154"/>
        <v>158.4072181</v>
      </c>
      <c r="K1154" s="5">
        <f t="shared" si="1154"/>
        <v>215.3214232</v>
      </c>
      <c r="L1154" s="7">
        <f t="shared" si="6"/>
        <v>-0.01989734968</v>
      </c>
    </row>
    <row r="1155" ht="15.75" customHeight="1">
      <c r="A1155" s="4">
        <f>IF(RETORNOS!A1155="","",RETORNOS!A1155)</f>
        <v>46092</v>
      </c>
      <c r="B1155" s="7">
        <f>IF(RETORNOS!B1155="","",OPTIMIZACION!$B$5*RETORNOS!B1155+OPTIMIZACION!$B$6*RETORNOS!C1155+OPTIMIZACION!$B$7*RETORNOS!D1155+OPTIMIZACION!$B$8*RETORNOS!E1155+OPTIMIZACION!$B$9*RETORNOS!F1155+OPTIMIZACION!$B$10*RETORNOS!G1155)</f>
        <v>0.009754805084</v>
      </c>
      <c r="C1155" s="7">
        <f>IF(RETORNOS!H1155="","",RETORNOS!H1155)</f>
        <v>0.02482014388</v>
      </c>
      <c r="D1155" s="7">
        <f>IF(RETORNOS!I1155="","",RETORNOS!I1155)</f>
        <v>-0.00837628866</v>
      </c>
      <c r="E1155" s="7">
        <f t="shared" si="2"/>
        <v>0.008221927613</v>
      </c>
      <c r="F1155" s="7">
        <f t="shared" si="3"/>
        <v>-0.0150653388</v>
      </c>
      <c r="G1155" s="7">
        <f t="shared" si="4"/>
        <v>0.001532877471</v>
      </c>
      <c r="H1155" s="5">
        <f t="shared" ref="H1155:K1155" si="1155">IF(B1155="","",H1154*(1+B1155))</f>
        <v>358.297034</v>
      </c>
      <c r="I1155" s="5">
        <f t="shared" si="1155"/>
        <v>276.2867602</v>
      </c>
      <c r="J1155" s="5">
        <f t="shared" si="1155"/>
        <v>157.0803536</v>
      </c>
      <c r="K1155" s="5">
        <f t="shared" si="1155"/>
        <v>217.0917803</v>
      </c>
      <c r="L1155" s="7">
        <f t="shared" si="6"/>
        <v>-0.01033663937</v>
      </c>
    </row>
    <row r="1156" ht="15.75" customHeight="1">
      <c r="A1156" s="4">
        <f>IF(RETORNOS!A1156="","",RETORNOS!A1156)</f>
        <v>46093</v>
      </c>
      <c r="B1156" s="7">
        <f>IF(RETORNOS!B1156="","",OPTIMIZACION!$B$5*RETORNOS!B1156+OPTIMIZACION!$B$6*RETORNOS!C1156+OPTIMIZACION!$B$7*RETORNOS!D1156+OPTIMIZACION!$B$8*RETORNOS!E1156+OPTIMIZACION!$B$9*RETORNOS!F1156+OPTIMIZACION!$B$10*RETORNOS!G1156)</f>
        <v>0.000611533513</v>
      </c>
      <c r="C1156" s="7">
        <f>IF(RETORNOS!H1156="","",RETORNOS!H1156)</f>
        <v>0.009301509302</v>
      </c>
      <c r="D1156" s="7">
        <f>IF(RETORNOS!I1156="","",RETORNOS!I1156)</f>
        <v>0.007147498376</v>
      </c>
      <c r="E1156" s="7">
        <f t="shared" si="2"/>
        <v>0.008224503839</v>
      </c>
      <c r="F1156" s="7">
        <f t="shared" si="3"/>
        <v>-0.008689975789</v>
      </c>
      <c r="G1156" s="7">
        <f t="shared" si="4"/>
        <v>-0.007612970326</v>
      </c>
      <c r="H1156" s="5">
        <f t="shared" ref="H1156:K1156" si="1156">IF(B1156="","",H1155*(1+B1156))</f>
        <v>358.5161446</v>
      </c>
      <c r="I1156" s="5">
        <f t="shared" si="1156"/>
        <v>278.8566441</v>
      </c>
      <c r="J1156" s="5">
        <f t="shared" si="1156"/>
        <v>158.2030851</v>
      </c>
      <c r="K1156" s="5">
        <f t="shared" si="1156"/>
        <v>218.8772525</v>
      </c>
      <c r="L1156" s="7">
        <f t="shared" si="6"/>
        <v>-0.009731427056</v>
      </c>
    </row>
    <row r="1157" ht="15.75" customHeight="1">
      <c r="A1157" s="4">
        <f>IF(RETORNOS!A1157="","",RETORNOS!A1157)</f>
        <v>46094</v>
      </c>
      <c r="B1157" s="7">
        <f>IF(RETORNOS!B1157="","",OPTIMIZACION!$B$5*RETORNOS!B1157+OPTIMIZACION!$B$6*RETORNOS!C1157+OPTIMIZACION!$B$7*RETORNOS!D1157+OPTIMIZACION!$B$8*RETORNOS!E1157+OPTIMIZACION!$B$9*RETORNOS!F1157+OPTIMIZACION!$B$10*RETORNOS!G1157)</f>
        <v>0.005680176336</v>
      </c>
      <c r="C1157" s="7">
        <f>IF(RETORNOS!H1157="","",RETORNOS!H1157)</f>
        <v>0.003303773257</v>
      </c>
      <c r="D1157" s="7">
        <f>IF(RETORNOS!I1157="","",RETORNOS!I1157)</f>
        <v>0.009892473118</v>
      </c>
      <c r="E1157" s="7">
        <f t="shared" si="2"/>
        <v>0.006598123188</v>
      </c>
      <c r="F1157" s="7">
        <f t="shared" si="3"/>
        <v>0.002376403079</v>
      </c>
      <c r="G1157" s="7">
        <f t="shared" si="4"/>
        <v>-0.000917946852</v>
      </c>
      <c r="H1157" s="5">
        <f t="shared" ref="H1157:K1157" si="1157">IF(B1157="","",H1156*(1+B1157))</f>
        <v>360.5525796</v>
      </c>
      <c r="I1157" s="5">
        <f t="shared" si="1157"/>
        <v>279.7779232</v>
      </c>
      <c r="J1157" s="5">
        <f t="shared" si="1157"/>
        <v>159.7681049</v>
      </c>
      <c r="K1157" s="5">
        <f t="shared" si="1157"/>
        <v>220.3214316</v>
      </c>
      <c r="L1157" s="7">
        <f t="shared" si="6"/>
        <v>-0.004106526942</v>
      </c>
    </row>
    <row r="1158" ht="15.75" customHeight="1">
      <c r="A1158" s="4">
        <f>IF(RETORNOS!A1158="","",RETORNOS!A1158)</f>
        <v>46097</v>
      </c>
      <c r="B1158" s="7">
        <f>IF(RETORNOS!B1158="","",OPTIMIZACION!$B$5*RETORNOS!B1158+OPTIMIZACION!$B$6*RETORNOS!C1158+OPTIMIZACION!$B$7*RETORNOS!D1158+OPTIMIZACION!$B$8*RETORNOS!E1158+OPTIMIZACION!$B$9*RETORNOS!F1158+OPTIMIZACION!$B$10*RETORNOS!G1158)</f>
        <v>0.007491170787</v>
      </c>
      <c r="C1158" s="7">
        <f>IF(RETORNOS!H1158="","",RETORNOS!H1158)</f>
        <v>0.003466204506</v>
      </c>
      <c r="D1158" s="7">
        <f>IF(RETORNOS!I1158="","",RETORNOS!I1158)</f>
        <v>0.006388415673</v>
      </c>
      <c r="E1158" s="7">
        <f t="shared" si="2"/>
        <v>0.004927310089</v>
      </c>
      <c r="F1158" s="7">
        <f t="shared" si="3"/>
        <v>0.004024966281</v>
      </c>
      <c r="G1158" s="7">
        <f t="shared" si="4"/>
        <v>0.002563860698</v>
      </c>
      <c r="H1158" s="5">
        <f t="shared" ref="H1158:K1158" si="1158">IF(B1158="","",H1157*(1+B1158))</f>
        <v>363.2535405</v>
      </c>
      <c r="I1158" s="5">
        <f t="shared" si="1158"/>
        <v>280.7476907</v>
      </c>
      <c r="J1158" s="5">
        <f t="shared" si="1158"/>
        <v>160.78877</v>
      </c>
      <c r="K1158" s="5">
        <f t="shared" si="1158"/>
        <v>221.4070236</v>
      </c>
      <c r="L1158" s="7">
        <f t="shared" si="6"/>
        <v>0</v>
      </c>
    </row>
    <row r="1159" ht="15.75" customHeight="1">
      <c r="A1159" s="4">
        <f>IF(RETORNOS!A1159="","",RETORNOS!A1159)</f>
        <v>46098</v>
      </c>
      <c r="B1159" s="7">
        <f>IF(RETORNOS!B1159="","",OPTIMIZACION!$B$5*RETORNOS!B1159+OPTIMIZACION!$B$6*RETORNOS!C1159+OPTIMIZACION!$B$7*RETORNOS!D1159+OPTIMIZACION!$B$8*RETORNOS!E1159+OPTIMIZACION!$B$9*RETORNOS!F1159+OPTIMIZACION!$B$10*RETORNOS!G1159)</f>
        <v>0.003864928421</v>
      </c>
      <c r="C1159" s="7">
        <f>IF(RETORNOS!H1159="","",RETORNOS!H1159)</f>
        <v>0.01053540587</v>
      </c>
      <c r="D1159" s="7">
        <f>IF(RETORNOS!I1159="","",RETORNOS!I1159)</f>
        <v>-0.002750740584</v>
      </c>
      <c r="E1159" s="7">
        <f t="shared" si="2"/>
        <v>0.003892332644</v>
      </c>
      <c r="F1159" s="7">
        <f t="shared" si="3"/>
        <v>-0.006670477452</v>
      </c>
      <c r="G1159" s="7">
        <f t="shared" si="4"/>
        <v>-0.00002740422344</v>
      </c>
      <c r="H1159" s="5">
        <f t="shared" ref="H1159:K1159" si="1159">IF(B1159="","",H1158*(1+B1159))</f>
        <v>364.6574895</v>
      </c>
      <c r="I1159" s="5">
        <f t="shared" si="1159"/>
        <v>283.7054816</v>
      </c>
      <c r="J1159" s="5">
        <f t="shared" si="1159"/>
        <v>160.3464818</v>
      </c>
      <c r="K1159" s="5">
        <f t="shared" si="1159"/>
        <v>222.2688134</v>
      </c>
      <c r="L1159" s="7">
        <f t="shared" si="6"/>
        <v>0</v>
      </c>
    </row>
    <row r="1160" ht="15.75" customHeight="1">
      <c r="A1160" s="4">
        <f>IF(RETORNOS!A1160="","",RETORNOS!A1160)</f>
        <v>46099</v>
      </c>
      <c r="B1160" s="7">
        <f>IF(RETORNOS!B1160="","",OPTIMIZACION!$B$5*RETORNOS!B1160+OPTIMIZACION!$B$6*RETORNOS!C1160+OPTIMIZACION!$B$7*RETORNOS!D1160+OPTIMIZACION!$B$8*RETORNOS!E1160+OPTIMIZACION!$B$9*RETORNOS!F1160+OPTIMIZACION!$B$10*RETORNOS!G1160)</f>
        <v>-0.002555885037</v>
      </c>
      <c r="C1160" s="7">
        <f>IF(RETORNOS!H1160="","",RETORNOS!H1160)</f>
        <v>-0.001367287643</v>
      </c>
      <c r="D1160" s="7">
        <f>IF(RETORNOS!I1160="","",RETORNOS!I1160)</f>
        <v>-0.008487163166</v>
      </c>
      <c r="E1160" s="7">
        <f t="shared" si="2"/>
        <v>-0.004927225404</v>
      </c>
      <c r="F1160" s="7">
        <f t="shared" si="3"/>
        <v>-0.001188597394</v>
      </c>
      <c r="G1160" s="7">
        <f t="shared" si="4"/>
        <v>0.002371340367</v>
      </c>
      <c r="H1160" s="5">
        <f t="shared" ref="H1160:K1160" si="1160">IF(B1160="","",H1159*(1+B1160))</f>
        <v>363.7254668</v>
      </c>
      <c r="I1160" s="5">
        <f t="shared" si="1160"/>
        <v>283.3175746</v>
      </c>
      <c r="J1160" s="5">
        <f t="shared" si="1160"/>
        <v>158.985595</v>
      </c>
      <c r="K1160" s="5">
        <f t="shared" si="1160"/>
        <v>221.1736449</v>
      </c>
      <c r="L1160" s="7">
        <f t="shared" si="6"/>
        <v>-0.002555885037</v>
      </c>
    </row>
    <row r="1161" ht="15.75" customHeight="1">
      <c r="A1161" s="4">
        <f>IF(RETORNOS!A1161="","",RETORNOS!A1161)</f>
        <v>46100</v>
      </c>
      <c r="B1161" s="7">
        <f>IF(RETORNOS!B1161="","",OPTIMIZACION!$B$5*RETORNOS!B1161+OPTIMIZACION!$B$6*RETORNOS!C1161+OPTIMIZACION!$B$7*RETORNOS!D1161+OPTIMIZACION!$B$8*RETORNOS!E1161+OPTIMIZACION!$B$9*RETORNOS!F1161+OPTIMIZACION!$B$10*RETORNOS!G1161)</f>
        <v>0.007204997687</v>
      </c>
      <c r="C1161" s="7">
        <f>IF(RETORNOS!H1161="","",RETORNOS!H1161)</f>
        <v>0.01591648126</v>
      </c>
      <c r="D1161" s="7">
        <f>IF(RETORNOS!I1161="","",RETORNOS!I1161)</f>
        <v>-0.00406591055</v>
      </c>
      <c r="E1161" s="7">
        <f t="shared" si="2"/>
        <v>0.005925285355</v>
      </c>
      <c r="F1161" s="7">
        <f t="shared" si="3"/>
        <v>-0.008711483573</v>
      </c>
      <c r="G1161" s="7">
        <f t="shared" si="4"/>
        <v>0.001279712332</v>
      </c>
      <c r="H1161" s="5">
        <f t="shared" ref="H1161:K1161" si="1161">IF(B1161="","",H1160*(1+B1161))</f>
        <v>366.346108</v>
      </c>
      <c r="I1161" s="5">
        <f t="shared" si="1161"/>
        <v>287.8269935</v>
      </c>
      <c r="J1161" s="5">
        <f t="shared" si="1161"/>
        <v>158.3391738</v>
      </c>
      <c r="K1161" s="5">
        <f t="shared" si="1161"/>
        <v>222.4841618</v>
      </c>
      <c r="L1161" s="7">
        <f t="shared" si="6"/>
        <v>0</v>
      </c>
    </row>
    <row r="1162" ht="15.75" customHeight="1">
      <c r="A1162" s="4">
        <f>IF(RETORNOS!A1162="","",RETORNOS!A1162)</f>
        <v>46101</v>
      </c>
      <c r="B1162" s="7">
        <f>IF(RETORNOS!B1162="","",OPTIMIZACION!$B$5*RETORNOS!B1162+OPTIMIZACION!$B$6*RETORNOS!C1162+OPTIMIZACION!$B$7*RETORNOS!D1162+OPTIMIZACION!$B$8*RETORNOS!E1162+OPTIMIZACION!$B$9*RETORNOS!F1162+OPTIMIZACION!$B$10*RETORNOS!G1162)</f>
        <v>-0.02236205809</v>
      </c>
      <c r="C1162" s="7">
        <f>IF(RETORNOS!H1162="","",RETORNOS!H1162)</f>
        <v>-0.0008423180593</v>
      </c>
      <c r="D1162" s="7">
        <f>IF(RETORNOS!I1162="","",RETORNOS!I1162)</f>
        <v>-0.04061022776</v>
      </c>
      <c r="E1162" s="7">
        <f t="shared" si="2"/>
        <v>-0.02072627291</v>
      </c>
      <c r="F1162" s="7">
        <f t="shared" si="3"/>
        <v>-0.02151974003</v>
      </c>
      <c r="G1162" s="7">
        <f t="shared" si="4"/>
        <v>-0.001635785179</v>
      </c>
      <c r="H1162" s="5">
        <f t="shared" ref="H1162:K1162" si="1162">IF(B1162="","",H1161*(1+B1162))</f>
        <v>358.153855</v>
      </c>
      <c r="I1162" s="5">
        <f t="shared" si="1162"/>
        <v>287.5845516</v>
      </c>
      <c r="J1162" s="5">
        <f t="shared" si="1162"/>
        <v>151.9089839</v>
      </c>
      <c r="K1162" s="5">
        <f t="shared" si="1162"/>
        <v>217.8728944</v>
      </c>
      <c r="L1162" s="7">
        <f t="shared" si="6"/>
        <v>-0.02236205809</v>
      </c>
    </row>
    <row r="1163" ht="15.75" customHeight="1">
      <c r="A1163" s="4">
        <f>IF(RETORNOS!A1163="","",RETORNOS!A1163)</f>
        <v>46104</v>
      </c>
      <c r="B1163" s="7">
        <f>IF(RETORNOS!B1163="","",OPTIMIZACION!$B$5*RETORNOS!B1163+OPTIMIZACION!$B$6*RETORNOS!C1163+OPTIMIZACION!$B$7*RETORNOS!D1163+OPTIMIZACION!$B$8*RETORNOS!E1163+OPTIMIZACION!$B$9*RETORNOS!F1163+OPTIMIZACION!$B$10*RETORNOS!G1163)</f>
        <v>0.009275887633</v>
      </c>
      <c r="C1163" s="7">
        <f>IF(RETORNOS!H1163="","",RETORNOS!H1163)</f>
        <v>0.005395380206</v>
      </c>
      <c r="D1163" s="7">
        <f>IF(RETORNOS!I1163="","",RETORNOS!I1163)</f>
        <v>0.002911534155</v>
      </c>
      <c r="E1163" s="7">
        <f t="shared" si="2"/>
        <v>0.00415345718</v>
      </c>
      <c r="F1163" s="7">
        <f t="shared" si="3"/>
        <v>0.003880507427</v>
      </c>
      <c r="G1163" s="7">
        <f t="shared" si="4"/>
        <v>0.005122430453</v>
      </c>
      <c r="H1163" s="5">
        <f t="shared" ref="H1163:K1163" si="1163">IF(B1163="","",H1162*(1+B1163))</f>
        <v>361.4760499</v>
      </c>
      <c r="I1163" s="5">
        <f t="shared" si="1163"/>
        <v>289.1361796</v>
      </c>
      <c r="J1163" s="5">
        <f t="shared" si="1163"/>
        <v>152.3512721</v>
      </c>
      <c r="K1163" s="5">
        <f t="shared" si="1163"/>
        <v>218.7778201</v>
      </c>
      <c r="L1163" s="7">
        <f t="shared" si="6"/>
        <v>-0.01329359839</v>
      </c>
    </row>
    <row r="1164" ht="15.75" customHeight="1">
      <c r="A1164" s="4">
        <f>IF(RETORNOS!A1164="","",RETORNOS!A1164)</f>
        <v>46105</v>
      </c>
      <c r="B1164" s="7">
        <f>IF(RETORNOS!B1164="","",OPTIMIZACION!$B$5*RETORNOS!B1164+OPTIMIZACION!$B$6*RETORNOS!C1164+OPTIMIZACION!$B$7*RETORNOS!D1164+OPTIMIZACION!$B$8*RETORNOS!E1164+OPTIMIZACION!$B$9*RETORNOS!F1164+OPTIMIZACION!$B$10*RETORNOS!G1164)</f>
        <v>0.01775722466</v>
      </c>
      <c r="C1164" s="7">
        <f>IF(RETORNOS!H1164="","",RETORNOS!H1164)</f>
        <v>0.02029179943</v>
      </c>
      <c r="D1164" s="7">
        <f>IF(RETORNOS!I1164="","",RETORNOS!I1164)</f>
        <v>0.006922733363</v>
      </c>
      <c r="E1164" s="7">
        <f t="shared" si="2"/>
        <v>0.0136072664</v>
      </c>
      <c r="F1164" s="7">
        <f t="shared" si="3"/>
        <v>-0.002534574769</v>
      </c>
      <c r="G1164" s="7">
        <f t="shared" si="4"/>
        <v>0.004149958265</v>
      </c>
      <c r="H1164" s="5">
        <f t="shared" ref="H1164:K1164" si="1164">IF(B1164="","",H1163*(1+B1164))</f>
        <v>367.8948614</v>
      </c>
      <c r="I1164" s="5">
        <f t="shared" si="1164"/>
        <v>295.003273</v>
      </c>
      <c r="J1164" s="5">
        <f t="shared" si="1164"/>
        <v>153.4059593</v>
      </c>
      <c r="K1164" s="5">
        <f t="shared" si="1164"/>
        <v>221.7547882</v>
      </c>
      <c r="L1164" s="7">
        <f t="shared" si="6"/>
        <v>0</v>
      </c>
    </row>
    <row r="1165" ht="15.75" customHeight="1">
      <c r="A1165" s="4">
        <f>IF(RETORNOS!A1165="","",RETORNOS!A1165)</f>
        <v>46106</v>
      </c>
      <c r="B1165" s="7">
        <f>IF(RETORNOS!B1165="","",OPTIMIZACION!$B$5*RETORNOS!B1165+OPTIMIZACION!$B$6*RETORNOS!C1165+OPTIMIZACION!$B$7*RETORNOS!D1165+OPTIMIZACION!$B$8*RETORNOS!E1165+OPTIMIZACION!$B$9*RETORNOS!F1165+OPTIMIZACION!$B$10*RETORNOS!G1165)</f>
        <v>-0.002369711282</v>
      </c>
      <c r="C1165" s="7">
        <f>IF(RETORNOS!H1165="","",RETORNOS!H1165)</f>
        <v>-0.004437869822</v>
      </c>
      <c r="D1165" s="7">
        <f>IF(RETORNOS!I1165="","",RETORNOS!I1165)</f>
        <v>0.003548458638</v>
      </c>
      <c r="E1165" s="7">
        <f t="shared" si="2"/>
        <v>-0.0004447055921</v>
      </c>
      <c r="F1165" s="7">
        <f t="shared" si="3"/>
        <v>0.002068158541</v>
      </c>
      <c r="G1165" s="7">
        <f t="shared" si="4"/>
        <v>-0.00192500569</v>
      </c>
      <c r="H1165" s="5">
        <f t="shared" ref="H1165:K1165" si="1165">IF(B1165="","",H1164*(1+B1165))</f>
        <v>367.0230568</v>
      </c>
      <c r="I1165" s="5">
        <f t="shared" si="1165"/>
        <v>293.6940868</v>
      </c>
      <c r="J1165" s="5">
        <f t="shared" si="1165"/>
        <v>153.950314</v>
      </c>
      <c r="K1165" s="5">
        <f t="shared" si="1165"/>
        <v>221.6561726</v>
      </c>
      <c r="L1165" s="7">
        <f t="shared" si="6"/>
        <v>-0.002369711282</v>
      </c>
    </row>
    <row r="1166" ht="15.75" customHeight="1">
      <c r="A1166" s="4">
        <f>IF(RETORNOS!A1166="","",RETORNOS!A1166)</f>
        <v>46107</v>
      </c>
      <c r="B1166" s="7">
        <f>IF(RETORNOS!B1166="","",OPTIMIZACION!$B$5*RETORNOS!B1166+OPTIMIZACION!$B$6*RETORNOS!C1166+OPTIMIZACION!$B$7*RETORNOS!D1166+OPTIMIZACION!$B$8*RETORNOS!E1166+OPTIMIZACION!$B$9*RETORNOS!F1166+OPTIMIZACION!$B$10*RETORNOS!G1166)</f>
        <v>0.003046729078</v>
      </c>
      <c r="C1166" s="7">
        <f>IF(RETORNOS!H1166="","",RETORNOS!H1166)</f>
        <v>0.01568433218</v>
      </c>
      <c r="D1166" s="7">
        <f>IF(RETORNOS!I1166="","",RETORNOS!I1166)</f>
        <v>0.001767955801</v>
      </c>
      <c r="E1166" s="7">
        <f t="shared" si="2"/>
        <v>0.008726143989</v>
      </c>
      <c r="F1166" s="7">
        <f t="shared" si="3"/>
        <v>-0.0126376031</v>
      </c>
      <c r="G1166" s="7">
        <f t="shared" si="4"/>
        <v>-0.005679414911</v>
      </c>
      <c r="H1166" s="5">
        <f t="shared" ref="H1166:K1166" si="1166">IF(B1166="","",H1165*(1+B1166))</f>
        <v>368.1412766</v>
      </c>
      <c r="I1166" s="5">
        <f t="shared" si="1166"/>
        <v>298.3004825</v>
      </c>
      <c r="J1166" s="5">
        <f t="shared" si="1166"/>
        <v>154.2224914</v>
      </c>
      <c r="K1166" s="5">
        <f t="shared" si="1166"/>
        <v>223.5903763</v>
      </c>
      <c r="L1166" s="7">
        <f t="shared" si="6"/>
        <v>0</v>
      </c>
    </row>
    <row r="1167" ht="15.75" customHeight="1">
      <c r="A1167" s="4">
        <f>IF(RETORNOS!A1167="","",RETORNOS!A1167)</f>
        <v>46108</v>
      </c>
      <c r="B1167" s="7">
        <f>IF(RETORNOS!B1167="","",OPTIMIZACION!$B$5*RETORNOS!B1167+OPTIMIZACION!$B$6*RETORNOS!C1167+OPTIMIZACION!$B$7*RETORNOS!D1167+OPTIMIZACION!$B$8*RETORNOS!E1167+OPTIMIZACION!$B$9*RETORNOS!F1167+OPTIMIZACION!$B$10*RETORNOS!G1167)</f>
        <v>0.01301866371</v>
      </c>
      <c r="C1167" s="7">
        <f>IF(RETORNOS!H1167="","",RETORNOS!H1167)</f>
        <v>0.01690507152</v>
      </c>
      <c r="D1167" s="7">
        <f>IF(RETORNOS!I1167="","",RETORNOS!I1167)</f>
        <v>0.005735715861</v>
      </c>
      <c r="E1167" s="7">
        <f t="shared" si="2"/>
        <v>0.01132039369</v>
      </c>
      <c r="F1167" s="7">
        <f t="shared" si="3"/>
        <v>-0.00388640781</v>
      </c>
      <c r="G1167" s="7">
        <f t="shared" si="4"/>
        <v>0.00169827002</v>
      </c>
      <c r="H1167" s="5">
        <f t="shared" ref="H1167:K1167" si="1167">IF(B1167="","",H1166*(1+B1167))</f>
        <v>372.9339841</v>
      </c>
      <c r="I1167" s="5">
        <f t="shared" si="1167"/>
        <v>303.3432735</v>
      </c>
      <c r="J1167" s="5">
        <f t="shared" si="1167"/>
        <v>155.1070678</v>
      </c>
      <c r="K1167" s="5">
        <f t="shared" si="1167"/>
        <v>226.1215073</v>
      </c>
      <c r="L1167" s="7">
        <f t="shared" si="6"/>
        <v>0</v>
      </c>
    </row>
    <row r="1168" ht="15.75" customHeight="1">
      <c r="A1168" s="4">
        <f>IF(RETORNOS!A1168="","",RETORNOS!A1168)</f>
        <v>46111</v>
      </c>
      <c r="B1168" s="7">
        <f>IF(RETORNOS!B1168="","",OPTIMIZACION!$B$5*RETORNOS!B1168+OPTIMIZACION!$B$6*RETORNOS!C1168+OPTIMIZACION!$B$7*RETORNOS!D1168+OPTIMIZACION!$B$8*RETORNOS!E1168+OPTIMIZACION!$B$9*RETORNOS!F1168+OPTIMIZACION!$B$10*RETORNOS!G1168)</f>
        <v>-0.00557830109</v>
      </c>
      <c r="C1168" s="7">
        <f>IF(RETORNOS!H1168="","",RETORNOS!H1168)</f>
        <v>-0.009590792839</v>
      </c>
      <c r="D1168" s="7">
        <f>IF(RETORNOS!I1168="","",RETORNOS!I1168)</f>
        <v>0.00723842948</v>
      </c>
      <c r="E1168" s="7">
        <f t="shared" si="2"/>
        <v>-0.001176181679</v>
      </c>
      <c r="F1168" s="7">
        <f t="shared" si="3"/>
        <v>0.004012491749</v>
      </c>
      <c r="G1168" s="7">
        <f t="shared" si="4"/>
        <v>-0.00440211941</v>
      </c>
      <c r="H1168" s="5">
        <f t="shared" ref="H1168:K1168" si="1168">IF(B1168="","",H1167*(1+B1168))</f>
        <v>370.853646</v>
      </c>
      <c r="I1168" s="5">
        <f t="shared" si="1168"/>
        <v>300.433971</v>
      </c>
      <c r="J1168" s="5">
        <f t="shared" si="1168"/>
        <v>156.2297993</v>
      </c>
      <c r="K1168" s="5">
        <f t="shared" si="1168"/>
        <v>225.8555474</v>
      </c>
      <c r="L1168" s="7">
        <f t="shared" si="6"/>
        <v>-0.00557830109</v>
      </c>
    </row>
    <row r="1169" ht="15.75" customHeight="1">
      <c r="A1169" s="4">
        <f>IF(RETORNOS!A1169="","",RETORNOS!A1169)</f>
        <v>46112</v>
      </c>
      <c r="B1169" s="7">
        <f>IF(RETORNOS!B1169="","",OPTIMIZACION!$B$5*RETORNOS!B1169+OPTIMIZACION!$B$6*RETORNOS!C1169+OPTIMIZACION!$B$7*RETORNOS!D1169+OPTIMIZACION!$B$8*RETORNOS!E1169+OPTIMIZACION!$B$9*RETORNOS!F1169+OPTIMIZACION!$B$10*RETORNOS!G1169)</f>
        <v>0.003383043808</v>
      </c>
      <c r="C1169" s="7">
        <f>IF(RETORNOS!H1169="","",RETORNOS!H1169)</f>
        <v>-0.01129761136</v>
      </c>
      <c r="D1169" s="7">
        <f>IF(RETORNOS!I1169="","",RETORNOS!I1169)</f>
        <v>-0.0006533101045</v>
      </c>
      <c r="E1169" s="7">
        <f t="shared" si="2"/>
        <v>-0.005975460733</v>
      </c>
      <c r="F1169" s="7">
        <f t="shared" si="3"/>
        <v>0.01468065517</v>
      </c>
      <c r="G1169" s="7">
        <f t="shared" si="4"/>
        <v>0.009358504542</v>
      </c>
      <c r="H1169" s="5">
        <f t="shared" ref="H1169:K1169" si="1169">IF(B1169="","",H1168*(1+B1169))</f>
        <v>372.1082602</v>
      </c>
      <c r="I1169" s="5">
        <f t="shared" si="1169"/>
        <v>297.0397847</v>
      </c>
      <c r="J1169" s="5">
        <f t="shared" si="1169"/>
        <v>156.1277328</v>
      </c>
      <c r="K1169" s="5">
        <f t="shared" si="1169"/>
        <v>224.5059564</v>
      </c>
      <c r="L1169" s="7">
        <f t="shared" si="6"/>
        <v>-0.002214128918</v>
      </c>
    </row>
    <row r="1170" ht="15.75" customHeight="1">
      <c r="A1170" s="4">
        <f>IF(RETORNOS!A1170="","",RETORNOS!A1170)</f>
        <v>46113</v>
      </c>
      <c r="B1170" s="7">
        <f>IF(RETORNOS!B1170="","",OPTIMIZACION!$B$5*RETORNOS!B1170+OPTIMIZACION!$B$6*RETORNOS!C1170+OPTIMIZACION!$B$7*RETORNOS!D1170+OPTIMIZACION!$B$8*RETORNOS!E1170+OPTIMIZACION!$B$9*RETORNOS!F1170+OPTIMIZACION!$B$10*RETORNOS!G1170)</f>
        <v>-0.01411952189</v>
      </c>
      <c r="C1170" s="7">
        <f>IF(RETORNOS!H1170="","",RETORNOS!H1170)</f>
        <v>-0.03738165198</v>
      </c>
      <c r="D1170" s="7">
        <f>IF(RETORNOS!I1170="","",RETORNOS!I1170)</f>
        <v>0.004794072783</v>
      </c>
      <c r="E1170" s="7">
        <f t="shared" si="2"/>
        <v>-0.0162937896</v>
      </c>
      <c r="F1170" s="7">
        <f t="shared" si="3"/>
        <v>0.02326213009</v>
      </c>
      <c r="G1170" s="7">
        <f t="shared" si="4"/>
        <v>0.002174267711</v>
      </c>
      <c r="H1170" s="5">
        <f t="shared" ref="H1170:K1170" si="1170">IF(B1170="","",H1169*(1+B1170))</f>
        <v>366.8542694</v>
      </c>
      <c r="I1170" s="5">
        <f t="shared" si="1170"/>
        <v>285.9359469</v>
      </c>
      <c r="J1170" s="5">
        <f t="shared" si="1170"/>
        <v>156.8762205</v>
      </c>
      <c r="K1170" s="5">
        <f t="shared" si="1170"/>
        <v>220.8479036</v>
      </c>
      <c r="L1170" s="7">
        <f t="shared" si="6"/>
        <v>-0.01630238836</v>
      </c>
    </row>
    <row r="1171" ht="15.75" customHeight="1">
      <c r="A1171" s="4">
        <f>IF(RETORNOS!A1171="","",RETORNOS!A1171)</f>
        <v>46114</v>
      </c>
      <c r="B1171" s="7">
        <f>IF(RETORNOS!B1171="","",OPTIMIZACION!$B$5*RETORNOS!B1171+OPTIMIZACION!$B$6*RETORNOS!C1171+OPTIMIZACION!$B$7*RETORNOS!D1171+OPTIMIZACION!$B$8*RETORNOS!E1171+OPTIMIZACION!$B$9*RETORNOS!F1171+OPTIMIZACION!$B$10*RETORNOS!G1171)</f>
        <v>0.00067664631</v>
      </c>
      <c r="C1171" s="7">
        <f>IF(RETORNOS!H1171="","",RETORNOS!H1171)</f>
        <v>0.004748177039</v>
      </c>
      <c r="D1171" s="7">
        <f>IF(RETORNOS!I1171="","",RETORNOS!I1171)</f>
        <v>0.004988072002</v>
      </c>
      <c r="E1171" s="7">
        <f t="shared" si="2"/>
        <v>0.00486812452</v>
      </c>
      <c r="F1171" s="7">
        <f t="shared" si="3"/>
        <v>-0.004071530729</v>
      </c>
      <c r="G1171" s="7">
        <f t="shared" si="4"/>
        <v>-0.00419147821</v>
      </c>
      <c r="H1171" s="5">
        <f t="shared" ref="H1171:K1171" si="1171">IF(B1171="","",H1170*(1+B1171))</f>
        <v>367.1025</v>
      </c>
      <c r="I1171" s="5">
        <f t="shared" si="1171"/>
        <v>287.2936214</v>
      </c>
      <c r="J1171" s="5">
        <f t="shared" si="1171"/>
        <v>157.6587304</v>
      </c>
      <c r="K1171" s="5">
        <f t="shared" si="1171"/>
        <v>221.9230187</v>
      </c>
      <c r="L1171" s="7">
        <f t="shared" si="6"/>
        <v>-0.015636773</v>
      </c>
    </row>
    <row r="1172" ht="15.75" customHeight="1">
      <c r="A1172" s="4">
        <f>IF(RETORNOS!A1172="","",RETORNOS!A1172)</f>
        <v>46118</v>
      </c>
      <c r="B1172" s="7">
        <f>IF(RETORNOS!B1172="","",OPTIMIZACION!$B$5*RETORNOS!B1172+OPTIMIZACION!$B$6*RETORNOS!C1172+OPTIMIZACION!$B$7*RETORNOS!D1172+OPTIMIZACION!$B$8*RETORNOS!E1172+OPTIMIZACION!$B$9*RETORNOS!F1172+OPTIMIZACION!$B$10*RETORNOS!G1172)</f>
        <v>0.002580593048</v>
      </c>
      <c r="C1172" s="7">
        <f>IF(RETORNOS!H1172="","",RETORNOS!H1172)</f>
        <v>0.007257383966</v>
      </c>
      <c r="D1172" s="7">
        <f>IF(RETORNOS!I1172="","",RETORNOS!I1172)</f>
        <v>-0.003668536901</v>
      </c>
      <c r="E1172" s="7">
        <f t="shared" si="2"/>
        <v>0.001794423533</v>
      </c>
      <c r="F1172" s="7">
        <f t="shared" si="3"/>
        <v>-0.004676790918</v>
      </c>
      <c r="G1172" s="7">
        <f t="shared" si="4"/>
        <v>0.0007861695156</v>
      </c>
      <c r="H1172" s="5">
        <f t="shared" ref="H1172:K1172" si="1172">IF(B1172="","",H1171*(1+B1172))</f>
        <v>368.0498422</v>
      </c>
      <c r="I1172" s="5">
        <f t="shared" si="1172"/>
        <v>289.3786215</v>
      </c>
      <c r="J1172" s="5">
        <f t="shared" si="1172"/>
        <v>157.0803536</v>
      </c>
      <c r="K1172" s="5">
        <f t="shared" si="1172"/>
        <v>222.3212426</v>
      </c>
      <c r="L1172" s="7">
        <f t="shared" si="6"/>
        <v>-0.0130965321</v>
      </c>
    </row>
    <row r="1173" ht="15.75" customHeight="1">
      <c r="A1173" s="4">
        <f>IF(RETORNOS!A1173="","",RETORNOS!A1173)</f>
        <v>46119</v>
      </c>
      <c r="B1173" s="7">
        <f>IF(RETORNOS!B1173="","",OPTIMIZACION!$B$5*RETORNOS!B1173+OPTIMIZACION!$B$6*RETORNOS!C1173+OPTIMIZACION!$B$7*RETORNOS!D1173+OPTIMIZACION!$B$8*RETORNOS!E1173+OPTIMIZACION!$B$9*RETORNOS!F1173+OPTIMIZACION!$B$10*RETORNOS!G1173)</f>
        <v>0.007914577502</v>
      </c>
      <c r="C1173" s="7">
        <f>IF(RETORNOS!H1173="","",RETORNOS!H1173)</f>
        <v>0.008042895442</v>
      </c>
      <c r="D1173" s="7">
        <f>IF(RETORNOS!I1173="","",RETORNOS!I1173)</f>
        <v>0.002165908599</v>
      </c>
      <c r="E1173" s="7">
        <f t="shared" si="2"/>
        <v>0.005104402021</v>
      </c>
      <c r="F1173" s="7">
        <f t="shared" si="3"/>
        <v>-0.0001283179406</v>
      </c>
      <c r="G1173" s="7">
        <f t="shared" si="4"/>
        <v>0.002810175481</v>
      </c>
      <c r="H1173" s="5">
        <f t="shared" ref="H1173:K1173" si="1173">IF(B1173="","",H1172*(1+B1173))</f>
        <v>370.9628012</v>
      </c>
      <c r="I1173" s="5">
        <f t="shared" si="1173"/>
        <v>291.7060635</v>
      </c>
      <c r="J1173" s="5">
        <f t="shared" si="1173"/>
        <v>157.4205752</v>
      </c>
      <c r="K1173" s="5">
        <f t="shared" si="1173"/>
        <v>223.4560596</v>
      </c>
      <c r="L1173" s="7">
        <f t="shared" si="6"/>
        <v>-0.005285608119</v>
      </c>
    </row>
    <row r="1174" ht="15.75" customHeight="1">
      <c r="A1174" s="4">
        <f>IF(RETORNOS!A1174="","",RETORNOS!A1174)</f>
        <v>46120</v>
      </c>
      <c r="B1174" s="7">
        <f>IF(RETORNOS!B1174="","",OPTIMIZACION!$B$5*RETORNOS!B1174+OPTIMIZACION!$B$6*RETORNOS!C1174+OPTIMIZACION!$B$7*RETORNOS!D1174+OPTIMIZACION!$B$8*RETORNOS!E1174+OPTIMIZACION!$B$9*RETORNOS!F1174+OPTIMIZACION!$B$10*RETORNOS!G1174)</f>
        <v>-0.009195912601</v>
      </c>
      <c r="C1174" s="7">
        <f>IF(RETORNOS!H1174="","",RETORNOS!H1174)</f>
        <v>-0.0350731383</v>
      </c>
      <c r="D1174" s="7">
        <f>IF(RETORNOS!I1174="","",RETORNOS!I1174)</f>
        <v>0.01102226064</v>
      </c>
      <c r="E1174" s="7">
        <f t="shared" si="2"/>
        <v>-0.01202543883</v>
      </c>
      <c r="F1174" s="7">
        <f t="shared" si="3"/>
        <v>0.0258772257</v>
      </c>
      <c r="G1174" s="7">
        <f t="shared" si="4"/>
        <v>0.002829526226</v>
      </c>
      <c r="H1174" s="5">
        <f t="shared" ref="H1174:K1174" si="1174">IF(B1174="","",H1173*(1+B1174))</f>
        <v>367.5514597</v>
      </c>
      <c r="I1174" s="5">
        <f t="shared" si="1174"/>
        <v>281.4750164</v>
      </c>
      <c r="J1174" s="5">
        <f t="shared" si="1174"/>
        <v>159.1557059</v>
      </c>
      <c r="K1174" s="5">
        <f t="shared" si="1174"/>
        <v>220.7689024</v>
      </c>
      <c r="L1174" s="7">
        <f t="shared" si="6"/>
        <v>-0.01443291473</v>
      </c>
    </row>
    <row r="1175" ht="15.75" customHeight="1">
      <c r="A1175" s="4">
        <f>IF(RETORNOS!A1175="","",RETORNOS!A1175)</f>
        <v>46121</v>
      </c>
      <c r="B1175" s="7">
        <f>IF(RETORNOS!B1175="","",OPTIMIZACION!$B$5*RETORNOS!B1175+OPTIMIZACION!$B$6*RETORNOS!C1175+OPTIMIZACION!$B$7*RETORNOS!D1175+OPTIMIZACION!$B$8*RETORNOS!E1175+OPTIMIZACION!$B$9*RETORNOS!F1175+OPTIMIZACION!$B$10*RETORNOS!G1175)</f>
        <v>-0.001305492588</v>
      </c>
      <c r="C1175" s="7">
        <f>IF(RETORNOS!H1175="","",RETORNOS!H1175)</f>
        <v>-0.01240310078</v>
      </c>
      <c r="D1175" s="7">
        <f>IF(RETORNOS!I1175="","",RETORNOS!I1175)</f>
        <v>0.007909362976</v>
      </c>
      <c r="E1175" s="7">
        <f t="shared" si="2"/>
        <v>-0.0022468689</v>
      </c>
      <c r="F1175" s="7">
        <f t="shared" si="3"/>
        <v>0.01109760819</v>
      </c>
      <c r="G1175" s="7">
        <f t="shared" si="4"/>
        <v>0.0009413763122</v>
      </c>
      <c r="H1175" s="5">
        <f t="shared" ref="H1175:K1175" si="1175">IF(B1175="","",H1174*(1+B1175))</f>
        <v>367.071624</v>
      </c>
      <c r="I1175" s="5">
        <f t="shared" si="1175"/>
        <v>277.9838534</v>
      </c>
      <c r="J1175" s="5">
        <f t="shared" si="1175"/>
        <v>160.4145261</v>
      </c>
      <c r="K1175" s="5">
        <f t="shared" si="1175"/>
        <v>220.2728636</v>
      </c>
      <c r="L1175" s="7">
        <f t="shared" si="6"/>
        <v>-0.01571956525</v>
      </c>
    </row>
    <row r="1176" ht="15.75" customHeight="1">
      <c r="A1176" s="4">
        <f>IF(RETORNOS!A1176="","",RETORNOS!A1176)</f>
        <v>46122</v>
      </c>
      <c r="B1176" s="7">
        <f>IF(RETORNOS!B1176="","",OPTIMIZACION!$B$5*RETORNOS!B1176+OPTIMIZACION!$B$6*RETORNOS!C1176+OPTIMIZACION!$B$7*RETORNOS!D1176+OPTIMIZACION!$B$8*RETORNOS!E1176+OPTIMIZACION!$B$9*RETORNOS!F1176+OPTIMIZACION!$B$10*RETORNOS!G1176)</f>
        <v>-0.002881902506</v>
      </c>
      <c r="C1176" s="7">
        <f>IF(RETORNOS!H1176="","",RETORNOS!H1176)</f>
        <v>-0.006802721088</v>
      </c>
      <c r="D1176" s="7">
        <f>IF(RETORNOS!I1176="","",RETORNOS!I1176)</f>
        <v>-0.004029692471</v>
      </c>
      <c r="E1176" s="7">
        <f t="shared" si="2"/>
        <v>-0.00541620678</v>
      </c>
      <c r="F1176" s="7">
        <f t="shared" si="3"/>
        <v>0.003920818582</v>
      </c>
      <c r="G1176" s="7">
        <f t="shared" si="4"/>
        <v>0.002534304274</v>
      </c>
      <c r="H1176" s="5">
        <f t="shared" ref="H1176:K1176" si="1176">IF(B1176="","",H1175*(1+B1176))</f>
        <v>366.0137593</v>
      </c>
      <c r="I1176" s="5">
        <f t="shared" si="1176"/>
        <v>276.0928067</v>
      </c>
      <c r="J1176" s="5">
        <f t="shared" si="1176"/>
        <v>159.7681049</v>
      </c>
      <c r="K1176" s="5">
        <f t="shared" si="1176"/>
        <v>219.0798202</v>
      </c>
      <c r="L1176" s="7">
        <f t="shared" si="6"/>
        <v>-0.01855616551</v>
      </c>
    </row>
    <row r="1177" ht="15.75" customHeight="1">
      <c r="A1177" s="4">
        <f>IF(RETORNOS!A1177="","",RETORNOS!A1177)</f>
        <v>46125</v>
      </c>
      <c r="B1177" s="7">
        <f>IF(RETORNOS!B1177="","",OPTIMIZACION!$B$5*RETORNOS!B1177+OPTIMIZACION!$B$6*RETORNOS!C1177+OPTIMIZACION!$B$7*RETORNOS!D1177+OPTIMIZACION!$B$8*RETORNOS!E1177+OPTIMIZACION!$B$9*RETORNOS!F1177+OPTIMIZACION!$B$10*RETORNOS!G1177)</f>
        <v>-0.002590008988</v>
      </c>
      <c r="C1177" s="7">
        <f>IF(RETORNOS!H1177="","",RETORNOS!H1177)</f>
        <v>0.002985598876</v>
      </c>
      <c r="D1177" s="7">
        <f>IF(RETORNOS!I1177="","",RETORNOS!I1177)</f>
        <v>-0.01213798978</v>
      </c>
      <c r="E1177" s="7">
        <f t="shared" si="2"/>
        <v>-0.004576195451</v>
      </c>
      <c r="F1177" s="7">
        <f t="shared" si="3"/>
        <v>-0.005575607864</v>
      </c>
      <c r="G1177" s="7">
        <f t="shared" si="4"/>
        <v>0.001986186463</v>
      </c>
      <c r="H1177" s="5">
        <f t="shared" ref="H1177:K1177" si="1177">IF(B1177="","",H1176*(1+B1177))</f>
        <v>365.0657804</v>
      </c>
      <c r="I1177" s="5">
        <f t="shared" si="1177"/>
        <v>276.9171091</v>
      </c>
      <c r="J1177" s="5">
        <f t="shared" si="1177"/>
        <v>157.8288413</v>
      </c>
      <c r="K1177" s="5">
        <f t="shared" si="1177"/>
        <v>218.0772682</v>
      </c>
      <c r="L1177" s="7">
        <f t="shared" si="6"/>
        <v>-0.02109811386</v>
      </c>
    </row>
    <row r="1178" ht="15.75" customHeight="1">
      <c r="A1178" s="4">
        <f>IF(RETORNOS!A1178="","",RETORNOS!A1178)</f>
        <v>46126</v>
      </c>
      <c r="B1178" s="7">
        <f>IF(RETORNOS!B1178="","",OPTIMIZACION!$B$5*RETORNOS!B1178+OPTIMIZACION!$B$6*RETORNOS!C1178+OPTIMIZACION!$B$7*RETORNOS!D1178+OPTIMIZACION!$B$8*RETORNOS!E1178+OPTIMIZACION!$B$9*RETORNOS!F1178+OPTIMIZACION!$B$10*RETORNOS!G1178)</f>
        <v>-0.005702368886</v>
      </c>
      <c r="C1178" s="7">
        <f>IF(RETORNOS!H1178="","",RETORNOS!H1178)</f>
        <v>-0.02031167922</v>
      </c>
      <c r="D1178" s="7">
        <f>IF(RETORNOS!I1178="","",RETORNOS!I1178)</f>
        <v>0.001724509593</v>
      </c>
      <c r="E1178" s="7">
        <f t="shared" si="2"/>
        <v>-0.009293584811</v>
      </c>
      <c r="F1178" s="7">
        <f t="shared" si="3"/>
        <v>0.01460931033</v>
      </c>
      <c r="G1178" s="7">
        <f t="shared" si="4"/>
        <v>0.003591215925</v>
      </c>
      <c r="H1178" s="5">
        <f t="shared" ref="H1178:K1178" si="1178">IF(B1178="","",H1177*(1+B1178))</f>
        <v>362.9840407</v>
      </c>
      <c r="I1178" s="5">
        <f t="shared" si="1178"/>
        <v>271.2924576</v>
      </c>
      <c r="J1178" s="5">
        <f t="shared" si="1178"/>
        <v>158.1010186</v>
      </c>
      <c r="K1178" s="5">
        <f t="shared" si="1178"/>
        <v>216.0505486</v>
      </c>
      <c r="L1178" s="7">
        <f t="shared" si="6"/>
        <v>-0.02668017352</v>
      </c>
    </row>
    <row r="1179" ht="15.75" customHeight="1">
      <c r="A1179" s="4">
        <f>IF(RETORNOS!A1179="","",RETORNOS!A1179)</f>
        <v>46127</v>
      </c>
      <c r="B1179" s="7">
        <f>IF(RETORNOS!B1179="","",OPTIMIZACION!$B$5*RETORNOS!B1179+OPTIMIZACION!$B$6*RETORNOS!C1179+OPTIMIZACION!$B$7*RETORNOS!D1179+OPTIMIZACION!$B$8*RETORNOS!E1179+OPTIMIZACION!$B$9*RETORNOS!F1179+OPTIMIZACION!$B$10*RETORNOS!G1179)</f>
        <v>-0.009411591052</v>
      </c>
      <c r="C1179" s="7">
        <f>IF(RETORNOS!H1179="","",RETORNOS!H1179)</f>
        <v>-0.003395889187</v>
      </c>
      <c r="D1179" s="7">
        <f>IF(RETORNOS!I1179="","",RETORNOS!I1179)</f>
        <v>-0.009683666882</v>
      </c>
      <c r="E1179" s="7">
        <f t="shared" si="2"/>
        <v>-0.006539778034</v>
      </c>
      <c r="F1179" s="7">
        <f t="shared" si="3"/>
        <v>-0.006015701865</v>
      </c>
      <c r="G1179" s="7">
        <f t="shared" si="4"/>
        <v>-0.002871813018</v>
      </c>
      <c r="H1179" s="5">
        <f t="shared" ref="H1179:K1179" si="1179">IF(B1179="","",H1178*(1+B1179))</f>
        <v>359.5677833</v>
      </c>
      <c r="I1179" s="5">
        <f t="shared" si="1179"/>
        <v>270.3711785</v>
      </c>
      <c r="J1179" s="5">
        <f t="shared" si="1179"/>
        <v>156.570021</v>
      </c>
      <c r="K1179" s="5">
        <f t="shared" si="1179"/>
        <v>214.6376259</v>
      </c>
      <c r="L1179" s="7">
        <f t="shared" si="6"/>
        <v>-0.03584066169</v>
      </c>
    </row>
    <row r="1180" ht="15.75" customHeight="1">
      <c r="A1180" s="4">
        <f>IF(RETORNOS!A1180="","",RETORNOS!A1180)</f>
        <v>46128</v>
      </c>
      <c r="B1180" s="7">
        <f>IF(RETORNOS!B1180="","",OPTIMIZACION!$B$5*RETORNOS!B1180+OPTIMIZACION!$B$6*RETORNOS!C1180+OPTIMIZACION!$B$7*RETORNOS!D1180+OPTIMIZACION!$B$8*RETORNOS!E1180+OPTIMIZACION!$B$9*RETORNOS!F1180+OPTIMIZACION!$B$10*RETORNOS!G1180)</f>
        <v>0.007746519158</v>
      </c>
      <c r="C1180" s="7">
        <f>IF(RETORNOS!H1180="","",RETORNOS!H1180)</f>
        <v>0.01470588235</v>
      </c>
      <c r="D1180" s="7">
        <f>IF(RETORNOS!I1180="","",RETORNOS!I1180)</f>
        <v>0.007170795306</v>
      </c>
      <c r="E1180" s="7">
        <f t="shared" si="2"/>
        <v>0.01093833883</v>
      </c>
      <c r="F1180" s="7">
        <f t="shared" si="3"/>
        <v>-0.006959363195</v>
      </c>
      <c r="G1180" s="7">
        <f t="shared" si="4"/>
        <v>-0.003191819672</v>
      </c>
      <c r="H1180" s="5">
        <f t="shared" ref="H1180:K1180" si="1180">IF(B1180="","",H1179*(1+B1180))</f>
        <v>362.353182</v>
      </c>
      <c r="I1180" s="5">
        <f t="shared" si="1180"/>
        <v>274.3472253</v>
      </c>
      <c r="J1180" s="5">
        <f t="shared" si="1180"/>
        <v>157.6927526</v>
      </c>
      <c r="K1180" s="5">
        <f t="shared" si="1180"/>
        <v>216.985405</v>
      </c>
      <c r="L1180" s="7">
        <f t="shared" si="6"/>
        <v>-0.0283717829</v>
      </c>
    </row>
    <row r="1181" ht="15.75" customHeight="1">
      <c r="A1181" s="4">
        <f>IF(RETORNOS!A1181="","",RETORNOS!A1181)</f>
        <v>46129</v>
      </c>
      <c r="B1181" s="7">
        <f>IF(RETORNOS!B1181="","",OPTIMIZACION!$B$5*RETORNOS!B1181+OPTIMIZACION!$B$6*RETORNOS!C1181+OPTIMIZACION!$B$7*RETORNOS!D1181+OPTIMIZACION!$B$8*RETORNOS!E1181+OPTIMIZACION!$B$9*RETORNOS!F1181+OPTIMIZACION!$B$10*RETORNOS!G1181)</f>
        <v>-0.01019714954</v>
      </c>
      <c r="C1181" s="7">
        <f>IF(RETORNOS!H1181="","",RETORNOS!H1181)</f>
        <v>-0.02757158006</v>
      </c>
      <c r="D1181" s="7">
        <f>IF(RETORNOS!I1181="","",RETORNOS!I1181)</f>
        <v>-0.004099244876</v>
      </c>
      <c r="E1181" s="7">
        <f t="shared" si="2"/>
        <v>-0.01583541247</v>
      </c>
      <c r="F1181" s="7">
        <f t="shared" si="3"/>
        <v>0.01737443052</v>
      </c>
      <c r="G1181" s="7">
        <f t="shared" si="4"/>
        <v>0.005638262926</v>
      </c>
      <c r="H1181" s="5">
        <f t="shared" ref="H1181:K1181" si="1181">IF(B1181="","",H1180*(1+B1181))</f>
        <v>358.6582125</v>
      </c>
      <c r="I1181" s="5">
        <f t="shared" si="1181"/>
        <v>266.7830388</v>
      </c>
      <c r="J1181" s="5">
        <f t="shared" si="1181"/>
        <v>157.0463314</v>
      </c>
      <c r="K1181" s="5">
        <f t="shared" si="1181"/>
        <v>213.5493516</v>
      </c>
      <c r="L1181" s="7">
        <f t="shared" si="6"/>
        <v>-0.03827962113</v>
      </c>
    </row>
    <row r="1182" ht="15.75" customHeight="1">
      <c r="A1182" s="4">
        <f>IF(RETORNOS!A1182="","",RETORNOS!A1182)</f>
        <v>46132</v>
      </c>
      <c r="B1182" s="7">
        <f>IF(RETORNOS!B1182="","",OPTIMIZACION!$B$5*RETORNOS!B1182+OPTIMIZACION!$B$6*RETORNOS!C1182+OPTIMIZACION!$B$7*RETORNOS!D1182+OPTIMIZACION!$B$8*RETORNOS!E1182+OPTIMIZACION!$B$9*RETORNOS!F1182+OPTIMIZACION!$B$10*RETORNOS!G1182)</f>
        <v>-0.002268749844</v>
      </c>
      <c r="C1182" s="7">
        <f>IF(RETORNOS!H1182="","",RETORNOS!H1182)</f>
        <v>0.0009087604507</v>
      </c>
      <c r="D1182" s="7">
        <f>IF(RETORNOS!I1182="","",RETORNOS!I1182)</f>
        <v>-0.008882149047</v>
      </c>
      <c r="E1182" s="7">
        <f t="shared" si="2"/>
        <v>-0.003986694298</v>
      </c>
      <c r="F1182" s="7">
        <f t="shared" si="3"/>
        <v>-0.003177510295</v>
      </c>
      <c r="G1182" s="7">
        <f t="shared" si="4"/>
        <v>0.001717944454</v>
      </c>
      <c r="H1182" s="5">
        <f t="shared" ref="H1182:K1182" si="1182">IF(B1182="","",H1181*(1+B1182))</f>
        <v>357.8445067</v>
      </c>
      <c r="I1182" s="5">
        <f t="shared" si="1182"/>
        <v>267.0254806</v>
      </c>
      <c r="J1182" s="5">
        <f t="shared" si="1182"/>
        <v>155.6514225</v>
      </c>
      <c r="K1182" s="5">
        <f t="shared" si="1182"/>
        <v>212.6979957</v>
      </c>
      <c r="L1182" s="7">
        <f t="shared" si="6"/>
        <v>-0.04046152409</v>
      </c>
    </row>
    <row r="1183" ht="15.75" customHeight="1">
      <c r="A1183" s="4">
        <f>IF(RETORNOS!A1183="","",RETORNOS!A1183)</f>
        <v>46133</v>
      </c>
      <c r="B1183" s="7">
        <f>IF(RETORNOS!B1183="","",OPTIMIZACION!$B$5*RETORNOS!B1183+OPTIMIZACION!$B$6*RETORNOS!C1183+OPTIMIZACION!$B$7*RETORNOS!D1183+OPTIMIZACION!$B$8*RETORNOS!E1183+OPTIMIZACION!$B$9*RETORNOS!F1183+OPTIMIZACION!$B$10*RETORNOS!G1183)</f>
        <v>-0.001647500798</v>
      </c>
      <c r="C1183" s="7">
        <f>IF(RETORNOS!H1183="","",RETORNOS!H1183)</f>
        <v>0.01452696568</v>
      </c>
      <c r="D1183" s="7">
        <f>IF(RETORNOS!I1183="","",RETORNOS!I1183)</f>
        <v>-0.0174863388</v>
      </c>
      <c r="E1183" s="7">
        <f t="shared" si="2"/>
        <v>-0.001479686559</v>
      </c>
      <c r="F1183" s="7">
        <f t="shared" si="3"/>
        <v>-0.01617446648</v>
      </c>
      <c r="G1183" s="7">
        <f t="shared" si="4"/>
        <v>-0.0001678142389</v>
      </c>
      <c r="H1183" s="5">
        <f t="shared" ref="H1183:K1183" si="1183">IF(B1183="","",H1182*(1+B1183))</f>
        <v>357.2549576</v>
      </c>
      <c r="I1183" s="5">
        <f t="shared" si="1183"/>
        <v>270.9045506</v>
      </c>
      <c r="J1183" s="5">
        <f t="shared" si="1183"/>
        <v>152.929649</v>
      </c>
      <c r="K1183" s="5">
        <f t="shared" si="1183"/>
        <v>212.3832693</v>
      </c>
      <c r="L1183" s="7">
        <f t="shared" si="6"/>
        <v>-0.0420423645</v>
      </c>
    </row>
    <row r="1184" ht="15.75" customHeight="1">
      <c r="A1184" s="4">
        <f>IF(RETORNOS!A1184="","",RETORNOS!A1184)</f>
        <v>46134</v>
      </c>
      <c r="B1184" s="7">
        <f>IF(RETORNOS!B1184="","",OPTIMIZACION!$B$5*RETORNOS!B1184+OPTIMIZACION!$B$6*RETORNOS!C1184+OPTIMIZACION!$B$7*RETORNOS!D1184+OPTIMIZACION!$B$8*RETORNOS!E1184+OPTIMIZACION!$B$9*RETORNOS!F1184+OPTIMIZACION!$B$10*RETORNOS!G1184)</f>
        <v>0.005343076458</v>
      </c>
      <c r="C1184" s="7">
        <f>IF(RETORNOS!H1184="","",RETORNOS!H1184)</f>
        <v>0.01199212457</v>
      </c>
      <c r="D1184" s="7">
        <f>IF(RETORNOS!I1184="","",RETORNOS!I1184)</f>
        <v>-0.001779755284</v>
      </c>
      <c r="E1184" s="7">
        <f t="shared" si="2"/>
        <v>0.005106184646</v>
      </c>
      <c r="F1184" s="7">
        <f t="shared" si="3"/>
        <v>-0.006649048117</v>
      </c>
      <c r="G1184" s="7">
        <f t="shared" si="4"/>
        <v>0.0002368918122</v>
      </c>
      <c r="H1184" s="5">
        <f t="shared" ref="H1184:K1184" si="1184">IF(B1184="","",H1183*(1+B1184))</f>
        <v>359.1637981</v>
      </c>
      <c r="I1184" s="5">
        <f t="shared" si="1184"/>
        <v>274.1532718</v>
      </c>
      <c r="J1184" s="5">
        <f t="shared" si="1184"/>
        <v>152.6574716</v>
      </c>
      <c r="K1184" s="5">
        <f t="shared" si="1184"/>
        <v>213.4677375</v>
      </c>
      <c r="L1184" s="7">
        <f t="shared" si="6"/>
        <v>-0.03692392361</v>
      </c>
    </row>
    <row r="1185" ht="15.75" customHeight="1">
      <c r="A1185" s="4">
        <f>IF(RETORNOS!A1185="","",RETORNOS!A1185)</f>
        <v>46135</v>
      </c>
      <c r="B1185" s="7">
        <f>IF(RETORNOS!B1185="","",OPTIMIZACION!$B$5*RETORNOS!B1185+OPTIMIZACION!$B$6*RETORNOS!C1185+OPTIMIZACION!$B$7*RETORNOS!D1185+OPTIMIZACION!$B$8*RETORNOS!E1185+OPTIMIZACION!$B$9*RETORNOS!F1185+OPTIMIZACION!$B$10*RETORNOS!G1185)</f>
        <v>0.01244048929</v>
      </c>
      <c r="C1185" s="7">
        <f>IF(RETORNOS!H1185="","",RETORNOS!H1185)</f>
        <v>0.007782101167</v>
      </c>
      <c r="D1185" s="7">
        <f>IF(RETORNOS!I1185="","",RETORNOS!I1185)</f>
        <v>0.02718965901</v>
      </c>
      <c r="E1185" s="7">
        <f t="shared" si="2"/>
        <v>0.01748588009</v>
      </c>
      <c r="F1185" s="7">
        <f t="shared" si="3"/>
        <v>0.004658388126</v>
      </c>
      <c r="G1185" s="7">
        <f t="shared" si="4"/>
        <v>-0.005045390798</v>
      </c>
      <c r="H1185" s="5">
        <f t="shared" ref="H1185:K1185" si="1185">IF(B1185="","",H1184*(1+B1185))</f>
        <v>363.6319715</v>
      </c>
      <c r="I1185" s="5">
        <f t="shared" si="1185"/>
        <v>276.2867602</v>
      </c>
      <c r="J1185" s="5">
        <f t="shared" si="1185"/>
        <v>156.8081762</v>
      </c>
      <c r="K1185" s="5">
        <f t="shared" si="1185"/>
        <v>217.2004087</v>
      </c>
      <c r="L1185" s="7">
        <f t="shared" si="6"/>
        <v>-0.02494278599</v>
      </c>
    </row>
    <row r="1186" ht="15.75" customHeight="1">
      <c r="A1186" s="4">
        <f>IF(RETORNOS!A1186="","",RETORNOS!A1186)</f>
        <v>46136</v>
      </c>
      <c r="B1186" s="7">
        <f>IF(RETORNOS!B1186="","",OPTIMIZACION!$B$5*RETORNOS!B1186+OPTIMIZACION!$B$6*RETORNOS!C1186+OPTIMIZACION!$B$7*RETORNOS!D1186+OPTIMIZACION!$B$8*RETORNOS!E1186+OPTIMIZACION!$B$9*RETORNOS!F1186+OPTIMIZACION!$B$10*RETORNOS!G1186)</f>
        <v>0.00146152945</v>
      </c>
      <c r="C1186" s="7">
        <f>IF(RETORNOS!H1186="","",RETORNOS!H1186)</f>
        <v>-0.001930501931</v>
      </c>
      <c r="D1186" s="7">
        <f>IF(RETORNOS!I1186="","",RETORNOS!I1186)</f>
        <v>0.001952701237</v>
      </c>
      <c r="E1186" s="7">
        <f t="shared" si="2"/>
        <v>0.0000110996531</v>
      </c>
      <c r="F1186" s="7">
        <f t="shared" si="3"/>
        <v>0.003392031381</v>
      </c>
      <c r="G1186" s="7">
        <f t="shared" si="4"/>
        <v>0.001450429797</v>
      </c>
      <c r="H1186" s="5">
        <f t="shared" ref="H1186:K1186" si="1186">IF(B1186="","",H1185*(1+B1186))</f>
        <v>364.1634304</v>
      </c>
      <c r="I1186" s="5">
        <f t="shared" si="1186"/>
        <v>275.7533881</v>
      </c>
      <c r="J1186" s="5">
        <f t="shared" si="1186"/>
        <v>157.1143757</v>
      </c>
      <c r="K1186" s="5">
        <f t="shared" si="1186"/>
        <v>217.2028196</v>
      </c>
      <c r="L1186" s="7">
        <f t="shared" si="6"/>
        <v>-0.02351771116</v>
      </c>
    </row>
    <row r="1187" ht="15.75" customHeight="1">
      <c r="A1187" s="4">
        <f>IF(RETORNOS!A1187="","",RETORNOS!A1187)</f>
        <v>46139</v>
      </c>
      <c r="B1187" s="7">
        <f>IF(RETORNOS!B1187="","",OPTIMIZACION!$B$5*RETORNOS!B1187+OPTIMIZACION!$B$6*RETORNOS!C1187+OPTIMIZACION!$B$7*RETORNOS!D1187+OPTIMIZACION!$B$8*RETORNOS!E1187+OPTIMIZACION!$B$9*RETORNOS!F1187+OPTIMIZACION!$B$10*RETORNOS!G1187)</f>
        <v>-0.002229474293</v>
      </c>
      <c r="C1187" s="7">
        <f>IF(RETORNOS!H1187="","",RETORNOS!H1187)</f>
        <v>-0.001758396343</v>
      </c>
      <c r="D1187" s="7">
        <f>IF(RETORNOS!I1187="","",RETORNOS!I1187)</f>
        <v>0.0002165439584</v>
      </c>
      <c r="E1187" s="7">
        <f t="shared" si="2"/>
        <v>-0.0007709261921</v>
      </c>
      <c r="F1187" s="7">
        <f t="shared" si="3"/>
        <v>-0.0004710779506</v>
      </c>
      <c r="G1187" s="7">
        <f t="shared" si="4"/>
        <v>-0.001458548101</v>
      </c>
      <c r="H1187" s="5">
        <f t="shared" ref="H1187:K1187" si="1187">IF(B1187="","",H1186*(1+B1187))</f>
        <v>363.3515373</v>
      </c>
      <c r="I1187" s="5">
        <f t="shared" si="1187"/>
        <v>275.2685044</v>
      </c>
      <c r="J1187" s="5">
        <f t="shared" si="1187"/>
        <v>157.1483979</v>
      </c>
      <c r="K1187" s="5">
        <f t="shared" si="1187"/>
        <v>217.0353722</v>
      </c>
      <c r="L1187" s="7">
        <f t="shared" si="6"/>
        <v>-0.02569475332</v>
      </c>
    </row>
    <row r="1188" ht="15.75" customHeight="1">
      <c r="A1188" s="4">
        <f>IF(RETORNOS!A1188="","",RETORNOS!A1188)</f>
        <v>46140</v>
      </c>
      <c r="B1188" s="7">
        <f>IF(RETORNOS!B1188="","",OPTIMIZACION!$B$5*RETORNOS!B1188+OPTIMIZACION!$B$6*RETORNOS!C1188+OPTIMIZACION!$B$7*RETORNOS!D1188+OPTIMIZACION!$B$8*RETORNOS!E1188+OPTIMIZACION!$B$9*RETORNOS!F1188+OPTIMIZACION!$B$10*RETORNOS!G1188)</f>
        <v>0.006439896265</v>
      </c>
      <c r="C1188" s="7">
        <f>IF(RETORNOS!H1188="","",RETORNOS!H1188)</f>
        <v>0.01655804122</v>
      </c>
      <c r="D1188" s="7">
        <f>IF(RETORNOS!I1188="","",RETORNOS!I1188)</f>
        <v>0.001298982464</v>
      </c>
      <c r="E1188" s="7">
        <f t="shared" si="2"/>
        <v>0.008928511841</v>
      </c>
      <c r="F1188" s="7">
        <f t="shared" si="3"/>
        <v>-0.01011814495</v>
      </c>
      <c r="G1188" s="7">
        <f t="shared" si="4"/>
        <v>-0.002488615576</v>
      </c>
      <c r="H1188" s="5">
        <f t="shared" ref="H1188:K1188" si="1188">IF(B1188="","",H1187*(1+B1188))</f>
        <v>365.6914836</v>
      </c>
      <c r="I1188" s="5">
        <f t="shared" si="1188"/>
        <v>279.8264116</v>
      </c>
      <c r="J1188" s="5">
        <f t="shared" si="1188"/>
        <v>157.3525309</v>
      </c>
      <c r="K1188" s="5">
        <f t="shared" si="1188"/>
        <v>218.9731751</v>
      </c>
      <c r="L1188" s="7">
        <f t="shared" si="6"/>
        <v>-0.0194203286</v>
      </c>
    </row>
    <row r="1189" ht="15.75" customHeight="1">
      <c r="A1189" s="4">
        <f>IF(RETORNOS!A1189="","",RETORNOS!A1189)</f>
        <v>46141</v>
      </c>
      <c r="B1189" s="7">
        <f>IF(RETORNOS!B1189="","",OPTIMIZACION!$B$5*RETORNOS!B1189+OPTIMIZACION!$B$6*RETORNOS!C1189+OPTIMIZACION!$B$7*RETORNOS!D1189+OPTIMIZACION!$B$8*RETORNOS!E1189+OPTIMIZACION!$B$9*RETORNOS!F1189+OPTIMIZACION!$B$10*RETORNOS!G1189)</f>
        <v>0.003374435788</v>
      </c>
      <c r="C1189" s="7">
        <f>IF(RETORNOS!H1189="","",RETORNOS!H1189)</f>
        <v>0.02287298562</v>
      </c>
      <c r="D1189" s="7">
        <f>IF(RETORNOS!I1189="","",RETORNOS!I1189)</f>
        <v>-0.01232432432</v>
      </c>
      <c r="E1189" s="7">
        <f t="shared" si="2"/>
        <v>0.005274330647</v>
      </c>
      <c r="F1189" s="7">
        <f t="shared" si="3"/>
        <v>-0.01949854983</v>
      </c>
      <c r="G1189" s="7">
        <f t="shared" si="4"/>
        <v>-0.001899894858</v>
      </c>
      <c r="H1189" s="5">
        <f t="shared" ref="H1189:K1189" si="1189">IF(B1189="","",H1188*(1+B1189))</f>
        <v>366.925486</v>
      </c>
      <c r="I1189" s="5">
        <f t="shared" si="1189"/>
        <v>286.2268771</v>
      </c>
      <c r="J1189" s="5">
        <f t="shared" si="1189"/>
        <v>155.4132673</v>
      </c>
      <c r="K1189" s="5">
        <f t="shared" si="1189"/>
        <v>220.1281121</v>
      </c>
      <c r="L1189" s="7">
        <f t="shared" si="6"/>
        <v>-0.01611142546</v>
      </c>
    </row>
    <row r="1190" ht="15.75" customHeight="1">
      <c r="A1190" s="4">
        <f>IF(RETORNOS!A1190="","",RETORNOS!A1190)</f>
        <v>46142</v>
      </c>
      <c r="B1190" s="7">
        <f>IF(RETORNOS!B1190="","",OPTIMIZACION!$B$5*RETORNOS!B1190+OPTIMIZACION!$B$6*RETORNOS!C1190+OPTIMIZACION!$B$7*RETORNOS!D1190+OPTIMIZACION!$B$8*RETORNOS!E1190+OPTIMIZACION!$B$9*RETORNOS!F1190+OPTIMIZACION!$B$10*RETORNOS!G1190)</f>
        <v>0.02496372981</v>
      </c>
      <c r="C1190" s="7">
        <f>IF(RETORNOS!H1190="","",RETORNOS!H1190)</f>
        <v>0.010503134</v>
      </c>
      <c r="D1190" s="7">
        <f>IF(RETORNOS!I1190="","",RETORNOS!I1190)</f>
        <v>0.02561295972</v>
      </c>
      <c r="E1190" s="7">
        <f t="shared" si="2"/>
        <v>0.01805804686</v>
      </c>
      <c r="F1190" s="7">
        <f t="shared" si="3"/>
        <v>0.01446059581</v>
      </c>
      <c r="G1190" s="7">
        <f t="shared" si="4"/>
        <v>0.00690568295</v>
      </c>
      <c r="H1190" s="5">
        <f t="shared" ref="H1190:K1190" si="1190">IF(B1190="","",H1189*(1+B1190))</f>
        <v>376.0853147</v>
      </c>
      <c r="I1190" s="5">
        <f t="shared" si="1190"/>
        <v>289.2331564</v>
      </c>
      <c r="J1190" s="5">
        <f t="shared" si="1190"/>
        <v>159.393861</v>
      </c>
      <c r="K1190" s="5">
        <f t="shared" si="1190"/>
        <v>224.1031958</v>
      </c>
      <c r="L1190" s="7">
        <f t="shared" si="6"/>
        <v>0</v>
      </c>
    </row>
    <row r="1191" ht="15.75" customHeight="1">
      <c r="A1191" s="4">
        <f>IF(RETORNOS!A1191="","",RETORNOS!A1191)</f>
        <v>46143</v>
      </c>
      <c r="B1191" s="7">
        <f>IF(RETORNOS!B1191="","",OPTIMIZACION!$B$5*RETORNOS!B1191+OPTIMIZACION!$B$6*RETORNOS!C1191+OPTIMIZACION!$B$7*RETORNOS!D1191+OPTIMIZACION!$B$8*RETORNOS!E1191+OPTIMIZACION!$B$9*RETORNOS!F1191+OPTIMIZACION!$B$10*RETORNOS!G1191)</f>
        <v>-0.01183794224</v>
      </c>
      <c r="C1191" s="7">
        <f>IF(RETORNOS!H1191="","",RETORNOS!H1191)</f>
        <v>-0.01341156748</v>
      </c>
      <c r="D1191" s="7">
        <f>IF(RETORNOS!I1191="","",RETORNOS!I1191)</f>
        <v>-0.006403415155</v>
      </c>
      <c r="E1191" s="7">
        <f t="shared" si="2"/>
        <v>-0.009907491316</v>
      </c>
      <c r="F1191" s="7">
        <f t="shared" si="3"/>
        <v>0.001573625242</v>
      </c>
      <c r="G1191" s="7">
        <f t="shared" si="4"/>
        <v>-0.001930450919</v>
      </c>
      <c r="H1191" s="5">
        <f t="shared" ref="H1191:K1191" si="1191">IF(B1191="","",H1190*(1+B1191))</f>
        <v>371.6332384</v>
      </c>
      <c r="I1191" s="5">
        <f t="shared" si="1191"/>
        <v>285.3540864</v>
      </c>
      <c r="J1191" s="5">
        <f t="shared" si="1191"/>
        <v>158.373196</v>
      </c>
      <c r="K1191" s="5">
        <f t="shared" si="1191"/>
        <v>221.8828954</v>
      </c>
      <c r="L1191" s="7">
        <f t="shared" si="6"/>
        <v>-0.01183794224</v>
      </c>
    </row>
    <row r="1192" ht="15.75" customHeight="1">
      <c r="A1192" s="4">
        <f>IF(RETORNOS!A1192="","",RETORNOS!A1192)</f>
        <v>46146</v>
      </c>
      <c r="B1192" s="7">
        <f>IF(RETORNOS!B1192="","",OPTIMIZACION!$B$5*RETORNOS!B1192+OPTIMIZACION!$B$6*RETORNOS!C1192+OPTIMIZACION!$B$7*RETORNOS!D1192+OPTIMIZACION!$B$8*RETORNOS!E1192+OPTIMIZACION!$B$9*RETORNOS!F1192+OPTIMIZACION!$B$10*RETORNOS!G1192)</f>
        <v>0.004609758254</v>
      </c>
      <c r="C1192" s="7">
        <f>IF(RETORNOS!H1192="","",RETORNOS!H1192)</f>
        <v>0.009175870858</v>
      </c>
      <c r="D1192" s="7">
        <f>IF(RETORNOS!I1192="","",RETORNOS!I1192)</f>
        <v>-0.003866809882</v>
      </c>
      <c r="E1192" s="7">
        <f t="shared" si="2"/>
        <v>0.002654530488</v>
      </c>
      <c r="F1192" s="7">
        <f t="shared" si="3"/>
        <v>-0.004566112604</v>
      </c>
      <c r="G1192" s="7">
        <f t="shared" si="4"/>
        <v>0.001955227766</v>
      </c>
      <c r="H1192" s="5">
        <f t="shared" ref="H1192:K1192" si="1192">IF(B1192="","",H1191*(1+B1192))</f>
        <v>373.3463778</v>
      </c>
      <c r="I1192" s="5">
        <f t="shared" si="1192"/>
        <v>287.9724586</v>
      </c>
      <c r="J1192" s="5">
        <f t="shared" si="1192"/>
        <v>157.7607969</v>
      </c>
      <c r="K1192" s="5">
        <f t="shared" si="1192"/>
        <v>222.4718903</v>
      </c>
      <c r="L1192" s="7">
        <f t="shared" si="6"/>
        <v>-0.007282754033</v>
      </c>
    </row>
    <row r="1193" ht="15.75" customHeight="1">
      <c r="A1193" s="4">
        <f>IF(RETORNOS!A1193="","",RETORNOS!A1193)</f>
        <v>46147</v>
      </c>
      <c r="B1193" s="7">
        <f>IF(RETORNOS!B1193="","",OPTIMIZACION!$B$5*RETORNOS!B1193+OPTIMIZACION!$B$6*RETORNOS!C1193+OPTIMIZACION!$B$7*RETORNOS!D1193+OPTIMIZACION!$B$8*RETORNOS!E1193+OPTIMIZACION!$B$9*RETORNOS!F1193+OPTIMIZACION!$B$10*RETORNOS!G1193)</f>
        <v>-0.0004843971532</v>
      </c>
      <c r="C1193" s="7">
        <f>IF(RETORNOS!H1193="","",RETORNOS!H1193)</f>
        <v>0.001010271089</v>
      </c>
      <c r="D1193" s="7">
        <f>IF(RETORNOS!I1193="","",RETORNOS!I1193)</f>
        <v>0</v>
      </c>
      <c r="E1193" s="7">
        <f t="shared" si="2"/>
        <v>0.0005051355447</v>
      </c>
      <c r="F1193" s="7">
        <f t="shared" si="3"/>
        <v>-0.001494668243</v>
      </c>
      <c r="G1193" s="7">
        <f t="shared" si="4"/>
        <v>-0.0009895326979</v>
      </c>
      <c r="H1193" s="5">
        <f t="shared" ref="H1193:K1193" si="1193">IF(B1193="","",H1192*(1+B1193))</f>
        <v>373.1655299</v>
      </c>
      <c r="I1193" s="5">
        <f t="shared" si="1193"/>
        <v>288.2633889</v>
      </c>
      <c r="J1193" s="5">
        <f t="shared" si="1193"/>
        <v>157.7607969</v>
      </c>
      <c r="K1193" s="5">
        <f t="shared" si="1193"/>
        <v>222.5842687</v>
      </c>
      <c r="L1193" s="7">
        <f t="shared" si="6"/>
        <v>-0.007763623441</v>
      </c>
    </row>
    <row r="1194" ht="15.75" customHeight="1">
      <c r="A1194" s="4">
        <f>IF(RETORNOS!A1194="","",RETORNOS!A1194)</f>
        <v>46148</v>
      </c>
      <c r="B1194" s="7">
        <f>IF(RETORNOS!B1194="","",OPTIMIZACION!$B$5*RETORNOS!B1194+OPTIMIZACION!$B$6*RETORNOS!C1194+OPTIMIZACION!$B$7*RETORNOS!D1194+OPTIMIZACION!$B$8*RETORNOS!E1194+OPTIMIZACION!$B$9*RETORNOS!F1194+OPTIMIZACION!$B$10*RETORNOS!G1194)</f>
        <v>-0.02277776599</v>
      </c>
      <c r="C1194" s="7">
        <f>IF(RETORNOS!H1194="","",RETORNOS!H1194)</f>
        <v>-0.04121110177</v>
      </c>
      <c r="D1194" s="7">
        <f>IF(RETORNOS!I1194="","",RETORNOS!I1194)</f>
        <v>-0.01423334052</v>
      </c>
      <c r="E1194" s="7">
        <f t="shared" si="2"/>
        <v>-0.02772222114</v>
      </c>
      <c r="F1194" s="7">
        <f t="shared" si="3"/>
        <v>0.01843333578</v>
      </c>
      <c r="G1194" s="7">
        <f t="shared" si="4"/>
        <v>0.004944455156</v>
      </c>
      <c r="H1194" s="5">
        <f t="shared" ref="H1194:K1194" si="1194">IF(B1194="","",H1193*(1+B1194))</f>
        <v>364.6656528</v>
      </c>
      <c r="I1194" s="5">
        <f t="shared" si="1194"/>
        <v>276.383737</v>
      </c>
      <c r="J1194" s="5">
        <f t="shared" si="1194"/>
        <v>155.5153338</v>
      </c>
      <c r="K1194" s="5">
        <f t="shared" si="1194"/>
        <v>216.4137384</v>
      </c>
      <c r="L1194" s="7">
        <f t="shared" si="6"/>
        <v>-0.03036455143</v>
      </c>
    </row>
    <row r="1195" ht="15.75" customHeight="1">
      <c r="A1195" s="4">
        <f>IF(RETORNOS!A1195="","",RETORNOS!A1195)</f>
        <v>46149</v>
      </c>
      <c r="B1195" s="7">
        <f>IF(RETORNOS!B1195="","",OPTIMIZACION!$B$5*RETORNOS!B1195+OPTIMIZACION!$B$6*RETORNOS!C1195+OPTIMIZACION!$B$7*RETORNOS!D1195+OPTIMIZACION!$B$8*RETORNOS!E1195+OPTIMIZACION!$B$9*RETORNOS!F1195+OPTIMIZACION!$B$10*RETORNOS!G1195)</f>
        <v>-0.01771426572</v>
      </c>
      <c r="C1195" s="7">
        <f>IF(RETORNOS!H1195="","",RETORNOS!H1195)</f>
        <v>-0.01842105263</v>
      </c>
      <c r="D1195" s="7">
        <f>IF(RETORNOS!I1195="","",RETORNOS!I1195)</f>
        <v>-0.01290746007</v>
      </c>
      <c r="E1195" s="7">
        <f t="shared" si="2"/>
        <v>-0.01566425635</v>
      </c>
      <c r="F1195" s="7">
        <f t="shared" si="3"/>
        <v>0.0007067869101</v>
      </c>
      <c r="G1195" s="7">
        <f t="shared" si="4"/>
        <v>-0.002050009368</v>
      </c>
      <c r="H1195" s="5">
        <f t="shared" ref="H1195:K1195" si="1195">IF(B1195="","",H1194*(1+B1195))</f>
        <v>358.2058685</v>
      </c>
      <c r="I1195" s="5">
        <f t="shared" si="1195"/>
        <v>271.2924576</v>
      </c>
      <c r="J1195" s="5">
        <f t="shared" si="1195"/>
        <v>153.5080258</v>
      </c>
      <c r="K1195" s="5">
        <f t="shared" si="1195"/>
        <v>213.0237781</v>
      </c>
      <c r="L1195" s="7">
        <f t="shared" si="6"/>
        <v>-0.04754093142</v>
      </c>
    </row>
    <row r="1196" ht="15.75" customHeight="1">
      <c r="A1196" s="4">
        <f>IF(RETORNOS!A1196="","",RETORNOS!A1196)</f>
        <v>46150</v>
      </c>
      <c r="B1196" s="7">
        <f>IF(RETORNOS!B1196="","",OPTIMIZACION!$B$5*RETORNOS!B1196+OPTIMIZACION!$B$6*RETORNOS!C1196+OPTIMIZACION!$B$7*RETORNOS!D1196+OPTIMIZACION!$B$8*RETORNOS!E1196+OPTIMIZACION!$B$9*RETORNOS!F1196+OPTIMIZACION!$B$10*RETORNOS!G1196)</f>
        <v>-0.01230652701</v>
      </c>
      <c r="C1196" s="7">
        <f>IF(RETORNOS!H1196="","",RETORNOS!H1196)</f>
        <v>-0.004468275246</v>
      </c>
      <c r="D1196" s="7">
        <f>IF(RETORNOS!I1196="","",RETORNOS!I1196)</f>
        <v>-0.008865248227</v>
      </c>
      <c r="E1196" s="7">
        <f t="shared" si="2"/>
        <v>-0.006666761736</v>
      </c>
      <c r="F1196" s="7">
        <f t="shared" si="3"/>
        <v>-0.007838251769</v>
      </c>
      <c r="G1196" s="7">
        <f t="shared" si="4"/>
        <v>-0.005639765278</v>
      </c>
      <c r="H1196" s="5">
        <f t="shared" ref="H1196:K1196" si="1196">IF(B1196="","",H1195*(1+B1196))</f>
        <v>353.7975983</v>
      </c>
      <c r="I1196" s="5">
        <f t="shared" si="1196"/>
        <v>270.0802483</v>
      </c>
      <c r="J1196" s="5">
        <f t="shared" si="1196"/>
        <v>152.1471391</v>
      </c>
      <c r="K1196" s="5">
        <f t="shared" si="1196"/>
        <v>211.6035994</v>
      </c>
      <c r="L1196" s="7">
        <f t="shared" si="6"/>
        <v>-0.05926239468</v>
      </c>
    </row>
    <row r="1197" ht="15.75" customHeight="1">
      <c r="A1197" s="4">
        <f>IF(RETORNOS!A1197="","",RETORNOS!A1197)</f>
        <v>46153</v>
      </c>
      <c r="B1197" s="7">
        <f>IF(RETORNOS!B1197="","",OPTIMIZACION!$B$5*RETORNOS!B1197+OPTIMIZACION!$B$6*RETORNOS!C1197+OPTIMIZACION!$B$7*RETORNOS!D1197+OPTIMIZACION!$B$8*RETORNOS!E1197+OPTIMIZACION!$B$9*RETORNOS!F1197+OPTIMIZACION!$B$10*RETORNOS!G1197)</f>
        <v>0.03187623725</v>
      </c>
      <c r="C1197" s="7">
        <f>IF(RETORNOS!H1197="","",RETORNOS!H1197)</f>
        <v>0.02639138241</v>
      </c>
      <c r="D1197" s="7">
        <f>IF(RETORNOS!I1197="","",RETORNOS!I1197)</f>
        <v>0.00939177102</v>
      </c>
      <c r="E1197" s="7">
        <f t="shared" si="2"/>
        <v>0.01789157671</v>
      </c>
      <c r="F1197" s="7">
        <f t="shared" si="3"/>
        <v>0.005484854845</v>
      </c>
      <c r="G1197" s="7">
        <f t="shared" si="4"/>
        <v>0.01398466054</v>
      </c>
      <c r="H1197" s="5">
        <f t="shared" ref="H1197:K1197" si="1197">IF(B1197="","",H1196*(1+B1197))</f>
        <v>365.0753345</v>
      </c>
      <c r="I1197" s="5">
        <f t="shared" si="1197"/>
        <v>277.2080394</v>
      </c>
      <c r="J1197" s="5">
        <f t="shared" si="1197"/>
        <v>153.5760702</v>
      </c>
      <c r="K1197" s="5">
        <f t="shared" si="1197"/>
        <v>215.3895214</v>
      </c>
      <c r="L1197" s="7">
        <f t="shared" si="6"/>
        <v>-0.02927521958</v>
      </c>
    </row>
    <row r="1198" ht="15.75" customHeight="1">
      <c r="A1198" s="4">
        <f>IF(RETORNOS!A1198="","",RETORNOS!A1198)</f>
        <v>46154</v>
      </c>
      <c r="B1198" s="7">
        <f>IF(RETORNOS!B1198="","",OPTIMIZACION!$B$5*RETORNOS!B1198+OPTIMIZACION!$B$6*RETORNOS!C1198+OPTIMIZACION!$B$7*RETORNOS!D1198+OPTIMIZACION!$B$8*RETORNOS!E1198+OPTIMIZACION!$B$9*RETORNOS!F1198+OPTIMIZACION!$B$10*RETORNOS!G1198)</f>
        <v>-0.003468558342</v>
      </c>
      <c r="C1198" s="7">
        <f>IF(RETORNOS!H1198="","",RETORNOS!H1198)</f>
        <v>0.006996676579</v>
      </c>
      <c r="D1198" s="7">
        <f>IF(RETORNOS!I1198="","",RETORNOS!I1198)</f>
        <v>0.001107665042</v>
      </c>
      <c r="E1198" s="7">
        <f t="shared" si="2"/>
        <v>0.00405217081</v>
      </c>
      <c r="F1198" s="7">
        <f t="shared" si="3"/>
        <v>-0.01046523492</v>
      </c>
      <c r="G1198" s="7">
        <f t="shared" si="4"/>
        <v>-0.007520729152</v>
      </c>
      <c r="H1198" s="5">
        <f t="shared" ref="H1198:K1198" si="1198">IF(B1198="","",H1197*(1+B1198))</f>
        <v>363.8090494</v>
      </c>
      <c r="I1198" s="5">
        <f t="shared" si="1198"/>
        <v>279.1475744</v>
      </c>
      <c r="J1198" s="5">
        <f t="shared" si="1198"/>
        <v>153.746181</v>
      </c>
      <c r="K1198" s="5">
        <f t="shared" si="1198"/>
        <v>216.2623165</v>
      </c>
      <c r="L1198" s="7">
        <f t="shared" si="6"/>
        <v>-0.03264223511</v>
      </c>
    </row>
    <row r="1199" ht="15.75" customHeight="1">
      <c r="A1199" s="4">
        <f>IF(RETORNOS!A1199="","",RETORNOS!A1199)</f>
        <v>46155</v>
      </c>
      <c r="B1199" s="7">
        <f>IF(RETORNOS!B1199="","",OPTIMIZACION!$B$5*RETORNOS!B1199+OPTIMIZACION!$B$6*RETORNOS!C1199+OPTIMIZACION!$B$7*RETORNOS!D1199+OPTIMIZACION!$B$8*RETORNOS!E1199+OPTIMIZACION!$B$9*RETORNOS!F1199+OPTIMIZACION!$B$10*RETORNOS!G1199)</f>
        <v>-0.00141199013</v>
      </c>
      <c r="C1199" s="7">
        <f>IF(RETORNOS!H1199="","",RETORNOS!H1199)</f>
        <v>0.001042209484</v>
      </c>
      <c r="D1199" s="7">
        <f>IF(RETORNOS!I1199="","",RETORNOS!I1199)</f>
        <v>-0.01150697057</v>
      </c>
      <c r="E1199" s="7">
        <f t="shared" si="2"/>
        <v>-0.005232380542</v>
      </c>
      <c r="F1199" s="7">
        <f t="shared" si="3"/>
        <v>-0.002454199614</v>
      </c>
      <c r="G1199" s="7">
        <f t="shared" si="4"/>
        <v>0.003820390412</v>
      </c>
      <c r="H1199" s="5">
        <f t="shared" ref="H1199:K1199" si="1199">IF(B1199="","",H1198*(1+B1199))</f>
        <v>363.2953546</v>
      </c>
      <c r="I1199" s="5">
        <f t="shared" si="1199"/>
        <v>279.4385046</v>
      </c>
      <c r="J1199" s="5">
        <f t="shared" si="1199"/>
        <v>151.9770282</v>
      </c>
      <c r="K1199" s="5">
        <f t="shared" si="1199"/>
        <v>215.1307498</v>
      </c>
      <c r="L1199" s="7">
        <f t="shared" si="6"/>
        <v>-0.03400813473</v>
      </c>
    </row>
    <row r="1200" ht="15.75" customHeight="1">
      <c r="A1200" s="4">
        <f>IF(RETORNOS!A1200="","",RETORNOS!A1200)</f>
        <v>46156</v>
      </c>
      <c r="B1200" s="7">
        <f>IF(RETORNOS!B1200="","",OPTIMIZACION!$B$5*RETORNOS!B1200+OPTIMIZACION!$B$6*RETORNOS!C1200+OPTIMIZACION!$B$7*RETORNOS!D1200+OPTIMIZACION!$B$8*RETORNOS!E1200+OPTIMIZACION!$B$9*RETORNOS!F1200+OPTIMIZACION!$B$10*RETORNOS!G1200)</f>
        <v>0.009933136647</v>
      </c>
      <c r="C1200" s="7">
        <f>IF(RETORNOS!H1200="","",RETORNOS!H1200)</f>
        <v>0.007634912372</v>
      </c>
      <c r="D1200" s="7">
        <f>IF(RETORNOS!I1200="","",RETORNOS!I1200)</f>
        <v>0.005148869487</v>
      </c>
      <c r="E1200" s="7">
        <f t="shared" si="2"/>
        <v>0.00639189093</v>
      </c>
      <c r="F1200" s="7">
        <f t="shared" si="3"/>
        <v>0.002298224275</v>
      </c>
      <c r="G1200" s="7">
        <f t="shared" si="4"/>
        <v>0.003541245717</v>
      </c>
      <c r="H1200" s="5">
        <f t="shared" ref="H1200:K1200" si="1200">IF(B1200="","",H1199*(1+B1200))</f>
        <v>366.904017</v>
      </c>
      <c r="I1200" s="5">
        <f t="shared" si="1200"/>
        <v>281.5719931</v>
      </c>
      <c r="J1200" s="5">
        <f t="shared" si="1200"/>
        <v>152.7595381</v>
      </c>
      <c r="K1200" s="5">
        <f t="shared" si="1200"/>
        <v>216.5058421</v>
      </c>
      <c r="L1200" s="7">
        <f t="shared" si="6"/>
        <v>-0.02441280553</v>
      </c>
    </row>
    <row r="1201" ht="15.75" customHeight="1">
      <c r="A1201" s="4">
        <f>IF(RETORNOS!A1201="","",RETORNOS!A1201)</f>
        <v>46157</v>
      </c>
      <c r="B1201" s="7">
        <f>IF(RETORNOS!B1201="","",OPTIMIZACION!$B$5*RETORNOS!B1201+OPTIMIZACION!$B$6*RETORNOS!C1201+OPTIMIZACION!$B$7*RETORNOS!D1201+OPTIMIZACION!$B$8*RETORNOS!E1201+OPTIMIZACION!$B$9*RETORNOS!F1201+OPTIMIZACION!$B$10*RETORNOS!G1201)</f>
        <v>0.0006312910155</v>
      </c>
      <c r="C1201" s="7">
        <f>IF(RETORNOS!H1201="","",RETORNOS!H1201)</f>
        <v>0.02359221629</v>
      </c>
      <c r="D1201" s="7">
        <f>IF(RETORNOS!I1201="","",RETORNOS!I1201)</f>
        <v>-0.02293986637</v>
      </c>
      <c r="E1201" s="7">
        <f t="shared" si="2"/>
        <v>0.0003261749605</v>
      </c>
      <c r="F1201" s="7">
        <f t="shared" si="3"/>
        <v>-0.02296092528</v>
      </c>
      <c r="G1201" s="7">
        <f t="shared" si="4"/>
        <v>0.000305116055</v>
      </c>
      <c r="H1201" s="5">
        <f t="shared" ref="H1201:K1201" si="1201">IF(B1201="","",H1200*(1+B1201))</f>
        <v>367.1356402</v>
      </c>
      <c r="I1201" s="5">
        <f t="shared" si="1201"/>
        <v>288.2149005</v>
      </c>
      <c r="J1201" s="5">
        <f t="shared" si="1201"/>
        <v>149.2552547</v>
      </c>
      <c r="K1201" s="5">
        <f t="shared" si="1201"/>
        <v>216.5764609</v>
      </c>
      <c r="L1201" s="7">
        <f t="shared" si="6"/>
        <v>-0.0237969261</v>
      </c>
    </row>
    <row r="1202" ht="15.75" customHeight="1">
      <c r="A1202" s="4">
        <f>IF(RETORNOS!A1202="","",RETORNOS!A1202)</f>
        <v>46160</v>
      </c>
      <c r="B1202" s="7">
        <f>IF(RETORNOS!B1202="","",OPTIMIZACION!$B$5*RETORNOS!B1202+OPTIMIZACION!$B$6*RETORNOS!C1202+OPTIMIZACION!$B$7*RETORNOS!D1202+OPTIMIZACION!$B$8*RETORNOS!E1202+OPTIMIZACION!$B$9*RETORNOS!F1202+OPTIMIZACION!$B$10*RETORNOS!G1202)</f>
        <v>0.009377874378</v>
      </c>
      <c r="C1202" s="7">
        <f>IF(RETORNOS!H1202="","",RETORNOS!H1202)</f>
        <v>0.01917900404</v>
      </c>
      <c r="D1202" s="7">
        <f>IF(RETORNOS!I1202="","",RETORNOS!I1202)</f>
        <v>0.001595623433</v>
      </c>
      <c r="E1202" s="7">
        <f t="shared" si="2"/>
        <v>0.01038731374</v>
      </c>
      <c r="F1202" s="7">
        <f t="shared" si="3"/>
        <v>-0.00980112966</v>
      </c>
      <c r="G1202" s="7">
        <f t="shared" si="4"/>
        <v>-0.001009439357</v>
      </c>
      <c r="H1202" s="5">
        <f t="shared" ref="H1202:K1202" si="1202">IF(B1202="","",H1201*(1+B1202))</f>
        <v>370.5785921</v>
      </c>
      <c r="I1202" s="5">
        <f t="shared" si="1202"/>
        <v>293.7425752</v>
      </c>
      <c r="J1202" s="5">
        <f t="shared" si="1202"/>
        <v>149.4934099</v>
      </c>
      <c r="K1202" s="5">
        <f t="shared" si="1202"/>
        <v>218.8261085</v>
      </c>
      <c r="L1202" s="7">
        <f t="shared" si="6"/>
        <v>-0.01464221631</v>
      </c>
    </row>
    <row r="1203" ht="15.75" customHeight="1">
      <c r="A1203" s="4">
        <f>IF(RETORNOS!A1203="","",RETORNOS!A1203)</f>
        <v>46161</v>
      </c>
      <c r="B1203" s="7">
        <f>IF(RETORNOS!B1203="","",OPTIMIZACION!$B$5*RETORNOS!B1203+OPTIMIZACION!$B$6*RETORNOS!C1203+OPTIMIZACION!$B$7*RETORNOS!D1203+OPTIMIZACION!$B$8*RETORNOS!E1203+OPTIMIZACION!$B$9*RETORNOS!F1203+OPTIMIZACION!$B$10*RETORNOS!G1203)</f>
        <v>0.005661294886</v>
      </c>
      <c r="C1203" s="7">
        <f>IF(RETORNOS!H1203="","",RETORNOS!H1203)</f>
        <v>0.01172003962</v>
      </c>
      <c r="D1203" s="7">
        <f>IF(RETORNOS!I1203="","",RETORNOS!I1203)</f>
        <v>0.009103322713</v>
      </c>
      <c r="E1203" s="7">
        <f t="shared" si="2"/>
        <v>0.01041168116</v>
      </c>
      <c r="F1203" s="7">
        <f t="shared" si="3"/>
        <v>-0.006058744731</v>
      </c>
      <c r="G1203" s="7">
        <f t="shared" si="4"/>
        <v>-0.004750386279</v>
      </c>
      <c r="H1203" s="5">
        <f t="shared" ref="H1203:K1203" si="1203">IF(B1203="","",H1202*(1+B1203))</f>
        <v>372.6765468</v>
      </c>
      <c r="I1203" s="5">
        <f t="shared" si="1203"/>
        <v>297.1852498</v>
      </c>
      <c r="J1203" s="5">
        <f t="shared" si="1203"/>
        <v>150.8542967</v>
      </c>
      <c r="K1203" s="5">
        <f t="shared" si="1203"/>
        <v>221.1044562</v>
      </c>
      <c r="L1203" s="7">
        <f t="shared" si="6"/>
        <v>-0.009063815326</v>
      </c>
    </row>
    <row r="1204" ht="15.75" customHeight="1">
      <c r="A1204" s="4">
        <f>IF(RETORNOS!A1204="","",RETORNOS!A1204)</f>
        <v>46162</v>
      </c>
      <c r="B1204" s="7">
        <f>IF(RETORNOS!B1204="","",OPTIMIZACION!$B$5*RETORNOS!B1204+OPTIMIZACION!$B$6*RETORNOS!C1204+OPTIMIZACION!$B$7*RETORNOS!D1204+OPTIMIZACION!$B$8*RETORNOS!E1204+OPTIMIZACION!$B$9*RETORNOS!F1204+OPTIMIZACION!$B$10*RETORNOS!G1204)</f>
        <v>-0.007712101626</v>
      </c>
      <c r="C1204" s="7">
        <f>IF(RETORNOS!H1204="","",RETORNOS!H1204)</f>
        <v>-0.02431065427</v>
      </c>
      <c r="D1204" s="7">
        <f>IF(RETORNOS!I1204="","",RETORNOS!I1204)</f>
        <v>0.003834009923</v>
      </c>
      <c r="E1204" s="7">
        <f t="shared" si="2"/>
        <v>-0.01023832217</v>
      </c>
      <c r="F1204" s="7">
        <f t="shared" si="3"/>
        <v>0.01659855264</v>
      </c>
      <c r="G1204" s="7">
        <f t="shared" si="4"/>
        <v>0.002526220546</v>
      </c>
      <c r="H1204" s="5">
        <f t="shared" ref="H1204:K1204" si="1204">IF(B1204="","",H1203*(1+B1204))</f>
        <v>369.8024274</v>
      </c>
      <c r="I1204" s="5">
        <f t="shared" si="1204"/>
        <v>289.960482</v>
      </c>
      <c r="J1204" s="5">
        <f t="shared" si="1204"/>
        <v>151.4326735</v>
      </c>
      <c r="K1204" s="5">
        <f t="shared" si="1204"/>
        <v>218.8407175</v>
      </c>
      <c r="L1204" s="7">
        <f t="shared" si="6"/>
        <v>-0.01670601589</v>
      </c>
    </row>
    <row r="1205" ht="15.75" customHeight="1">
      <c r="A1205" s="4">
        <f>IF(RETORNOS!A1205="","",RETORNOS!A1205)</f>
        <v>46163</v>
      </c>
      <c r="B1205" s="7">
        <f>IF(RETORNOS!B1205="","",OPTIMIZACION!$B$5*RETORNOS!B1205+OPTIMIZACION!$B$6*RETORNOS!C1205+OPTIMIZACION!$B$7*RETORNOS!D1205+OPTIMIZACION!$B$8*RETORNOS!E1205+OPTIMIZACION!$B$9*RETORNOS!F1205+OPTIMIZACION!$B$10*RETORNOS!G1205)</f>
        <v>0.005002861191</v>
      </c>
      <c r="C1205" s="7">
        <f>IF(RETORNOS!H1205="","",RETORNOS!H1205)</f>
        <v>-0.01120401338</v>
      </c>
      <c r="D1205" s="7">
        <f>IF(RETORNOS!I1205="","",RETORNOS!I1205)</f>
        <v>0.01100876208</v>
      </c>
      <c r="E1205" s="7">
        <f t="shared" si="2"/>
        <v>-0.00009762565099</v>
      </c>
      <c r="F1205" s="7">
        <f t="shared" si="3"/>
        <v>0.01620687457</v>
      </c>
      <c r="G1205" s="7">
        <f t="shared" si="4"/>
        <v>0.005100486842</v>
      </c>
      <c r="H1205" s="5">
        <f t="shared" ref="H1205:K1205" si="1205">IF(B1205="","",H1204*(1+B1205))</f>
        <v>371.6524976</v>
      </c>
      <c r="I1205" s="5">
        <f t="shared" si="1205"/>
        <v>286.7117609</v>
      </c>
      <c r="J1205" s="5">
        <f t="shared" si="1205"/>
        <v>153.0997598</v>
      </c>
      <c r="K1205" s="5">
        <f t="shared" si="1205"/>
        <v>218.8193531</v>
      </c>
      <c r="L1205" s="7">
        <f t="shared" si="6"/>
        <v>-0.01178673258</v>
      </c>
    </row>
    <row r="1206" ht="15.75" customHeight="1">
      <c r="A1206" s="4">
        <f>IF(RETORNOS!A1206="","",RETORNOS!A1206)</f>
        <v>46164</v>
      </c>
      <c r="B1206" s="7">
        <f>IF(RETORNOS!B1206="","",OPTIMIZACION!$B$5*RETORNOS!B1206+OPTIMIZACION!$B$6*RETORNOS!C1206+OPTIMIZACION!$B$7*RETORNOS!D1206+OPTIMIZACION!$B$8*RETORNOS!E1206+OPTIMIZACION!$B$9*RETORNOS!F1206+OPTIMIZACION!$B$10*RETORNOS!G1206)</f>
        <v>0.01018412465</v>
      </c>
      <c r="C1206" s="7">
        <f>IF(RETORNOS!H1206="","",RETORNOS!H1206)</f>
        <v>0.006088280061</v>
      </c>
      <c r="D1206" s="7">
        <f>IF(RETORNOS!I1206="","",RETORNOS!I1206)</f>
        <v>0.007777777778</v>
      </c>
      <c r="E1206" s="7">
        <f t="shared" si="2"/>
        <v>0.006933028919</v>
      </c>
      <c r="F1206" s="7">
        <f t="shared" si="3"/>
        <v>0.004095844589</v>
      </c>
      <c r="G1206" s="7">
        <f t="shared" si="4"/>
        <v>0.00325109573</v>
      </c>
      <c r="H1206" s="5">
        <f t="shared" ref="H1206:K1206" si="1206">IF(B1206="","",H1205*(1+B1206))</f>
        <v>375.437453</v>
      </c>
      <c r="I1206" s="5">
        <f t="shared" si="1206"/>
        <v>288.4573424</v>
      </c>
      <c r="J1206" s="5">
        <f t="shared" si="1206"/>
        <v>154.2905357</v>
      </c>
      <c r="K1206" s="5">
        <f t="shared" si="1206"/>
        <v>220.336434</v>
      </c>
      <c r="L1206" s="7">
        <f t="shared" si="6"/>
        <v>-0.001722645479</v>
      </c>
    </row>
    <row r="1207" ht="15.75" customHeight="1">
      <c r="A1207" s="4">
        <f>IF(RETORNOS!A1207="","",RETORNOS!A1207)</f>
        <v>46168</v>
      </c>
      <c r="B1207" s="7">
        <f>IF(RETORNOS!B1207="","",OPTIMIZACION!$B$5*RETORNOS!B1207+OPTIMIZACION!$B$6*RETORNOS!C1207+OPTIMIZACION!$B$7*RETORNOS!D1207+OPTIMIZACION!$B$8*RETORNOS!E1207+OPTIMIZACION!$B$9*RETORNOS!F1207+OPTIMIZACION!$B$10*RETORNOS!G1207)</f>
        <v>-0.005305193182</v>
      </c>
      <c r="C1207" s="7">
        <f>IF(RETORNOS!H1207="","",RETORNOS!H1207)</f>
        <v>-0.02756765843</v>
      </c>
      <c r="D1207" s="7">
        <f>IF(RETORNOS!I1207="","",RETORNOS!I1207)</f>
        <v>-0.000441014333</v>
      </c>
      <c r="E1207" s="7">
        <f t="shared" si="2"/>
        <v>-0.01400433638</v>
      </c>
      <c r="F1207" s="7">
        <f t="shared" si="3"/>
        <v>0.02226246525</v>
      </c>
      <c r="G1207" s="7">
        <f t="shared" si="4"/>
        <v>0.0086991432</v>
      </c>
      <c r="H1207" s="5">
        <f t="shared" ref="H1207:K1207" si="1207">IF(B1207="","",H1206*(1+B1207))</f>
        <v>373.4456848</v>
      </c>
      <c r="I1207" s="5">
        <f t="shared" si="1207"/>
        <v>280.5052489</v>
      </c>
      <c r="J1207" s="5">
        <f t="shared" si="1207"/>
        <v>154.2224914</v>
      </c>
      <c r="K1207" s="5">
        <f t="shared" si="1207"/>
        <v>217.2507684</v>
      </c>
      <c r="L1207" s="7">
        <f t="shared" si="6"/>
        <v>-0.007018699694</v>
      </c>
    </row>
    <row r="1208" ht="15.75" customHeight="1">
      <c r="A1208" s="4">
        <f>IF(RETORNOS!A1208="","",RETORNOS!A1208)</f>
        <v>46169</v>
      </c>
      <c r="B1208" s="7">
        <f>IF(RETORNOS!B1208="","",OPTIMIZACION!$B$5*RETORNOS!B1208+OPTIMIZACION!$B$6*RETORNOS!C1208+OPTIMIZACION!$B$7*RETORNOS!D1208+OPTIMIZACION!$B$8*RETORNOS!E1208+OPTIMIZACION!$B$9*RETORNOS!F1208+OPTIMIZACION!$B$10*RETORNOS!G1208)</f>
        <v>-0.005002351911</v>
      </c>
      <c r="C1208" s="7">
        <f>IF(RETORNOS!H1208="","",RETORNOS!H1208)</f>
        <v>-0.01486603284</v>
      </c>
      <c r="D1208" s="7">
        <f>IF(RETORNOS!I1208="","",RETORNOS!I1208)</f>
        <v>-0.004191484668</v>
      </c>
      <c r="E1208" s="7">
        <f t="shared" si="2"/>
        <v>-0.009528758756</v>
      </c>
      <c r="F1208" s="7">
        <f t="shared" si="3"/>
        <v>0.009863680933</v>
      </c>
      <c r="G1208" s="7">
        <f t="shared" si="4"/>
        <v>0.004526406845</v>
      </c>
      <c r="H1208" s="5">
        <f t="shared" ref="H1208:K1208" si="1208">IF(B1208="","",H1207*(1+B1208))</f>
        <v>371.5775781</v>
      </c>
      <c r="I1208" s="5">
        <f t="shared" si="1208"/>
        <v>276.3352486</v>
      </c>
      <c r="J1208" s="5">
        <f t="shared" si="1208"/>
        <v>153.5760702</v>
      </c>
      <c r="K1208" s="5">
        <f t="shared" si="1208"/>
        <v>215.1806383</v>
      </c>
      <c r="L1208" s="7">
        <f t="shared" si="6"/>
        <v>-0.0119859416</v>
      </c>
    </row>
    <row r="1209" ht="15.75" customHeight="1">
      <c r="A1209" s="4">
        <f>IF(RETORNOS!A1209="","",RETORNOS!A1209)</f>
        <v>46170</v>
      </c>
      <c r="B1209" s="7">
        <f>IF(RETORNOS!B1209="","",OPTIMIZACION!$B$5*RETORNOS!B1209+OPTIMIZACION!$B$6*RETORNOS!C1209+OPTIMIZACION!$B$7*RETORNOS!D1209+OPTIMIZACION!$B$8*RETORNOS!E1209+OPTIMIZACION!$B$9*RETORNOS!F1209+OPTIMIZACION!$B$10*RETORNOS!G1209)</f>
        <v>-0.008391507749</v>
      </c>
      <c r="C1209" s="7">
        <f>IF(RETORNOS!H1209="","",RETORNOS!H1209)</f>
        <v>-0.0007018775224</v>
      </c>
      <c r="D1209" s="7">
        <f>IF(RETORNOS!I1209="","",RETORNOS!I1209)</f>
        <v>-0.01129818343</v>
      </c>
      <c r="E1209" s="7">
        <f t="shared" si="2"/>
        <v>-0.006000030476</v>
      </c>
      <c r="F1209" s="7">
        <f t="shared" si="3"/>
        <v>-0.007689630227</v>
      </c>
      <c r="G1209" s="7">
        <f t="shared" si="4"/>
        <v>-0.002391477273</v>
      </c>
      <c r="H1209" s="5">
        <f t="shared" ref="H1209:K1209" si="1209">IF(B1209="","",H1208*(1+B1209))</f>
        <v>368.4594819</v>
      </c>
      <c r="I1209" s="5">
        <f t="shared" si="1209"/>
        <v>276.1412951</v>
      </c>
      <c r="J1209" s="5">
        <f t="shared" si="1209"/>
        <v>151.8409396</v>
      </c>
      <c r="K1209" s="5">
        <f t="shared" si="1209"/>
        <v>213.8895479</v>
      </c>
      <c r="L1209" s="7">
        <f t="shared" si="6"/>
        <v>-0.02027686923</v>
      </c>
    </row>
    <row r="1210" ht="15.75" customHeight="1">
      <c r="A1210" s="4">
        <f>IF(RETORNOS!A1210="","",RETORNOS!A1210)</f>
        <v>46171</v>
      </c>
      <c r="B1210" s="7">
        <f>IF(RETORNOS!B1210="","",OPTIMIZACION!$B$5*RETORNOS!B1210+OPTIMIZACION!$B$6*RETORNOS!C1210+OPTIMIZACION!$B$7*RETORNOS!D1210+OPTIMIZACION!$B$8*RETORNOS!E1210+OPTIMIZACION!$B$9*RETORNOS!F1210+OPTIMIZACION!$B$10*RETORNOS!G1210)</f>
        <v>-0.007342858852</v>
      </c>
      <c r="C1210" s="7">
        <f>IF(RETORNOS!H1210="","",RETORNOS!H1210)</f>
        <v>-0.01158911326</v>
      </c>
      <c r="D1210" s="7">
        <f>IF(RETORNOS!I1210="","",RETORNOS!I1210)</f>
        <v>-0.004705355142</v>
      </c>
      <c r="E1210" s="7">
        <f t="shared" si="2"/>
        <v>-0.0081472342</v>
      </c>
      <c r="F1210" s="7">
        <f t="shared" si="3"/>
        <v>0.004246254406</v>
      </c>
      <c r="G1210" s="7">
        <f t="shared" si="4"/>
        <v>0.0008043753482</v>
      </c>
      <c r="H1210" s="5">
        <f t="shared" ref="H1210:K1210" si="1210">IF(B1210="","",H1209*(1+B1210))</f>
        <v>365.753936</v>
      </c>
      <c r="I1210" s="5">
        <f t="shared" si="1210"/>
        <v>272.9410624</v>
      </c>
      <c r="J1210" s="5">
        <f t="shared" si="1210"/>
        <v>151.126474</v>
      </c>
      <c r="K1210" s="5">
        <f t="shared" si="1210"/>
        <v>212.1469396</v>
      </c>
      <c r="L1210" s="7">
        <f t="shared" si="6"/>
        <v>-0.02747083789</v>
      </c>
    </row>
    <row r="1211" ht="15.75" customHeight="1">
      <c r="A1211" s="4">
        <f>IF(RETORNOS!A1211="","",RETORNOS!A1211)</f>
        <v>46174</v>
      </c>
      <c r="B1211" s="7">
        <f>IF(RETORNOS!B1211="","",OPTIMIZACION!$B$5*RETORNOS!B1211+OPTIMIZACION!$B$6*RETORNOS!C1211+OPTIMIZACION!$B$7*RETORNOS!D1211+OPTIMIZACION!$B$8*RETORNOS!E1211+OPTIMIZACION!$B$9*RETORNOS!F1211+OPTIMIZACION!$B$10*RETORNOS!G1211)</f>
        <v>-0.005173485253</v>
      </c>
      <c r="C1211" s="7">
        <f>IF(RETORNOS!H1211="","",RETORNOS!H1211)</f>
        <v>0.01794279623</v>
      </c>
      <c r="D1211" s="7">
        <f>IF(RETORNOS!I1211="","",RETORNOS!I1211)</f>
        <v>-0.02971634399</v>
      </c>
      <c r="E1211" s="7">
        <f t="shared" si="2"/>
        <v>-0.005886773878</v>
      </c>
      <c r="F1211" s="7">
        <f t="shared" si="3"/>
        <v>-0.02311628149</v>
      </c>
      <c r="G1211" s="7">
        <f t="shared" si="4"/>
        <v>0.0007132886245</v>
      </c>
      <c r="H1211" s="5">
        <f t="shared" ref="H1211:K1211" si="1211">IF(B1211="","",H1210*(1+B1211))</f>
        <v>363.8617134</v>
      </c>
      <c r="I1211" s="5">
        <f t="shared" si="1211"/>
        <v>277.8383882</v>
      </c>
      <c r="J1211" s="5">
        <f t="shared" si="1211"/>
        <v>146.6355477</v>
      </c>
      <c r="K1211" s="5">
        <f t="shared" si="1211"/>
        <v>210.8980786</v>
      </c>
      <c r="L1211" s="7">
        <f t="shared" si="6"/>
        <v>-0.03250220317</v>
      </c>
    </row>
    <row r="1212" ht="15.75" customHeight="1">
      <c r="A1212" s="4">
        <f>IF(RETORNOS!A1212="","",RETORNOS!A1212)</f>
        <v>46175</v>
      </c>
      <c r="B1212" s="7">
        <f>IF(RETORNOS!B1212="","",OPTIMIZACION!$B$5*RETORNOS!B1212+OPTIMIZACION!$B$6*RETORNOS!C1212+OPTIMIZACION!$B$7*RETORNOS!D1212+OPTIMIZACION!$B$8*RETORNOS!E1212+OPTIMIZACION!$B$9*RETORNOS!F1212+OPTIMIZACION!$B$10*RETORNOS!G1212)</f>
        <v>0.01558323542</v>
      </c>
      <c r="C1212" s="7">
        <f>IF(RETORNOS!H1212="","",RETORNOS!H1212)</f>
        <v>0.01151832461</v>
      </c>
      <c r="D1212" s="7">
        <f>IF(RETORNOS!I1212="","",RETORNOS!I1212)</f>
        <v>0.01856148492</v>
      </c>
      <c r="E1212" s="7">
        <f t="shared" si="2"/>
        <v>0.01503990476</v>
      </c>
      <c r="F1212" s="7">
        <f t="shared" si="3"/>
        <v>0.004064910817</v>
      </c>
      <c r="G1212" s="7">
        <f t="shared" si="4"/>
        <v>0.0005433306612</v>
      </c>
      <c r="H1212" s="5">
        <f t="shared" ref="H1212:K1212" si="1212">IF(B1212="","",H1211*(1+B1212))</f>
        <v>369.5318561</v>
      </c>
      <c r="I1212" s="5">
        <f t="shared" si="1212"/>
        <v>281.038621</v>
      </c>
      <c r="J1212" s="5">
        <f t="shared" si="1212"/>
        <v>149.3573212</v>
      </c>
      <c r="K1212" s="5">
        <f t="shared" si="1212"/>
        <v>214.0699656</v>
      </c>
      <c r="L1212" s="7">
        <f t="shared" si="6"/>
        <v>-0.01742545723</v>
      </c>
    </row>
    <row r="1213" ht="15.75" customHeight="1">
      <c r="A1213" s="4">
        <f>IF(RETORNOS!A1213="","",RETORNOS!A1213)</f>
        <v>46176</v>
      </c>
      <c r="B1213" s="7">
        <f>IF(RETORNOS!B1213="","",OPTIMIZACION!$B$5*RETORNOS!B1213+OPTIMIZACION!$B$6*RETORNOS!C1213+OPTIMIZACION!$B$7*RETORNOS!D1213+OPTIMIZACION!$B$8*RETORNOS!E1213+OPTIMIZACION!$B$9*RETORNOS!F1213+OPTIMIZACION!$B$10*RETORNOS!G1213)</f>
        <v>0.003369564702</v>
      </c>
      <c r="C1213" s="7">
        <f>IF(RETORNOS!H1213="","",RETORNOS!H1213)</f>
        <v>0.01293995859</v>
      </c>
      <c r="D1213" s="7">
        <f>IF(RETORNOS!I1213="","",RETORNOS!I1213)</f>
        <v>-0.004328018223</v>
      </c>
      <c r="E1213" s="7">
        <f t="shared" si="2"/>
        <v>0.004305970184</v>
      </c>
      <c r="F1213" s="7">
        <f t="shared" si="3"/>
        <v>-0.00957039389</v>
      </c>
      <c r="G1213" s="7">
        <f t="shared" si="4"/>
        <v>-0.0009364054825</v>
      </c>
      <c r="H1213" s="5">
        <f t="shared" ref="H1213:K1213" si="1213">IF(B1213="","",H1212*(1+B1213))</f>
        <v>370.7770176</v>
      </c>
      <c r="I1213" s="5">
        <f t="shared" si="1213"/>
        <v>284.6752491</v>
      </c>
      <c r="J1213" s="5">
        <f t="shared" si="1213"/>
        <v>148.7109</v>
      </c>
      <c r="K1213" s="5">
        <f t="shared" si="1213"/>
        <v>214.9917445</v>
      </c>
      <c r="L1213" s="7">
        <f t="shared" si="6"/>
        <v>-0.01411460873</v>
      </c>
    </row>
    <row r="1214" ht="15.75" customHeight="1">
      <c r="A1214" s="4">
        <f>IF(RETORNOS!A1214="","",RETORNOS!A1214)</f>
        <v>46177</v>
      </c>
      <c r="B1214" s="7">
        <f>IF(RETORNOS!B1214="","",OPTIMIZACION!$B$5*RETORNOS!B1214+OPTIMIZACION!$B$6*RETORNOS!C1214+OPTIMIZACION!$B$7*RETORNOS!D1214+OPTIMIZACION!$B$8*RETORNOS!E1214+OPTIMIZACION!$B$9*RETORNOS!F1214+OPTIMIZACION!$B$10*RETORNOS!G1214)</f>
        <v>0.00418624814</v>
      </c>
      <c r="C1214" s="7">
        <f>IF(RETORNOS!H1214="","",RETORNOS!H1214)</f>
        <v>0.0006813149378</v>
      </c>
      <c r="D1214" s="7">
        <f>IF(RETORNOS!I1214="","",RETORNOS!I1214)</f>
        <v>0.005261953786</v>
      </c>
      <c r="E1214" s="7">
        <f t="shared" si="2"/>
        <v>0.002971634362</v>
      </c>
      <c r="F1214" s="7">
        <f t="shared" si="3"/>
        <v>0.003504933202</v>
      </c>
      <c r="G1214" s="7">
        <f t="shared" si="4"/>
        <v>0.001214613778</v>
      </c>
      <c r="H1214" s="5">
        <f t="shared" ref="H1214:K1214" si="1214">IF(B1214="","",H1213*(1+B1214))</f>
        <v>372.3291822</v>
      </c>
      <c r="I1214" s="5">
        <f t="shared" si="1214"/>
        <v>284.8692026</v>
      </c>
      <c r="J1214" s="5">
        <f t="shared" si="1214"/>
        <v>149.4934099</v>
      </c>
      <c r="K1214" s="5">
        <f t="shared" si="1214"/>
        <v>215.6306213</v>
      </c>
      <c r="L1214" s="7">
        <f t="shared" si="6"/>
        <v>-0.009987447846</v>
      </c>
    </row>
    <row r="1215" ht="15.75" customHeight="1">
      <c r="A1215" s="4">
        <f>IF(RETORNOS!A1215="","",RETORNOS!A1215)</f>
        <v>46178</v>
      </c>
      <c r="B1215" s="7">
        <f>IF(RETORNOS!B1215="","",OPTIMIZACION!$B$5*RETORNOS!B1215+OPTIMIZACION!$B$6*RETORNOS!C1215+OPTIMIZACION!$B$7*RETORNOS!D1215+OPTIMIZACION!$B$8*RETORNOS!E1215+OPTIMIZACION!$B$9*RETORNOS!F1215+OPTIMIZACION!$B$10*RETORNOS!G1215)</f>
        <v>-0.01367827826</v>
      </c>
      <c r="C1215" s="7">
        <f>IF(RETORNOS!H1215="","",RETORNOS!H1215)</f>
        <v>-0.01838297872</v>
      </c>
      <c r="D1215" s="7">
        <f>IF(RETORNOS!I1215="","",RETORNOS!I1215)</f>
        <v>0.009330905781</v>
      </c>
      <c r="E1215" s="7">
        <f t="shared" si="2"/>
        <v>-0.004526036471</v>
      </c>
      <c r="F1215" s="7">
        <f t="shared" si="3"/>
        <v>0.004704700463</v>
      </c>
      <c r="G1215" s="7">
        <f t="shared" si="4"/>
        <v>-0.009152241789</v>
      </c>
      <c r="H1215" s="5">
        <f t="shared" ref="H1215:K1215" si="1215">IF(B1215="","",H1214*(1+B1215))</f>
        <v>367.2363601</v>
      </c>
      <c r="I1215" s="5">
        <f t="shared" si="1215"/>
        <v>279.6324581</v>
      </c>
      <c r="J1215" s="5">
        <f t="shared" si="1215"/>
        <v>150.8883188</v>
      </c>
      <c r="K1215" s="5">
        <f t="shared" si="1215"/>
        <v>214.6546693</v>
      </c>
      <c r="L1215" s="7">
        <f t="shared" si="6"/>
        <v>-0.02352911501</v>
      </c>
    </row>
    <row r="1216" ht="15.75" customHeight="1">
      <c r="A1216" s="4">
        <f>IF(RETORNOS!A1216="","",RETORNOS!A1216)</f>
        <v>46181</v>
      </c>
      <c r="B1216" s="7">
        <f>IF(RETORNOS!B1216="","",OPTIMIZACION!$B$5*RETORNOS!B1216+OPTIMIZACION!$B$6*RETORNOS!C1216+OPTIMIZACION!$B$7*RETORNOS!D1216+OPTIMIZACION!$B$8*RETORNOS!E1216+OPTIMIZACION!$B$9*RETORNOS!F1216+OPTIMIZACION!$B$10*RETORNOS!G1216)</f>
        <v>-0.0008975488656</v>
      </c>
      <c r="C1216" s="7">
        <f>IF(RETORNOS!H1216="","",RETORNOS!H1216)</f>
        <v>0.01144442518</v>
      </c>
      <c r="D1216" s="7">
        <f>IF(RETORNOS!I1216="","",RETORNOS!I1216)</f>
        <v>-0.01871476888</v>
      </c>
      <c r="E1216" s="7">
        <f t="shared" si="2"/>
        <v>-0.003635171853</v>
      </c>
      <c r="F1216" s="7">
        <f t="shared" si="3"/>
        <v>-0.01234197404</v>
      </c>
      <c r="G1216" s="7">
        <f t="shared" si="4"/>
        <v>0.002737622987</v>
      </c>
      <c r="H1216" s="5">
        <f t="shared" ref="H1216:K1216" si="1216">IF(B1216="","",H1215*(1+B1216))</f>
        <v>366.9067475</v>
      </c>
      <c r="I1216" s="5">
        <f t="shared" si="1216"/>
        <v>282.8326909</v>
      </c>
      <c r="J1216" s="5">
        <f t="shared" si="1216"/>
        <v>148.0644788</v>
      </c>
      <c r="K1216" s="5">
        <f t="shared" si="1216"/>
        <v>213.8743627</v>
      </c>
      <c r="L1216" s="7">
        <f t="shared" si="6"/>
        <v>-0.02440554535</v>
      </c>
    </row>
    <row r="1217" ht="15.75" customHeight="1">
      <c r="A1217" s="4">
        <f>IF(RETORNOS!A1217="","",RETORNOS!A1217)</f>
        <v>46182</v>
      </c>
      <c r="B1217" s="7">
        <f>IF(RETORNOS!B1217="","",OPTIMIZACION!$B$5*RETORNOS!B1217+OPTIMIZACION!$B$6*RETORNOS!C1217+OPTIMIZACION!$B$7*RETORNOS!D1217+OPTIMIZACION!$B$8*RETORNOS!E1217+OPTIMIZACION!$B$9*RETORNOS!F1217+OPTIMIZACION!$B$10*RETORNOS!G1217)</f>
        <v>-0.0007893007208</v>
      </c>
      <c r="C1217" s="7">
        <f>IF(RETORNOS!H1217="","",RETORNOS!H1217)</f>
        <v>-0.01611520658</v>
      </c>
      <c r="D1217" s="7">
        <f>IF(RETORNOS!I1217="","",RETORNOS!I1217)</f>
        <v>0.01056985294</v>
      </c>
      <c r="E1217" s="7">
        <f t="shared" si="2"/>
        <v>-0.002772676821</v>
      </c>
      <c r="F1217" s="7">
        <f t="shared" si="3"/>
        <v>0.01532590586</v>
      </c>
      <c r="G1217" s="7">
        <f t="shared" si="4"/>
        <v>0.0019833761</v>
      </c>
      <c r="H1217" s="5">
        <f t="shared" ref="H1217:K1217" si="1217">IF(B1217="","",H1216*(1+B1217))</f>
        <v>366.6171477</v>
      </c>
      <c r="I1217" s="5">
        <f t="shared" si="1217"/>
        <v>278.2747836</v>
      </c>
      <c r="J1217" s="5">
        <f t="shared" si="1217"/>
        <v>149.6294986</v>
      </c>
      <c r="K1217" s="5">
        <f t="shared" si="1217"/>
        <v>213.2813582</v>
      </c>
      <c r="L1217" s="7">
        <f t="shared" si="6"/>
        <v>-0.02517558276</v>
      </c>
    </row>
    <row r="1218" ht="15.75" customHeight="1">
      <c r="A1218" s="4">
        <f>IF(RETORNOS!A1218="","",RETORNOS!A1218)</f>
        <v>46183</v>
      </c>
      <c r="B1218" s="7">
        <f>IF(RETORNOS!B1218="","",OPTIMIZACION!$B$5*RETORNOS!B1218+OPTIMIZACION!$B$6*RETORNOS!C1218+OPTIMIZACION!$B$7*RETORNOS!D1218+OPTIMIZACION!$B$8*RETORNOS!E1218+OPTIMIZACION!$B$9*RETORNOS!F1218+OPTIMIZACION!$B$10*RETORNOS!G1218)</f>
        <v>-0.002937614493</v>
      </c>
      <c r="C1218" s="7">
        <f>IF(RETORNOS!H1218="","",RETORNOS!H1218)</f>
        <v>0.01498518906</v>
      </c>
      <c r="D1218" s="7">
        <f>IF(RETORNOS!I1218="","",RETORNOS!I1218)</f>
        <v>0.0004547521601</v>
      </c>
      <c r="E1218" s="7">
        <f t="shared" si="2"/>
        <v>0.007719970609</v>
      </c>
      <c r="F1218" s="7">
        <f t="shared" si="3"/>
        <v>-0.01792280355</v>
      </c>
      <c r="G1218" s="7">
        <f t="shared" si="4"/>
        <v>-0.0106575851</v>
      </c>
      <c r="H1218" s="5">
        <f t="shared" ref="H1218:K1218" si="1218">IF(B1218="","",H1217*(1+B1218))</f>
        <v>365.5401679</v>
      </c>
      <c r="I1218" s="5">
        <f t="shared" si="1218"/>
        <v>282.4447839</v>
      </c>
      <c r="J1218" s="5">
        <f t="shared" si="1218"/>
        <v>149.6975429</v>
      </c>
      <c r="K1218" s="5">
        <f t="shared" si="1218"/>
        <v>214.927884</v>
      </c>
      <c r="L1218" s="7">
        <f t="shared" si="6"/>
        <v>-0.02803924109</v>
      </c>
    </row>
    <row r="1219" ht="15.75" customHeight="1">
      <c r="A1219" s="4">
        <f>IF(RETORNOS!A1219="","",RETORNOS!A1219)</f>
        <v>46184</v>
      </c>
      <c r="B1219" s="7">
        <f>IF(RETORNOS!B1219="","",OPTIMIZACION!$B$5*RETORNOS!B1219+OPTIMIZACION!$B$6*RETORNOS!C1219+OPTIMIZACION!$B$7*RETORNOS!D1219+OPTIMIZACION!$B$8*RETORNOS!E1219+OPTIMIZACION!$B$9*RETORNOS!F1219+OPTIMIZACION!$B$10*RETORNOS!G1219)</f>
        <v>0.003895705936</v>
      </c>
      <c r="C1219" s="7">
        <f>IF(RETORNOS!H1219="","",RETORNOS!H1219)</f>
        <v>-0.01939914163</v>
      </c>
      <c r="D1219" s="7">
        <f>IF(RETORNOS!I1219="","",RETORNOS!I1219)</f>
        <v>0.001136363636</v>
      </c>
      <c r="E1219" s="7">
        <f t="shared" si="2"/>
        <v>-0.009131388997</v>
      </c>
      <c r="F1219" s="7">
        <f t="shared" si="3"/>
        <v>0.02329484757</v>
      </c>
      <c r="G1219" s="7">
        <f t="shared" si="4"/>
        <v>0.01302709493</v>
      </c>
      <c r="H1219" s="5">
        <f t="shared" ref="H1219:K1219" si="1219">IF(B1219="","",H1218*(1+B1219))</f>
        <v>366.9642049</v>
      </c>
      <c r="I1219" s="5">
        <f t="shared" si="1219"/>
        <v>276.9655975</v>
      </c>
      <c r="J1219" s="5">
        <f t="shared" si="1219"/>
        <v>149.8676538</v>
      </c>
      <c r="K1219" s="5">
        <f t="shared" si="1219"/>
        <v>212.9652939</v>
      </c>
      <c r="L1219" s="7">
        <f t="shared" si="6"/>
        <v>-0.02425276779</v>
      </c>
    </row>
    <row r="1220" ht="15.75" customHeight="1">
      <c r="A1220" s="4">
        <f>IF(RETORNOS!A1220="","",RETORNOS!A1220)</f>
        <v>46185</v>
      </c>
      <c r="B1220" s="7">
        <f>IF(RETORNOS!B1220="","",OPTIMIZACION!$B$5*RETORNOS!B1220+OPTIMIZACION!$B$6*RETORNOS!C1220+OPTIMIZACION!$B$7*RETORNOS!D1220+OPTIMIZACION!$B$8*RETORNOS!E1220+OPTIMIZACION!$B$9*RETORNOS!F1220+OPTIMIZACION!$B$10*RETORNOS!G1220)</f>
        <v>0.003672880577</v>
      </c>
      <c r="C1220" s="7">
        <f>IF(RETORNOS!H1220="","",RETORNOS!H1220)</f>
        <v>0.007528011204</v>
      </c>
      <c r="D1220" s="7">
        <f>IF(RETORNOS!I1220="","",RETORNOS!I1220)</f>
        <v>0.01089670829</v>
      </c>
      <c r="E1220" s="7">
        <f t="shared" si="2"/>
        <v>0.009212359745</v>
      </c>
      <c r="F1220" s="7">
        <f t="shared" si="3"/>
        <v>-0.003855130627</v>
      </c>
      <c r="G1220" s="7">
        <f t="shared" si="4"/>
        <v>-0.005539479168</v>
      </c>
      <c r="H1220" s="5">
        <f t="shared" ref="H1220:K1220" si="1220">IF(B1220="","",H1219*(1+B1220))</f>
        <v>368.3120206</v>
      </c>
      <c r="I1220" s="5">
        <f t="shared" si="1220"/>
        <v>279.0505976</v>
      </c>
      <c r="J1220" s="5">
        <f t="shared" si="1220"/>
        <v>151.5007179</v>
      </c>
      <c r="K1220" s="5">
        <f t="shared" si="1220"/>
        <v>214.9272068</v>
      </c>
      <c r="L1220" s="7">
        <f t="shared" si="6"/>
        <v>-0.02066896474</v>
      </c>
    </row>
    <row r="1221" ht="15.75" customHeight="1">
      <c r="A1221" s="4">
        <f>IF(RETORNOS!A1221="","",RETORNOS!A1221)</f>
        <v>46188</v>
      </c>
      <c r="B1221" s="7">
        <f>IF(RETORNOS!B1221="","",OPTIMIZACION!$B$5*RETORNOS!B1221+OPTIMIZACION!$B$6*RETORNOS!C1221+OPTIMIZACION!$B$7*RETORNOS!D1221+OPTIMIZACION!$B$8*RETORNOS!E1221+OPTIMIZACION!$B$9*RETORNOS!F1221+OPTIMIZACION!$B$10*RETORNOS!G1221)</f>
        <v>-0.01065729356</v>
      </c>
      <c r="C1221" s="7">
        <f>IF(RETORNOS!H1221="","",RETORNOS!H1221)</f>
        <v>-0.03475238923</v>
      </c>
      <c r="D1221" s="7">
        <f>IF(RETORNOS!I1221="","",RETORNOS!I1221)</f>
        <v>0.00471592185</v>
      </c>
      <c r="E1221" s="7">
        <f t="shared" si="2"/>
        <v>-0.01501823369</v>
      </c>
      <c r="F1221" s="7">
        <f t="shared" si="3"/>
        <v>0.02409509567</v>
      </c>
      <c r="G1221" s="7">
        <f t="shared" si="4"/>
        <v>0.004360940132</v>
      </c>
      <c r="H1221" s="5">
        <f t="shared" ref="H1221:K1221" si="1221">IF(B1221="","",H1220*(1+B1221))</f>
        <v>364.3868112</v>
      </c>
      <c r="I1221" s="5">
        <f t="shared" si="1221"/>
        <v>269.3529226</v>
      </c>
      <c r="J1221" s="5">
        <f t="shared" si="1221"/>
        <v>152.2151834</v>
      </c>
      <c r="K1221" s="5">
        <f t="shared" si="1221"/>
        <v>211.6993798</v>
      </c>
      <c r="L1221" s="7">
        <f t="shared" si="6"/>
        <v>-0.03110598307</v>
      </c>
    </row>
    <row r="1222" ht="15.75" customHeight="1">
      <c r="A1222" s="4">
        <f>IF(RETORNOS!A1222="","",RETORNOS!A1222)</f>
        <v>46189</v>
      </c>
      <c r="B1222" s="7">
        <f>IF(RETORNOS!B1222="","",OPTIMIZACION!$B$5*RETORNOS!B1222+OPTIMIZACION!$B$6*RETORNOS!C1222+OPTIMIZACION!$B$7*RETORNOS!D1222+OPTIMIZACION!$B$8*RETORNOS!E1222+OPTIMIZACION!$B$9*RETORNOS!F1222+OPTIMIZACION!$B$10*RETORNOS!G1222)</f>
        <v>0.003853511228</v>
      </c>
      <c r="C1222" s="7">
        <f>IF(RETORNOS!H1222="","",RETORNOS!H1222)</f>
        <v>-0.003420342034</v>
      </c>
      <c r="D1222" s="7">
        <f>IF(RETORNOS!I1222="","",RETORNOS!I1222)</f>
        <v>0.007152436299</v>
      </c>
      <c r="E1222" s="7">
        <f t="shared" si="2"/>
        <v>0.001866047132</v>
      </c>
      <c r="F1222" s="7">
        <f t="shared" si="3"/>
        <v>0.007273853262</v>
      </c>
      <c r="G1222" s="7">
        <f t="shared" si="4"/>
        <v>0.001987464096</v>
      </c>
      <c r="H1222" s="5">
        <f t="shared" ref="H1222:K1222" si="1222">IF(B1222="","",H1221*(1+B1222))</f>
        <v>365.7909799</v>
      </c>
      <c r="I1222" s="5">
        <f t="shared" si="1222"/>
        <v>268.4316435</v>
      </c>
      <c r="J1222" s="5">
        <f t="shared" si="1222"/>
        <v>153.3038928</v>
      </c>
      <c r="K1222" s="5">
        <f t="shared" si="1222"/>
        <v>212.0944208</v>
      </c>
      <c r="L1222" s="7">
        <f t="shared" si="6"/>
        <v>-0.0273723391</v>
      </c>
    </row>
    <row r="1223" ht="15.75" customHeight="1">
      <c r="A1223" s="4">
        <f>IF(RETORNOS!A1223="","",RETORNOS!A1223)</f>
        <v>46190</v>
      </c>
      <c r="B1223" s="7">
        <f>IF(RETORNOS!B1223="","",OPTIMIZACION!$B$5*RETORNOS!B1223+OPTIMIZACION!$B$6*RETORNOS!C1223+OPTIMIZACION!$B$7*RETORNOS!D1223+OPTIMIZACION!$B$8*RETORNOS!E1223+OPTIMIZACION!$B$9*RETORNOS!F1223+OPTIMIZACION!$B$10*RETORNOS!G1223)</f>
        <v>-0.007484838658</v>
      </c>
      <c r="C1223" s="7">
        <f>IF(RETORNOS!H1223="","",RETORNOS!H1223)</f>
        <v>-0.01246387283</v>
      </c>
      <c r="D1223" s="7">
        <f>IF(RETORNOS!I1223="","",RETORNOS!I1223)</f>
        <v>-0.01331557923</v>
      </c>
      <c r="E1223" s="7">
        <f t="shared" si="2"/>
        <v>-0.01288972603</v>
      </c>
      <c r="F1223" s="7">
        <f t="shared" si="3"/>
        <v>0.004979034174</v>
      </c>
      <c r="G1223" s="7">
        <f t="shared" si="4"/>
        <v>0.005404887372</v>
      </c>
      <c r="H1223" s="5">
        <f t="shared" ref="H1223:K1223" si="1223">IF(B1223="","",H1222*(1+B1223))</f>
        <v>363.0530934</v>
      </c>
      <c r="I1223" s="5">
        <f t="shared" si="1223"/>
        <v>265.0859456</v>
      </c>
      <c r="J1223" s="5">
        <f t="shared" si="1223"/>
        <v>151.2625627</v>
      </c>
      <c r="K1223" s="5">
        <f t="shared" si="1223"/>
        <v>209.3605818</v>
      </c>
      <c r="L1223" s="7">
        <f t="shared" si="6"/>
        <v>-0.03465230021</v>
      </c>
    </row>
    <row r="1224" ht="15.75" customHeight="1">
      <c r="A1224" s="4">
        <f>IF(RETORNOS!A1224="","",RETORNOS!A1224)</f>
        <v>46191</v>
      </c>
      <c r="B1224" s="7">
        <f>IF(RETORNOS!B1224="","",OPTIMIZACION!$B$5*RETORNOS!B1224+OPTIMIZACION!$B$6*RETORNOS!C1224+OPTIMIZACION!$B$7*RETORNOS!D1224+OPTIMIZACION!$B$8*RETORNOS!E1224+OPTIMIZACION!$B$9*RETORNOS!F1224+OPTIMIZACION!$B$10*RETORNOS!G1224)</f>
        <v>0.006829673804</v>
      </c>
      <c r="C1224" s="7">
        <f>IF(RETORNOS!H1224="","",RETORNOS!H1224)</f>
        <v>-0.01646241083</v>
      </c>
      <c r="D1224" s="7">
        <f>IF(RETORNOS!I1224="","",RETORNOS!I1224)</f>
        <v>0.006747638327</v>
      </c>
      <c r="E1224" s="7">
        <f t="shared" si="2"/>
        <v>-0.004857386251</v>
      </c>
      <c r="F1224" s="7">
        <f t="shared" si="3"/>
        <v>0.02329208463</v>
      </c>
      <c r="G1224" s="7">
        <f t="shared" si="4"/>
        <v>0.01168706006</v>
      </c>
      <c r="H1224" s="5">
        <f t="shared" ref="H1224:K1224" si="1224">IF(B1224="","",H1223*(1+B1224))</f>
        <v>365.5326276</v>
      </c>
      <c r="I1224" s="5">
        <f t="shared" si="1224"/>
        <v>260.7219919</v>
      </c>
      <c r="J1224" s="5">
        <f t="shared" si="1224"/>
        <v>152.2832278</v>
      </c>
      <c r="K1224" s="5">
        <f t="shared" si="1224"/>
        <v>208.3436366</v>
      </c>
      <c r="L1224" s="7">
        <f t="shared" si="6"/>
        <v>-0.02805929032</v>
      </c>
    </row>
    <row r="1225" ht="15.75" customHeight="1">
      <c r="A1225" s="4">
        <f>IF(RETORNOS!A1225="","",RETORNOS!A1225)</f>
        <v>46195</v>
      </c>
      <c r="B1225" s="7">
        <f>IF(RETORNOS!B1225="","",OPTIMIZACION!$B$5*RETORNOS!B1225+OPTIMIZACION!$B$6*RETORNOS!C1225+OPTIMIZACION!$B$7*RETORNOS!D1225+OPTIMIZACION!$B$8*RETORNOS!E1225+OPTIMIZACION!$B$9*RETORNOS!F1225+OPTIMIZACION!$B$10*RETORNOS!G1225)</f>
        <v>0.01063857568</v>
      </c>
      <c r="C1225" s="7">
        <f>IF(RETORNOS!H1225="","",RETORNOS!H1225)</f>
        <v>0.005393342012</v>
      </c>
      <c r="D1225" s="7">
        <f>IF(RETORNOS!I1225="","",RETORNOS!I1225)</f>
        <v>-0.0008936550492</v>
      </c>
      <c r="E1225" s="7">
        <f t="shared" si="2"/>
        <v>0.002249843482</v>
      </c>
      <c r="F1225" s="7">
        <f t="shared" si="3"/>
        <v>0.005245233666</v>
      </c>
      <c r="G1225" s="7">
        <f t="shared" si="4"/>
        <v>0.008388732197</v>
      </c>
      <c r="H1225" s="5">
        <f t="shared" ref="H1225:K1225" si="1225">IF(B1225="","",H1224*(1+B1225))</f>
        <v>369.4213742</v>
      </c>
      <c r="I1225" s="5">
        <f t="shared" si="1225"/>
        <v>262.1281548</v>
      </c>
      <c r="J1225" s="5">
        <f t="shared" si="1225"/>
        <v>152.1471391</v>
      </c>
      <c r="K1225" s="5">
        <f t="shared" si="1225"/>
        <v>208.8123772</v>
      </c>
      <c r="L1225" s="7">
        <f t="shared" si="6"/>
        <v>-0.01771922552</v>
      </c>
    </row>
    <row r="1226" ht="15.75" customHeight="1">
      <c r="A1226" s="4">
        <f>IF(RETORNOS!A1226="","",RETORNOS!A1226)</f>
        <v>46196</v>
      </c>
      <c r="B1226" s="7">
        <f>IF(RETORNOS!B1226="","",OPTIMIZACION!$B$5*RETORNOS!B1226+OPTIMIZACION!$B$6*RETORNOS!C1226+OPTIMIZACION!$B$7*RETORNOS!D1226+OPTIMIZACION!$B$8*RETORNOS!E1226+OPTIMIZACION!$B$9*RETORNOS!F1226+OPTIMIZACION!$B$10*RETORNOS!G1226)</f>
        <v>-0.004271164388</v>
      </c>
      <c r="C1226" s="7">
        <f>IF(RETORNOS!H1226="","",RETORNOS!H1226)</f>
        <v>0.00739918609</v>
      </c>
      <c r="D1226" s="7">
        <f>IF(RETORNOS!I1226="","",RETORNOS!I1226)</f>
        <v>0.00782647585</v>
      </c>
      <c r="E1226" s="7">
        <f t="shared" si="2"/>
        <v>0.00761283097</v>
      </c>
      <c r="F1226" s="7">
        <f t="shared" si="3"/>
        <v>-0.01167035048</v>
      </c>
      <c r="G1226" s="7">
        <f t="shared" si="4"/>
        <v>-0.01188399536</v>
      </c>
      <c r="H1226" s="5">
        <f t="shared" ref="H1226:K1226" si="1226">IF(B1226="","",H1225*(1+B1226))</f>
        <v>367.8435148</v>
      </c>
      <c r="I1226" s="5">
        <f t="shared" si="1226"/>
        <v>264.0676898</v>
      </c>
      <c r="J1226" s="5">
        <f t="shared" si="1226"/>
        <v>153.337915</v>
      </c>
      <c r="K1226" s="5">
        <f t="shared" si="1226"/>
        <v>210.4020305</v>
      </c>
      <c r="L1226" s="7">
        <f t="shared" si="6"/>
        <v>-0.02191470818</v>
      </c>
    </row>
    <row r="1227" ht="15.75" customHeight="1">
      <c r="A1227" s="4">
        <f>IF(RETORNOS!A1227="","",RETORNOS!A1227)</f>
        <v>46197</v>
      </c>
      <c r="B1227" s="7">
        <f>IF(RETORNOS!B1227="","",OPTIMIZACION!$B$5*RETORNOS!B1227+OPTIMIZACION!$B$6*RETORNOS!C1227+OPTIMIZACION!$B$7*RETORNOS!D1227+OPTIMIZACION!$B$8*RETORNOS!E1227+OPTIMIZACION!$B$9*RETORNOS!F1227+OPTIMIZACION!$B$10*RETORNOS!G1227)</f>
        <v>-0.007525872007</v>
      </c>
      <c r="C1227" s="7">
        <f>IF(RETORNOS!H1227="","",RETORNOS!H1227)</f>
        <v>-0.01634226956</v>
      </c>
      <c r="D1227" s="7">
        <f>IF(RETORNOS!I1227="","",RETORNOS!I1227)</f>
        <v>0.01042822276</v>
      </c>
      <c r="E1227" s="7">
        <f t="shared" si="2"/>
        <v>-0.002957023396</v>
      </c>
      <c r="F1227" s="7">
        <f t="shared" si="3"/>
        <v>0.008816397549</v>
      </c>
      <c r="G1227" s="7">
        <f t="shared" si="4"/>
        <v>-0.004568848611</v>
      </c>
      <c r="H1227" s="5">
        <f t="shared" ref="H1227:K1227" si="1227">IF(B1227="","",H1226*(1+B1227))</f>
        <v>365.0751715</v>
      </c>
      <c r="I1227" s="5">
        <f t="shared" si="1227"/>
        <v>259.7522244</v>
      </c>
      <c r="J1227" s="5">
        <f t="shared" si="1227"/>
        <v>154.9369569</v>
      </c>
      <c r="K1227" s="5">
        <f t="shared" si="1227"/>
        <v>209.7798668</v>
      </c>
      <c r="L1227" s="7">
        <f t="shared" si="6"/>
        <v>-0.0292756529</v>
      </c>
    </row>
    <row r="1228" ht="15.75" customHeight="1">
      <c r="A1228" s="4">
        <f>IF(RETORNOS!A1228="","",RETORNOS!A1228)</f>
        <v>46198</v>
      </c>
      <c r="B1228" s="7">
        <f>IF(RETORNOS!B1228="","",OPTIMIZACION!$B$5*RETORNOS!B1228+OPTIMIZACION!$B$6*RETORNOS!C1228+OPTIMIZACION!$B$7*RETORNOS!D1228+OPTIMIZACION!$B$8*RETORNOS!E1228+OPTIMIZACION!$B$9*RETORNOS!F1228+OPTIMIZACION!$B$10*RETORNOS!G1228)</f>
        <v>0.01299430339</v>
      </c>
      <c r="C1228" s="7">
        <f>IF(RETORNOS!H1228="","",RETORNOS!H1228)</f>
        <v>0.009706925518</v>
      </c>
      <c r="D1228" s="7">
        <f>IF(RETORNOS!I1228="","",RETORNOS!I1228)</f>
        <v>0.006807202459</v>
      </c>
      <c r="E1228" s="7">
        <f t="shared" si="2"/>
        <v>0.008257063989</v>
      </c>
      <c r="F1228" s="7">
        <f t="shared" si="3"/>
        <v>0.003287377874</v>
      </c>
      <c r="G1228" s="7">
        <f t="shared" si="4"/>
        <v>0.004737239403</v>
      </c>
      <c r="H1228" s="5">
        <f t="shared" ref="H1228:K1228" si="1228">IF(B1228="","",H1227*(1+B1228))</f>
        <v>369.8190691</v>
      </c>
      <c r="I1228" s="5">
        <f t="shared" si="1228"/>
        <v>262.2736199</v>
      </c>
      <c r="J1228" s="5">
        <f t="shared" si="1228"/>
        <v>155.9916442</v>
      </c>
      <c r="K1228" s="5">
        <f t="shared" si="1228"/>
        <v>211.5120326</v>
      </c>
      <c r="L1228" s="7">
        <f t="shared" si="6"/>
        <v>-0.01666176623</v>
      </c>
    </row>
    <row r="1229" ht="15.75" customHeight="1">
      <c r="A1229" s="4">
        <f>IF(RETORNOS!A1229="","",RETORNOS!A1229)</f>
        <v>46199</v>
      </c>
      <c r="B1229" s="7">
        <f>IF(RETORNOS!B1229="","",OPTIMIZACION!$B$5*RETORNOS!B1229+OPTIMIZACION!$B$6*RETORNOS!C1229+OPTIMIZACION!$B$7*RETORNOS!D1229+OPTIMIZACION!$B$8*RETORNOS!E1229+OPTIMIZACION!$B$9*RETORNOS!F1229+OPTIMIZACION!$B$10*RETORNOS!G1229)</f>
        <v>-0.005156292314</v>
      </c>
      <c r="C1229" s="7">
        <f>IF(RETORNOS!H1229="","",RETORNOS!H1229)</f>
        <v>-0.004621926419</v>
      </c>
      <c r="D1229" s="7">
        <f>IF(RETORNOS!I1229="","",RETORNOS!I1229)</f>
        <v>0.007633587786</v>
      </c>
      <c r="E1229" s="7">
        <f t="shared" si="2"/>
        <v>0.001505830684</v>
      </c>
      <c r="F1229" s="7">
        <f t="shared" si="3"/>
        <v>-0.0005343658947</v>
      </c>
      <c r="G1229" s="7">
        <f t="shared" si="4"/>
        <v>-0.006662122997</v>
      </c>
      <c r="H1229" s="5">
        <f t="shared" ref="H1229:K1229" si="1229">IF(B1229="","",H1228*(1+B1229))</f>
        <v>367.9121739</v>
      </c>
      <c r="I1229" s="5">
        <f t="shared" si="1229"/>
        <v>261.0614105</v>
      </c>
      <c r="J1229" s="5">
        <f t="shared" si="1229"/>
        <v>157.1824201</v>
      </c>
      <c r="K1229" s="5">
        <f t="shared" si="1229"/>
        <v>211.8305339</v>
      </c>
      <c r="L1229" s="7">
        <f t="shared" si="6"/>
        <v>-0.0217321456</v>
      </c>
    </row>
    <row r="1230" ht="15.75" customHeight="1">
      <c r="A1230" s="4">
        <f>IF(RETORNOS!A1230="","",RETORNOS!A1230)</f>
        <v>46202</v>
      </c>
      <c r="B1230" s="7">
        <f>IF(RETORNOS!B1230="","",OPTIMIZACION!$B$5*RETORNOS!B1230+OPTIMIZACION!$B$6*RETORNOS!C1230+OPTIMIZACION!$B$7*RETORNOS!D1230+OPTIMIZACION!$B$8*RETORNOS!E1230+OPTIMIZACION!$B$9*RETORNOS!F1230+OPTIMIZACION!$B$10*RETORNOS!G1230)</f>
        <v>-0.008744395117</v>
      </c>
      <c r="C1230" s="7">
        <f>IF(RETORNOS!H1230="","",RETORNOS!H1230)</f>
        <v>-0.004829123328</v>
      </c>
      <c r="D1230" s="7">
        <f>IF(RETORNOS!I1230="","",RETORNOS!I1230)</f>
        <v>-0.003896103896</v>
      </c>
      <c r="E1230" s="7">
        <f t="shared" si="2"/>
        <v>-0.004362613612</v>
      </c>
      <c r="F1230" s="7">
        <f t="shared" si="3"/>
        <v>-0.003915271789</v>
      </c>
      <c r="G1230" s="7">
        <f t="shared" si="4"/>
        <v>-0.004381781505</v>
      </c>
      <c r="H1230" s="5">
        <f t="shared" ref="H1230:K1230" si="1230">IF(B1230="","",H1229*(1+B1230))</f>
        <v>364.6950044</v>
      </c>
      <c r="I1230" s="5">
        <f t="shared" si="1230"/>
        <v>259.8007128</v>
      </c>
      <c r="J1230" s="5">
        <f t="shared" si="1230"/>
        <v>156.570021</v>
      </c>
      <c r="K1230" s="5">
        <f t="shared" si="1230"/>
        <v>210.9063991</v>
      </c>
      <c r="L1230" s="7">
        <f t="shared" si="6"/>
        <v>-0.03028650625</v>
      </c>
    </row>
    <row r="1231" ht="15.75" customHeight="1">
      <c r="A1231" s="4">
        <f>IF(RETORNOS!A1231="","",RETORNOS!A1231)</f>
        <v>46203</v>
      </c>
      <c r="B1231" s="7">
        <f>IF(RETORNOS!B1231="","",OPTIMIZACION!$B$5*RETORNOS!B1231+OPTIMIZACION!$B$6*RETORNOS!C1231+OPTIMIZACION!$B$7*RETORNOS!D1231+OPTIMIZACION!$B$8*RETORNOS!E1231+OPTIMIZACION!$B$9*RETORNOS!F1231+OPTIMIZACION!$B$10*RETORNOS!G1231)</f>
        <v>-0.0008416501088</v>
      </c>
      <c r="C1231" s="7">
        <f>IF(RETORNOS!H1231="","",RETORNOS!H1231)</f>
        <v>-0.008771929825</v>
      </c>
      <c r="D1231" s="7">
        <f>IF(RETORNOS!I1231="","",RETORNOS!I1231)</f>
        <v>-0.01477618427</v>
      </c>
      <c r="E1231" s="7">
        <f t="shared" si="2"/>
        <v>-0.01177405705</v>
      </c>
      <c r="F1231" s="7">
        <f t="shared" si="3"/>
        <v>0.007930279716</v>
      </c>
      <c r="G1231" s="7">
        <f t="shared" si="4"/>
        <v>0.01093240694</v>
      </c>
      <c r="H1231" s="5">
        <f t="shared" ref="H1231:K1231" si="1231">IF(B1231="","",H1230*(1+B1231))</f>
        <v>364.3880589</v>
      </c>
      <c r="I1231" s="5">
        <f t="shared" si="1231"/>
        <v>257.5217592</v>
      </c>
      <c r="J1231" s="5">
        <f t="shared" si="1231"/>
        <v>154.2565135</v>
      </c>
      <c r="K1231" s="5">
        <f t="shared" si="1231"/>
        <v>208.4231751</v>
      </c>
      <c r="L1231" s="7">
        <f t="shared" si="6"/>
        <v>-0.03110266572</v>
      </c>
    </row>
    <row r="1232" ht="15.75" customHeight="1">
      <c r="A1232" s="4">
        <f>IF(RETORNOS!A1232="","",RETORNOS!A1232)</f>
        <v>46204</v>
      </c>
      <c r="B1232" s="7">
        <f>IF(RETORNOS!B1232="","",OPTIMIZACION!$B$5*RETORNOS!B1232+OPTIMIZACION!$B$6*RETORNOS!C1232+OPTIMIZACION!$B$7*RETORNOS!D1232+OPTIMIZACION!$B$8*RETORNOS!E1232+OPTIMIZACION!$B$9*RETORNOS!F1232+OPTIMIZACION!$B$10*RETORNOS!G1232)</f>
        <v>-0.01438027991</v>
      </c>
      <c r="C1232" s="7">
        <f>IF(RETORNOS!H1232="","",RETORNOS!H1232)</f>
        <v>-0.005648653738</v>
      </c>
      <c r="D1232" s="7">
        <f>IF(RETORNOS!I1232="","",RETORNOS!I1232)</f>
        <v>-0.01257168064</v>
      </c>
      <c r="E1232" s="7">
        <f t="shared" si="2"/>
        <v>-0.009110167186</v>
      </c>
      <c r="F1232" s="7">
        <f t="shared" si="3"/>
        <v>-0.008731626171</v>
      </c>
      <c r="G1232" s="7">
        <f t="shared" si="4"/>
        <v>-0.005270112722</v>
      </c>
      <c r="H1232" s="5">
        <f t="shared" ref="H1232:K1232" si="1232">IF(B1232="","",H1231*(1+B1232))</f>
        <v>359.1480566</v>
      </c>
      <c r="I1232" s="5">
        <f t="shared" si="1232"/>
        <v>256.0671079</v>
      </c>
      <c r="J1232" s="5">
        <f t="shared" si="1232"/>
        <v>152.3172499</v>
      </c>
      <c r="K1232" s="5">
        <f t="shared" si="1232"/>
        <v>206.5244051</v>
      </c>
      <c r="L1232" s="7">
        <f t="shared" si="6"/>
        <v>-0.04503568059</v>
      </c>
    </row>
    <row r="1233" ht="15.75" customHeight="1">
      <c r="A1233" s="4">
        <f>IF(RETORNOS!A1233="","",RETORNOS!A1233)</f>
        <v>46205</v>
      </c>
      <c r="B1233" s="7">
        <f>IF(RETORNOS!B1233="","",OPTIMIZACION!$B$5*RETORNOS!B1233+OPTIMIZACION!$B$6*RETORNOS!C1233+OPTIMIZACION!$B$7*RETORNOS!D1233+OPTIMIZACION!$B$8*RETORNOS!E1233+OPTIMIZACION!$B$9*RETORNOS!F1233+OPTIMIZACION!$B$10*RETORNOS!G1233)</f>
        <v>0.004051868059</v>
      </c>
      <c r="C1233" s="7">
        <f>IF(RETORNOS!H1233="","",RETORNOS!H1233)</f>
        <v>0.007763681121</v>
      </c>
      <c r="D1233" s="7">
        <f>IF(RETORNOS!I1233="","",RETORNOS!I1233)</f>
        <v>0.02211302211</v>
      </c>
      <c r="E1233" s="7">
        <f t="shared" si="2"/>
        <v>0.01493835162</v>
      </c>
      <c r="F1233" s="7">
        <f t="shared" si="3"/>
        <v>-0.003711813062</v>
      </c>
      <c r="G1233" s="7">
        <f t="shared" si="4"/>
        <v>-0.01088648356</v>
      </c>
      <c r="H1233" s="5">
        <f t="shared" ref="H1233:K1233" si="1233">IF(B1233="","",H1232*(1+B1233))</f>
        <v>360.6032771</v>
      </c>
      <c r="I1233" s="5">
        <f t="shared" si="1233"/>
        <v>258.0551313</v>
      </c>
      <c r="J1233" s="5">
        <f t="shared" si="1233"/>
        <v>155.6854446</v>
      </c>
      <c r="K1233" s="5">
        <f t="shared" si="1233"/>
        <v>209.6095393</v>
      </c>
      <c r="L1233" s="7">
        <f t="shared" si="6"/>
        <v>-0.04116629116</v>
      </c>
    </row>
    <row r="1234" ht="15.75" customHeight="1">
      <c r="A1234" s="4">
        <f>IF(RETORNOS!A1234="","",RETORNOS!A1234)</f>
        <v>46209</v>
      </c>
      <c r="B1234" s="7">
        <f>IF(RETORNOS!B1234="","",OPTIMIZACION!$B$5*RETORNOS!B1234+OPTIMIZACION!$B$6*RETORNOS!C1234+OPTIMIZACION!$B$7*RETORNOS!D1234+OPTIMIZACION!$B$8*RETORNOS!E1234+OPTIMIZACION!$B$9*RETORNOS!F1234+OPTIMIZACION!$B$10*RETORNOS!G1234)</f>
        <v>0.004559493991</v>
      </c>
      <c r="C1234" s="7">
        <f>IF(RETORNOS!H1234="","",RETORNOS!H1234)</f>
        <v>-0.001691093574</v>
      </c>
      <c r="D1234" s="7">
        <f>IF(RETORNOS!I1234="","",RETORNOS!I1234)</f>
        <v>-0.01005244755</v>
      </c>
      <c r="E1234" s="7">
        <f t="shared" si="2"/>
        <v>-0.005871770563</v>
      </c>
      <c r="F1234" s="7">
        <f t="shared" si="3"/>
        <v>0.006250587565</v>
      </c>
      <c r="G1234" s="7">
        <f t="shared" si="4"/>
        <v>0.01043126455</v>
      </c>
      <c r="H1234" s="5">
        <f t="shared" ref="H1234:K1234" si="1234">IF(B1234="","",H1233*(1+B1234))</f>
        <v>362.2474456</v>
      </c>
      <c r="I1234" s="5">
        <f t="shared" si="1234"/>
        <v>257.6187359</v>
      </c>
      <c r="J1234" s="5">
        <f t="shared" si="1234"/>
        <v>154.1204249</v>
      </c>
      <c r="K1234" s="5">
        <f t="shared" si="1234"/>
        <v>208.3787602</v>
      </c>
      <c r="L1234" s="7">
        <f t="shared" si="6"/>
        <v>-0.03679449463</v>
      </c>
    </row>
    <row r="1235" ht="15.75" customHeight="1">
      <c r="A1235" s="4">
        <f>IF(RETORNOS!A1235="","",RETORNOS!A1235)</f>
        <v>46210</v>
      </c>
      <c r="B1235" s="7">
        <f>IF(RETORNOS!B1235="","",OPTIMIZACION!$B$5*RETORNOS!B1235+OPTIMIZACION!$B$6*RETORNOS!C1235+OPTIMIZACION!$B$7*RETORNOS!D1235+OPTIMIZACION!$B$8*RETORNOS!E1235+OPTIMIZACION!$B$9*RETORNOS!F1235+OPTIMIZACION!$B$10*RETORNOS!G1235)</f>
        <v>0.0161636553</v>
      </c>
      <c r="C1235" s="7">
        <f>IF(RETORNOS!H1235="","",RETORNOS!H1235)</f>
        <v>0.02842085451</v>
      </c>
      <c r="D1235" s="7">
        <f>IF(RETORNOS!I1235="","",RETORNOS!I1235)</f>
        <v>0.008830022075</v>
      </c>
      <c r="E1235" s="7">
        <f t="shared" si="2"/>
        <v>0.01862543829</v>
      </c>
      <c r="F1235" s="7">
        <f t="shared" si="3"/>
        <v>-0.01225719921</v>
      </c>
      <c r="G1235" s="7">
        <f t="shared" si="4"/>
        <v>-0.002461782996</v>
      </c>
      <c r="H1235" s="5">
        <f t="shared" ref="H1235:K1235" si="1235">IF(B1235="","",H1234*(1+B1235))</f>
        <v>368.1026884</v>
      </c>
      <c r="I1235" s="5">
        <f t="shared" si="1235"/>
        <v>264.9404805</v>
      </c>
      <c r="J1235" s="5">
        <f t="shared" si="1235"/>
        <v>155.4813116</v>
      </c>
      <c r="K1235" s="5">
        <f t="shared" si="1235"/>
        <v>212.2599059</v>
      </c>
      <c r="L1235" s="7">
        <f t="shared" si="6"/>
        <v>-0.02122557286</v>
      </c>
    </row>
    <row r="1236" ht="15.75" customHeight="1">
      <c r="A1236" s="4">
        <f>IF(RETORNOS!A1236="","",RETORNOS!A1236)</f>
        <v>46211</v>
      </c>
      <c r="B1236" s="7">
        <f>IF(RETORNOS!B1236="","",OPTIMIZACION!$B$5*RETORNOS!B1236+OPTIMIZACION!$B$6*RETORNOS!C1236+OPTIMIZACION!$B$7*RETORNOS!D1236+OPTIMIZACION!$B$8*RETORNOS!E1236+OPTIMIZACION!$B$9*RETORNOS!F1236+OPTIMIZACION!$B$10*RETORNOS!G1236)</f>
        <v>-0.0007902909906</v>
      </c>
      <c r="C1236" s="7">
        <f>IF(RETORNOS!H1236="","",RETORNOS!H1236)</f>
        <v>0.01756954612</v>
      </c>
      <c r="D1236" s="7">
        <f>IF(RETORNOS!I1236="","",RETORNOS!I1236)</f>
        <v>-0.007439824945</v>
      </c>
      <c r="E1236" s="7">
        <f t="shared" si="2"/>
        <v>0.005064860587</v>
      </c>
      <c r="F1236" s="7">
        <f t="shared" si="3"/>
        <v>-0.01835983711</v>
      </c>
      <c r="G1236" s="7">
        <f t="shared" si="4"/>
        <v>-0.005855151578</v>
      </c>
      <c r="H1236" s="5">
        <f t="shared" ref="H1236:K1236" si="1236">IF(B1236="","",H1235*(1+B1236))</f>
        <v>367.8117802</v>
      </c>
      <c r="I1236" s="5">
        <f t="shared" si="1236"/>
        <v>269.5953645</v>
      </c>
      <c r="J1236" s="5">
        <f t="shared" si="1236"/>
        <v>154.3245579</v>
      </c>
      <c r="K1236" s="5">
        <f t="shared" si="1236"/>
        <v>213.3349728</v>
      </c>
      <c r="L1236" s="7">
        <f t="shared" si="6"/>
        <v>-0.02199908947</v>
      </c>
    </row>
    <row r="1237" ht="15.75" customHeight="1">
      <c r="A1237" s="4">
        <f>IF(RETORNOS!A1237="","",RETORNOS!A1237)</f>
        <v>46212</v>
      </c>
      <c r="B1237" s="7">
        <f>IF(RETORNOS!B1237="","",OPTIMIZACION!$B$5*RETORNOS!B1237+OPTIMIZACION!$B$6*RETORNOS!C1237+OPTIMIZACION!$B$7*RETORNOS!D1237+OPTIMIZACION!$B$8*RETORNOS!E1237+OPTIMIZACION!$B$9*RETORNOS!F1237+OPTIMIZACION!$B$10*RETORNOS!G1237)</f>
        <v>-0.007346539036</v>
      </c>
      <c r="C1237" s="7">
        <f>IF(RETORNOS!H1237="","",RETORNOS!H1237)</f>
        <v>-0.01402877698</v>
      </c>
      <c r="D1237" s="7">
        <f>IF(RETORNOS!I1237="","",RETORNOS!I1237)</f>
        <v>-0.005070546737</v>
      </c>
      <c r="E1237" s="7">
        <f t="shared" si="2"/>
        <v>-0.009549661858</v>
      </c>
      <c r="F1237" s="7">
        <f t="shared" si="3"/>
        <v>0.006682237943</v>
      </c>
      <c r="G1237" s="7">
        <f t="shared" si="4"/>
        <v>0.002203122822</v>
      </c>
      <c r="H1237" s="5">
        <f t="shared" ref="H1237:K1237" si="1237">IF(B1237="","",H1236*(1+B1237))</f>
        <v>365.1096366</v>
      </c>
      <c r="I1237" s="5">
        <f t="shared" si="1237"/>
        <v>265.8132713</v>
      </c>
      <c r="J1237" s="5">
        <f t="shared" si="1237"/>
        <v>153.542048</v>
      </c>
      <c r="K1237" s="5">
        <f t="shared" si="1237"/>
        <v>211.2976959</v>
      </c>
      <c r="L1237" s="7">
        <f t="shared" si="6"/>
        <v>-0.02918401134</v>
      </c>
    </row>
    <row r="1238" ht="15.75" customHeight="1">
      <c r="A1238" s="4">
        <f>IF(RETORNOS!A1238="","",RETORNOS!A1238)</f>
        <v>46213</v>
      </c>
      <c r="B1238" s="7">
        <f>IF(RETORNOS!B1238="","",OPTIMIZACION!$B$5*RETORNOS!B1238+OPTIMIZACION!$B$6*RETORNOS!C1238+OPTIMIZACION!$B$7*RETORNOS!D1238+OPTIMIZACION!$B$8*RETORNOS!E1238+OPTIMIZACION!$B$9*RETORNOS!F1238+OPTIMIZACION!$B$10*RETORNOS!G1238)</f>
        <v>0.004660852372</v>
      </c>
      <c r="C1238" s="7">
        <f>IF(RETORNOS!H1238="","",RETORNOS!H1238)</f>
        <v>0.004742794601</v>
      </c>
      <c r="D1238" s="7">
        <f>IF(RETORNOS!I1238="","",RETORNOS!I1238)</f>
        <v>0.006204298693</v>
      </c>
      <c r="E1238" s="7">
        <f t="shared" si="2"/>
        <v>0.005473546647</v>
      </c>
      <c r="F1238" s="7">
        <f t="shared" si="3"/>
        <v>-0.00008194222853</v>
      </c>
      <c r="G1238" s="7">
        <f t="shared" si="4"/>
        <v>-0.0008126942746</v>
      </c>
      <c r="H1238" s="5">
        <f t="shared" ref="H1238:K1238" si="1238">IF(B1238="","",H1237*(1+B1238))</f>
        <v>366.8113587</v>
      </c>
      <c r="I1238" s="5">
        <f t="shared" si="1238"/>
        <v>267.073969</v>
      </c>
      <c r="J1238" s="5">
        <f t="shared" si="1238"/>
        <v>154.4946687</v>
      </c>
      <c r="K1238" s="5">
        <f t="shared" si="1238"/>
        <v>212.4542437</v>
      </c>
      <c r="L1238" s="7">
        <f t="shared" si="6"/>
        <v>-0.02465918134</v>
      </c>
    </row>
    <row r="1239" ht="15.75" customHeight="1">
      <c r="A1239" s="4">
        <f>IF(RETORNOS!A1239="","",RETORNOS!A1239)</f>
        <v>46216</v>
      </c>
      <c r="B1239" s="7">
        <f>IF(RETORNOS!B1239="","",OPTIMIZACION!$B$5*RETORNOS!B1239+OPTIMIZACION!$B$6*RETORNOS!C1239+OPTIMIZACION!$B$7*RETORNOS!D1239+OPTIMIZACION!$B$8*RETORNOS!E1239+OPTIMIZACION!$B$9*RETORNOS!F1239+OPTIMIZACION!$B$10*RETORNOS!G1239)</f>
        <v>0.01337221836</v>
      </c>
      <c r="C1239" s="7">
        <f>IF(RETORNOS!H1239="","",RETORNOS!H1239)</f>
        <v>0.03013798112</v>
      </c>
      <c r="D1239" s="7">
        <f>IF(RETORNOS!I1239="","",RETORNOS!I1239)</f>
        <v>0.006826690156</v>
      </c>
      <c r="E1239" s="7">
        <f t="shared" si="2"/>
        <v>0.01848233564</v>
      </c>
      <c r="F1239" s="7">
        <f t="shared" si="3"/>
        <v>-0.01676576276</v>
      </c>
      <c r="G1239" s="7">
        <f t="shared" si="4"/>
        <v>-0.005110117282</v>
      </c>
      <c r="H1239" s="5">
        <f t="shared" ref="H1239:K1239" si="1239">IF(B1239="","",H1238*(1+B1239))</f>
        <v>371.7164403</v>
      </c>
      <c r="I1239" s="5">
        <f t="shared" si="1239"/>
        <v>275.1230393</v>
      </c>
      <c r="J1239" s="5">
        <f t="shared" si="1239"/>
        <v>155.549356</v>
      </c>
      <c r="K1239" s="5">
        <f t="shared" si="1239"/>
        <v>216.3808944</v>
      </c>
      <c r="L1239" s="7">
        <f t="shared" si="6"/>
        <v>-0.01161671094</v>
      </c>
    </row>
    <row r="1240" ht="15.75" customHeight="1">
      <c r="A1240" s="4">
        <f>IF(RETORNOS!A1240="","",RETORNOS!A1240)</f>
        <v>46217</v>
      </c>
      <c r="B1240" s="7">
        <f>IF(RETORNOS!B1240="","",OPTIMIZACION!$B$5*RETORNOS!B1240+OPTIMIZACION!$B$6*RETORNOS!C1240+OPTIMIZACION!$B$7*RETORNOS!D1240+OPTIMIZACION!$B$8*RETORNOS!E1240+OPTIMIZACION!$B$9*RETORNOS!F1240+OPTIMIZACION!$B$10*RETORNOS!G1240)</f>
        <v>0.007711670812</v>
      </c>
      <c r="C1240" s="7">
        <f>IF(RETORNOS!H1240="","",RETORNOS!H1240)</f>
        <v>0.003701092704</v>
      </c>
      <c r="D1240" s="7">
        <f>IF(RETORNOS!I1240="","",RETORNOS!I1240)</f>
        <v>-0.000656167979</v>
      </c>
      <c r="E1240" s="7">
        <f t="shared" si="2"/>
        <v>0.001522462362</v>
      </c>
      <c r="F1240" s="7">
        <f t="shared" si="3"/>
        <v>0.004010578108</v>
      </c>
      <c r="G1240" s="7">
        <f t="shared" si="4"/>
        <v>0.006189208449</v>
      </c>
      <c r="H1240" s="5">
        <f t="shared" ref="H1240:K1240" si="1240">IF(B1240="","",H1239*(1+B1240))</f>
        <v>374.5829951</v>
      </c>
      <c r="I1240" s="5">
        <f t="shared" si="1240"/>
        <v>276.1412951</v>
      </c>
      <c r="J1240" s="5">
        <f t="shared" si="1240"/>
        <v>155.4472895</v>
      </c>
      <c r="K1240" s="5">
        <f t="shared" si="1240"/>
        <v>216.7103261</v>
      </c>
      <c r="L1240" s="7">
        <f t="shared" si="6"/>
        <v>-0.003994624378</v>
      </c>
    </row>
    <row r="1241" ht="15.75" customHeight="1">
      <c r="A1241" s="4">
        <f>IF(RETORNOS!A1241="","",RETORNOS!A1241)</f>
        <v>46218</v>
      </c>
      <c r="B1241" s="7">
        <f>IF(RETORNOS!B1241="","",OPTIMIZACION!$B$5*RETORNOS!B1241+OPTIMIZACION!$B$6*RETORNOS!C1241+OPTIMIZACION!$B$7*RETORNOS!D1241+OPTIMIZACION!$B$8*RETORNOS!E1241+OPTIMIZACION!$B$9*RETORNOS!F1241+OPTIMIZACION!$B$10*RETORNOS!G1241)</f>
        <v>-0.007334475802</v>
      </c>
      <c r="C1241" s="7">
        <f>IF(RETORNOS!H1241="","",RETORNOS!H1241)</f>
        <v>-0.00790166813</v>
      </c>
      <c r="D1241" s="7">
        <f>IF(RETORNOS!I1241="","",RETORNOS!I1241)</f>
        <v>-0.01028671482</v>
      </c>
      <c r="E1241" s="7">
        <f t="shared" si="2"/>
        <v>-0.009094191474</v>
      </c>
      <c r="F1241" s="7">
        <f t="shared" si="3"/>
        <v>0.0005671923284</v>
      </c>
      <c r="G1241" s="7">
        <f t="shared" si="4"/>
        <v>0.001759715672</v>
      </c>
      <c r="H1241" s="5">
        <f t="shared" ref="H1241:K1241" si="1241">IF(B1241="","",H1240*(1+B1241))</f>
        <v>371.8356252</v>
      </c>
      <c r="I1241" s="5">
        <f t="shared" si="1241"/>
        <v>273.9593183</v>
      </c>
      <c r="J1241" s="5">
        <f t="shared" si="1241"/>
        <v>153.8482475</v>
      </c>
      <c r="K1241" s="5">
        <f t="shared" si="1241"/>
        <v>214.7395209</v>
      </c>
      <c r="L1241" s="7">
        <f t="shared" si="6"/>
        <v>-0.0112998017</v>
      </c>
    </row>
    <row r="1242" ht="15.75" customHeight="1">
      <c r="A1242" s="4">
        <f>IF(RETORNOS!A1242="","",RETORNOS!A1242)</f>
        <v>46219</v>
      </c>
      <c r="B1242" s="7">
        <f>IF(RETORNOS!B1242="","",OPTIMIZACION!$B$5*RETORNOS!B1242+OPTIMIZACION!$B$6*RETORNOS!C1242+OPTIMIZACION!$B$7*RETORNOS!D1242+OPTIMIZACION!$B$8*RETORNOS!E1242+OPTIMIZACION!$B$9*RETORNOS!F1242+OPTIMIZACION!$B$10*RETORNOS!G1242)</f>
        <v>-0.00508938525</v>
      </c>
      <c r="C1242" s="7">
        <f>IF(RETORNOS!H1242="","",RETORNOS!H1242)</f>
        <v>0.009203539823</v>
      </c>
      <c r="D1242" s="7">
        <f>IF(RETORNOS!I1242="","",RETORNOS!I1242)</f>
        <v>0.0055285272</v>
      </c>
      <c r="E1242" s="7">
        <f t="shared" si="2"/>
        <v>0.007366033512</v>
      </c>
      <c r="F1242" s="7">
        <f t="shared" si="3"/>
        <v>-0.01429292507</v>
      </c>
      <c r="G1242" s="7">
        <f t="shared" si="4"/>
        <v>-0.01245541876</v>
      </c>
      <c r="H1242" s="5">
        <f t="shared" ref="H1242:K1242" si="1242">IF(B1242="","",H1241*(1+B1242))</f>
        <v>369.9432105</v>
      </c>
      <c r="I1242" s="5">
        <f t="shared" si="1242"/>
        <v>276.4807137</v>
      </c>
      <c r="J1242" s="5">
        <f t="shared" si="1242"/>
        <v>154.6988017</v>
      </c>
      <c r="K1242" s="5">
        <f t="shared" si="1242"/>
        <v>216.3212994</v>
      </c>
      <c r="L1242" s="7">
        <f t="shared" si="6"/>
        <v>-0.01633167791</v>
      </c>
    </row>
    <row r="1243" ht="15.75" customHeight="1">
      <c r="A1243" s="4">
        <f>IF(RETORNOS!A1243="","",RETORNOS!A1243)</f>
        <v>46220</v>
      </c>
      <c r="B1243" s="7">
        <f>IF(RETORNOS!B1243="","",OPTIMIZACION!$B$5*RETORNOS!B1243+OPTIMIZACION!$B$6*RETORNOS!C1243+OPTIMIZACION!$B$7*RETORNOS!D1243+OPTIMIZACION!$B$8*RETORNOS!E1243+OPTIMIZACION!$B$9*RETORNOS!F1243+OPTIMIZACION!$B$10*RETORNOS!G1243)</f>
        <v>0.002163692023</v>
      </c>
      <c r="C1243" s="7">
        <f>IF(RETORNOS!H1243="","",RETORNOS!H1243)</f>
        <v>0.011574886</v>
      </c>
      <c r="D1243" s="7">
        <f>IF(RETORNOS!I1243="","",RETORNOS!I1243)</f>
        <v>-0.006597756763</v>
      </c>
      <c r="E1243" s="7">
        <f t="shared" si="2"/>
        <v>0.002488564621</v>
      </c>
      <c r="F1243" s="7">
        <f t="shared" si="3"/>
        <v>-0.009411193982</v>
      </c>
      <c r="G1243" s="7">
        <f t="shared" si="4"/>
        <v>-0.000324872598</v>
      </c>
      <c r="H1243" s="5">
        <f t="shared" ref="H1243:K1243" si="1243">IF(B1243="","",H1242*(1+B1243))</f>
        <v>370.7436536</v>
      </c>
      <c r="I1243" s="5">
        <f t="shared" si="1243"/>
        <v>279.6809465</v>
      </c>
      <c r="J1243" s="5">
        <f t="shared" si="1243"/>
        <v>153.6781367</v>
      </c>
      <c r="K1243" s="5">
        <f t="shared" si="1243"/>
        <v>216.859629</v>
      </c>
      <c r="L1243" s="7">
        <f t="shared" si="6"/>
        <v>-0.01420332261</v>
      </c>
    </row>
    <row r="1244" ht="15.75" customHeight="1">
      <c r="A1244" s="4">
        <f>IF(RETORNOS!A1244="","",RETORNOS!A1244)</f>
        <v>46223</v>
      </c>
      <c r="B1244" s="7">
        <f>IF(RETORNOS!B1244="","",OPTIMIZACION!$B$5*RETORNOS!B1244+OPTIMIZACION!$B$6*RETORNOS!C1244+OPTIMIZACION!$B$7*RETORNOS!D1244+OPTIMIZACION!$B$8*RETORNOS!E1244+OPTIMIZACION!$B$9*RETORNOS!F1244+OPTIMIZACION!$B$10*RETORNOS!G1244)</f>
        <v>0.005144181614</v>
      </c>
      <c r="C1244" s="7">
        <f>IF(RETORNOS!H1244="","",RETORNOS!H1244)</f>
        <v>0.004507628294</v>
      </c>
      <c r="D1244" s="7">
        <f>IF(RETORNOS!I1244="","",RETORNOS!I1244)</f>
        <v>-0.005091875138</v>
      </c>
      <c r="E1244" s="7">
        <f t="shared" si="2"/>
        <v>-0.0002921234222</v>
      </c>
      <c r="F1244" s="7">
        <f t="shared" si="3"/>
        <v>0.00063655332</v>
      </c>
      <c r="G1244" s="7">
        <f t="shared" si="4"/>
        <v>0.005436305036</v>
      </c>
      <c r="H1244" s="5">
        <f t="shared" ref="H1244:K1244" si="1244">IF(B1244="","",H1243*(1+B1244))</f>
        <v>372.6508263</v>
      </c>
      <c r="I1244" s="5">
        <f t="shared" si="1244"/>
        <v>280.9416442</v>
      </c>
      <c r="J1244" s="5">
        <f t="shared" si="1244"/>
        <v>152.8956268</v>
      </c>
      <c r="K1244" s="5">
        <f t="shared" si="1244"/>
        <v>216.7962792</v>
      </c>
      <c r="L1244" s="7">
        <f t="shared" si="6"/>
        <v>-0.009132205465</v>
      </c>
    </row>
    <row r="1245" ht="15.75" customHeight="1">
      <c r="A1245" s="4">
        <f>IF(RETORNOS!A1245="","",RETORNOS!A1245)</f>
        <v>46224</v>
      </c>
      <c r="B1245" s="7">
        <f>IF(RETORNOS!B1245="","",OPTIMIZACION!$B$5*RETORNOS!B1245+OPTIMIZACION!$B$6*RETORNOS!C1245+OPTIMIZACION!$B$7*RETORNOS!D1245+OPTIMIZACION!$B$8*RETORNOS!E1245+OPTIMIZACION!$B$9*RETORNOS!F1245+OPTIMIZACION!$B$10*RETORNOS!G1245)</f>
        <v>0.006768244884</v>
      </c>
      <c r="C1245" s="7">
        <f>IF(RETORNOS!H1245="","",RETORNOS!H1245)</f>
        <v>0.009665170866</v>
      </c>
      <c r="D1245" s="7">
        <f>IF(RETORNOS!I1245="","",RETORNOS!I1245)</f>
        <v>-0.0004450378282</v>
      </c>
      <c r="E1245" s="7">
        <f t="shared" si="2"/>
        <v>0.004610066519</v>
      </c>
      <c r="F1245" s="7">
        <f t="shared" si="3"/>
        <v>-0.002896925982</v>
      </c>
      <c r="G1245" s="7">
        <f t="shared" si="4"/>
        <v>0.002158178365</v>
      </c>
      <c r="H1245" s="5">
        <f t="shared" ref="H1245:K1245" si="1245">IF(B1245="","",H1244*(1+B1245))</f>
        <v>375.1730184</v>
      </c>
      <c r="I1245" s="5">
        <f t="shared" si="1245"/>
        <v>283.6569932</v>
      </c>
      <c r="J1245" s="5">
        <f t="shared" si="1245"/>
        <v>152.8275825</v>
      </c>
      <c r="K1245" s="5">
        <f t="shared" si="1245"/>
        <v>217.7957245</v>
      </c>
      <c r="L1245" s="7">
        <f t="shared" si="6"/>
        <v>-0.002425769583</v>
      </c>
    </row>
    <row r="1246" ht="15.75" customHeight="1">
      <c r="A1246" s="4">
        <f>IF(RETORNOS!A1246="","",RETORNOS!A1246)</f>
        <v>46225</v>
      </c>
      <c r="B1246" s="7">
        <f>IF(RETORNOS!B1246="","",OPTIMIZACION!$B$5*RETORNOS!B1246+OPTIMIZACION!$B$6*RETORNOS!C1246+OPTIMIZACION!$B$7*RETORNOS!D1246+OPTIMIZACION!$B$8*RETORNOS!E1246+OPTIMIZACION!$B$9*RETORNOS!F1246+OPTIMIZACION!$B$10*RETORNOS!G1246)</f>
        <v>0.01878864164</v>
      </c>
      <c r="C1246" s="7">
        <f>IF(RETORNOS!H1246="","",RETORNOS!H1246)</f>
        <v>0.01196581197</v>
      </c>
      <c r="D1246" s="7">
        <f>IF(RETORNOS!I1246="","",RETORNOS!I1246)</f>
        <v>0.02248441674</v>
      </c>
      <c r="E1246" s="7">
        <f t="shared" si="2"/>
        <v>0.01722511435</v>
      </c>
      <c r="F1246" s="7">
        <f t="shared" si="3"/>
        <v>0.006822829672</v>
      </c>
      <c r="G1246" s="7">
        <f t="shared" si="4"/>
        <v>0.001563527284</v>
      </c>
      <c r="H1246" s="5">
        <f t="shared" ref="H1246:K1246" si="1246">IF(B1246="","",H1245*(1+B1246))</f>
        <v>382.2220098</v>
      </c>
      <c r="I1246" s="5">
        <f t="shared" si="1246"/>
        <v>287.0511795</v>
      </c>
      <c r="J1246" s="5">
        <f t="shared" si="1246"/>
        <v>156.2638215</v>
      </c>
      <c r="K1246" s="5">
        <f t="shared" si="1246"/>
        <v>221.5472807</v>
      </c>
      <c r="L1246" s="7">
        <f t="shared" si="6"/>
        <v>0</v>
      </c>
    </row>
    <row r="1247" ht="15.75" customHeight="1">
      <c r="A1247" s="4">
        <f>IF(RETORNOS!A1247="","",RETORNOS!A1247)</f>
        <v>46226</v>
      </c>
      <c r="B1247" s="7">
        <f>IF(RETORNOS!B1247="","",OPTIMIZACION!$B$5*RETORNOS!B1247+OPTIMIZACION!$B$6*RETORNOS!C1247+OPTIMIZACION!$B$7*RETORNOS!D1247+OPTIMIZACION!$B$8*RETORNOS!E1247+OPTIMIZACION!$B$9*RETORNOS!F1247+OPTIMIZACION!$B$10*RETORNOS!G1247)</f>
        <v>0.01031763937</v>
      </c>
      <c r="C1247" s="7">
        <f>IF(RETORNOS!H1247="","",RETORNOS!H1247)</f>
        <v>0.003040540541</v>
      </c>
      <c r="D1247" s="7">
        <f>IF(RETORNOS!I1247="","",RETORNOS!I1247)</f>
        <v>0.005660788156</v>
      </c>
      <c r="E1247" s="7">
        <f t="shared" si="2"/>
        <v>0.004350664348</v>
      </c>
      <c r="F1247" s="7">
        <f t="shared" si="3"/>
        <v>0.007277098826</v>
      </c>
      <c r="G1247" s="7">
        <f t="shared" si="4"/>
        <v>0.005966975018</v>
      </c>
      <c r="H1247" s="5">
        <f t="shared" ref="H1247:K1247" si="1247">IF(B1247="","",H1246*(1+B1247))</f>
        <v>386.1656386</v>
      </c>
      <c r="I1247" s="5">
        <f t="shared" si="1247"/>
        <v>287.9239702</v>
      </c>
      <c r="J1247" s="5">
        <f t="shared" si="1247"/>
        <v>157.1483979</v>
      </c>
      <c r="K1247" s="5">
        <f t="shared" si="1247"/>
        <v>222.5111586</v>
      </c>
      <c r="L1247" s="7">
        <f t="shared" si="6"/>
        <v>0</v>
      </c>
    </row>
    <row r="1248" ht="15.75" customHeight="1">
      <c r="A1248" s="4">
        <f>IF(RETORNOS!A1248="","",RETORNOS!A1248)</f>
        <v>46227</v>
      </c>
      <c r="B1248" s="7">
        <f>IF(RETORNOS!B1248="","",OPTIMIZACION!$B$5*RETORNOS!B1248+OPTIMIZACION!$B$6*RETORNOS!C1248+OPTIMIZACION!$B$7*RETORNOS!D1248+OPTIMIZACION!$B$8*RETORNOS!E1248+OPTIMIZACION!$B$9*RETORNOS!F1248+OPTIMIZACION!$B$10*RETORNOS!G1248)</f>
        <v>-0.008540159016</v>
      </c>
      <c r="C1248" s="7">
        <f>IF(RETORNOS!H1248="","",RETORNOS!H1248)</f>
        <v>0.004041764904</v>
      </c>
      <c r="D1248" s="7">
        <f>IF(RETORNOS!I1248="","",RETORNOS!I1248)</f>
        <v>0.002164970773</v>
      </c>
      <c r="E1248" s="7">
        <f t="shared" si="2"/>
        <v>0.003103367838</v>
      </c>
      <c r="F1248" s="7">
        <f t="shared" si="3"/>
        <v>-0.01258192392</v>
      </c>
      <c r="G1248" s="7">
        <f t="shared" si="4"/>
        <v>-0.01164352685</v>
      </c>
      <c r="H1248" s="5">
        <f t="shared" ref="H1248:K1248" si="1248">IF(B1248="","",H1247*(1+B1248))</f>
        <v>382.8677226</v>
      </c>
      <c r="I1248" s="5">
        <f t="shared" si="1248"/>
        <v>289.0876912</v>
      </c>
      <c r="J1248" s="5">
        <f t="shared" si="1248"/>
        <v>157.4886196</v>
      </c>
      <c r="K1248" s="5">
        <f t="shared" si="1248"/>
        <v>223.2016925</v>
      </c>
      <c r="L1248" s="7">
        <f t="shared" si="6"/>
        <v>-0.008540159016</v>
      </c>
    </row>
    <row r="1249" ht="15.75" customHeight="1">
      <c r="A1249" s="4">
        <f>IF(RETORNOS!A1249="","",RETORNOS!A1249)</f>
        <v>46230</v>
      </c>
      <c r="B1249" s="7">
        <f>IF(RETORNOS!B1249="","",OPTIMIZACION!$B$5*RETORNOS!B1249+OPTIMIZACION!$B$6*RETORNOS!C1249+OPTIMIZACION!$B$7*RETORNOS!D1249+OPTIMIZACION!$B$8*RETORNOS!E1249+OPTIMIZACION!$B$9*RETORNOS!F1249+OPTIMIZACION!$B$10*RETORNOS!G1249)</f>
        <v>-0.02028447552</v>
      </c>
      <c r="C1249" s="7">
        <f>IF(RETORNOS!H1249="","",RETORNOS!H1249)</f>
        <v>-0.0211338477</v>
      </c>
      <c r="D1249" s="7">
        <f>IF(RETORNOS!I1249="","",RETORNOS!I1249)</f>
        <v>-0.01317779218</v>
      </c>
      <c r="E1249" s="7">
        <f t="shared" si="2"/>
        <v>-0.01715581994</v>
      </c>
      <c r="F1249" s="7">
        <f t="shared" si="3"/>
        <v>0.0008493721794</v>
      </c>
      <c r="G1249" s="7">
        <f t="shared" si="4"/>
        <v>-0.003128655582</v>
      </c>
      <c r="H1249" s="5">
        <f t="shared" ref="H1249:K1249" si="1249">IF(B1249="","",H1248*(1+B1249))</f>
        <v>375.1014517</v>
      </c>
      <c r="I1249" s="5">
        <f t="shared" si="1249"/>
        <v>282.978156</v>
      </c>
      <c r="J1249" s="5">
        <f t="shared" si="1249"/>
        <v>155.4132673</v>
      </c>
      <c r="K1249" s="5">
        <f t="shared" si="1249"/>
        <v>219.3724845</v>
      </c>
      <c r="L1249" s="7">
        <f t="shared" si="6"/>
        <v>-0.02865140189</v>
      </c>
    </row>
    <row r="1250" ht="15.75" customHeight="1">
      <c r="A1250" s="4">
        <f>IF(RETORNOS!A1250="","",RETORNOS!A1250)</f>
        <v>46231</v>
      </c>
      <c r="B1250" s="7">
        <f>IF(RETORNOS!B1250="","",OPTIMIZACION!$B$5*RETORNOS!B1250+OPTIMIZACION!$B$6*RETORNOS!C1250+OPTIMIZACION!$B$7*RETORNOS!D1250+OPTIMIZACION!$B$8*RETORNOS!E1250+OPTIMIZACION!$B$9*RETORNOS!F1250+OPTIMIZACION!$B$10*RETORNOS!G1250)</f>
        <v>-0.01435815039</v>
      </c>
      <c r="C1250" s="7">
        <f>IF(RETORNOS!H1250="","",RETORNOS!H1250)</f>
        <v>-0.01353666895</v>
      </c>
      <c r="D1250" s="7">
        <f>IF(RETORNOS!I1250="","",RETORNOS!I1250)</f>
        <v>-0.00350262697</v>
      </c>
      <c r="E1250" s="7">
        <f t="shared" si="2"/>
        <v>-0.008519647961</v>
      </c>
      <c r="F1250" s="7">
        <f t="shared" si="3"/>
        <v>-0.0008214814432</v>
      </c>
      <c r="G1250" s="7">
        <f t="shared" si="4"/>
        <v>-0.005838502434</v>
      </c>
      <c r="H1250" s="5">
        <f t="shared" ref="H1250:K1250" si="1250">IF(B1250="","",H1249*(1+B1250))</f>
        <v>369.7156886</v>
      </c>
      <c r="I1250" s="5">
        <f t="shared" si="1250"/>
        <v>279.1475744</v>
      </c>
      <c r="J1250" s="5">
        <f t="shared" si="1250"/>
        <v>154.8689126</v>
      </c>
      <c r="K1250" s="5">
        <f t="shared" si="1250"/>
        <v>217.5035082</v>
      </c>
      <c r="L1250" s="7">
        <f t="shared" si="6"/>
        <v>-0.04259817115</v>
      </c>
    </row>
    <row r="1251" ht="15.75" customHeight="1">
      <c r="A1251" s="4">
        <f>IF(RETORNOS!A1251="","",RETORNOS!A1251)</f>
        <v>46232</v>
      </c>
      <c r="B1251" s="7">
        <f>IF(RETORNOS!B1251="","",OPTIMIZACION!$B$5*RETORNOS!B1251+OPTIMIZACION!$B$6*RETORNOS!C1251+OPTIMIZACION!$B$7*RETORNOS!D1251+OPTIMIZACION!$B$8*RETORNOS!E1251+OPTIMIZACION!$B$9*RETORNOS!F1251+OPTIMIZACION!$B$10*RETORNOS!G1251)</f>
        <v>-0.005181688985</v>
      </c>
      <c r="C1251" s="7">
        <f>IF(RETORNOS!H1251="","",RETORNOS!H1251)</f>
        <v>0.01875977071</v>
      </c>
      <c r="D1251" s="7">
        <f>IF(RETORNOS!I1251="","",RETORNOS!I1251)</f>
        <v>-0.01340070299</v>
      </c>
      <c r="E1251" s="7">
        <f t="shared" si="2"/>
        <v>0.002679533863</v>
      </c>
      <c r="F1251" s="7">
        <f t="shared" si="3"/>
        <v>-0.0239414597</v>
      </c>
      <c r="G1251" s="7">
        <f t="shared" si="4"/>
        <v>-0.007861222848</v>
      </c>
      <c r="H1251" s="5">
        <f t="shared" ref="H1251:K1251" si="1251">IF(B1251="","",H1250*(1+B1251))</f>
        <v>367.7999369</v>
      </c>
      <c r="I1251" s="5">
        <f t="shared" si="1251"/>
        <v>284.3843189</v>
      </c>
      <c r="J1251" s="5">
        <f t="shared" si="1251"/>
        <v>152.7935603</v>
      </c>
      <c r="K1251" s="5">
        <f t="shared" si="1251"/>
        <v>218.0863162</v>
      </c>
      <c r="L1251" s="7">
        <f t="shared" si="6"/>
        <v>-0.04755912966</v>
      </c>
    </row>
    <row r="1252" ht="15.75" customHeight="1">
      <c r="A1252" s="4">
        <f>IF(RETORNOS!A1252="","",RETORNOS!A1252)</f>
        <v>46233</v>
      </c>
      <c r="B1252" s="7">
        <f>IF(RETORNOS!B1252="","",OPTIMIZACION!$B$5*RETORNOS!B1252+OPTIMIZACION!$B$6*RETORNOS!C1252+OPTIMIZACION!$B$7*RETORNOS!D1252+OPTIMIZACION!$B$8*RETORNOS!E1252+OPTIMIZACION!$B$9*RETORNOS!F1252+OPTIMIZACION!$B$10*RETORNOS!G1252)</f>
        <v>0.01274070892</v>
      </c>
      <c r="C1252" s="7">
        <f>IF(RETORNOS!H1252="","",RETORNOS!H1252)</f>
        <v>0.005285592498</v>
      </c>
      <c r="D1252" s="7">
        <f>IF(RETORNOS!I1252="","",RETORNOS!I1252)</f>
        <v>-0.005566688933</v>
      </c>
      <c r="E1252" s="7">
        <f t="shared" si="2"/>
        <v>-0.0001405482178</v>
      </c>
      <c r="F1252" s="7">
        <f t="shared" si="3"/>
        <v>0.007455116424</v>
      </c>
      <c r="G1252" s="7">
        <f t="shared" si="4"/>
        <v>0.01288125714</v>
      </c>
      <c r="H1252" s="5">
        <f t="shared" ref="H1252:K1252" si="1252">IF(B1252="","",H1251*(1+B1252))</f>
        <v>372.4859689</v>
      </c>
      <c r="I1252" s="5">
        <f t="shared" si="1252"/>
        <v>285.8874585</v>
      </c>
      <c r="J1252" s="5">
        <f t="shared" si="1252"/>
        <v>151.9430061</v>
      </c>
      <c r="K1252" s="5">
        <f t="shared" si="1252"/>
        <v>218.0556645</v>
      </c>
      <c r="L1252" s="7">
        <f t="shared" si="6"/>
        <v>-0.03542435777</v>
      </c>
    </row>
    <row r="1253" ht="15.75" customHeight="1">
      <c r="A1253" s="4">
        <f>IF(RETORNOS!A1253="","",RETORNOS!A1253)</f>
        <v>46234</v>
      </c>
      <c r="B1253" s="7">
        <f>IF(RETORNOS!B1253="","",OPTIMIZACION!$B$5*RETORNOS!B1253+OPTIMIZACION!$B$6*RETORNOS!C1253+OPTIMIZACION!$B$7*RETORNOS!D1253+OPTIMIZACION!$B$8*RETORNOS!E1253+OPTIMIZACION!$B$9*RETORNOS!F1253+OPTIMIZACION!$B$10*RETORNOS!G1253)</f>
        <v>0.007645966429</v>
      </c>
      <c r="C1253" s="7">
        <f>IF(RETORNOS!H1253="","",RETORNOS!H1253)</f>
        <v>0.01000678426</v>
      </c>
      <c r="D1253" s="7">
        <f>IF(RETORNOS!I1253="","",RETORNOS!I1253)</f>
        <v>-0.006941334528</v>
      </c>
      <c r="E1253" s="7">
        <f t="shared" si="2"/>
        <v>0.001532724866</v>
      </c>
      <c r="F1253" s="7">
        <f t="shared" si="3"/>
        <v>-0.002360817831</v>
      </c>
      <c r="G1253" s="7">
        <f t="shared" si="4"/>
        <v>0.006113241563</v>
      </c>
      <c r="H1253" s="5">
        <f t="shared" ref="H1253:K1253" si="1253">IF(B1253="","",H1252*(1+B1253))</f>
        <v>375.3339841</v>
      </c>
      <c r="I1253" s="5">
        <f t="shared" si="1253"/>
        <v>288.7482726</v>
      </c>
      <c r="J1253" s="5">
        <f t="shared" si="1253"/>
        <v>150.8883188</v>
      </c>
      <c r="K1253" s="5">
        <f t="shared" si="1253"/>
        <v>218.3898839</v>
      </c>
      <c r="L1253" s="7">
        <f t="shared" si="6"/>
        <v>-0.02804924479</v>
      </c>
    </row>
    <row r="1254" ht="15.75" customHeight="1">
      <c r="A1254" s="4">
        <f>IF(RETORNOS!A1254="","",RETORNOS!A1254)</f>
        <v>46237</v>
      </c>
      <c r="B1254" s="7">
        <f>IF(RETORNOS!B1254="","",OPTIMIZACION!$B$5*RETORNOS!B1254+OPTIMIZACION!$B$6*RETORNOS!C1254+OPTIMIZACION!$B$7*RETORNOS!D1254+OPTIMIZACION!$B$8*RETORNOS!E1254+OPTIMIZACION!$B$9*RETORNOS!F1254+OPTIMIZACION!$B$10*RETORNOS!G1254)</f>
        <v>0.00001425495494</v>
      </c>
      <c r="C1254" s="7">
        <f>IF(RETORNOS!H1254="","",RETORNOS!H1254)</f>
        <v>-0.01276238455</v>
      </c>
      <c r="D1254" s="7">
        <f>IF(RETORNOS!I1254="","",RETORNOS!I1254)</f>
        <v>0.0002254791432</v>
      </c>
      <c r="E1254" s="7">
        <f t="shared" si="2"/>
        <v>-0.006268452704</v>
      </c>
      <c r="F1254" s="7">
        <f t="shared" si="3"/>
        <v>0.01277663951</v>
      </c>
      <c r="G1254" s="7">
        <f t="shared" si="4"/>
        <v>0.006282707659</v>
      </c>
      <c r="H1254" s="5">
        <f t="shared" ref="H1254:K1254" si="1254">IF(B1254="","",H1253*(1+B1254))</f>
        <v>375.3393345</v>
      </c>
      <c r="I1254" s="5">
        <f t="shared" si="1254"/>
        <v>285.0631561</v>
      </c>
      <c r="J1254" s="5">
        <f t="shared" si="1254"/>
        <v>150.922341</v>
      </c>
      <c r="K1254" s="5">
        <f t="shared" si="1254"/>
        <v>217.0209172</v>
      </c>
      <c r="L1254" s="7">
        <f t="shared" si="6"/>
        <v>-0.02803538967</v>
      </c>
    </row>
    <row r="1255" ht="15.75" customHeight="1">
      <c r="A1255" s="4">
        <f>IF(RETORNOS!A1255="","",RETORNOS!A1255)</f>
        <v>46238</v>
      </c>
      <c r="B1255" s="7">
        <f>IF(RETORNOS!B1255="","",OPTIMIZACION!$B$5*RETORNOS!B1255+OPTIMIZACION!$B$6*RETORNOS!C1255+OPTIMIZACION!$B$7*RETORNOS!D1255+OPTIMIZACION!$B$8*RETORNOS!E1255+OPTIMIZACION!$B$9*RETORNOS!F1255+OPTIMIZACION!$B$10*RETORNOS!G1255)</f>
        <v>-0.007312006425</v>
      </c>
      <c r="C1255" s="7">
        <f>IF(RETORNOS!H1255="","",RETORNOS!H1255)</f>
        <v>-0.004592617792</v>
      </c>
      <c r="D1255" s="7">
        <f>IF(RETORNOS!I1255="","",RETORNOS!I1255)</f>
        <v>-0.005635707845</v>
      </c>
      <c r="E1255" s="7">
        <f t="shared" si="2"/>
        <v>-0.005114162819</v>
      </c>
      <c r="F1255" s="7">
        <f t="shared" si="3"/>
        <v>-0.002719388633</v>
      </c>
      <c r="G1255" s="7">
        <f t="shared" si="4"/>
        <v>-0.002197843607</v>
      </c>
      <c r="H1255" s="5">
        <f t="shared" ref="H1255:K1255" si="1255">IF(B1255="","",H1254*(1+B1255))</f>
        <v>372.5948508</v>
      </c>
      <c r="I1255" s="5">
        <f t="shared" si="1255"/>
        <v>283.75397</v>
      </c>
      <c r="J1255" s="5">
        <f t="shared" si="1255"/>
        <v>150.0717868</v>
      </c>
      <c r="K1255" s="5">
        <f t="shared" si="1255"/>
        <v>215.9110369</v>
      </c>
      <c r="L1255" s="7">
        <f t="shared" si="6"/>
        <v>-0.03514240115</v>
      </c>
    </row>
    <row r="1256" ht="15.75" customHeight="1">
      <c r="A1256" s="4">
        <f>IF(RETORNOS!A1256="","",RETORNOS!A1256)</f>
        <v>46239</v>
      </c>
      <c r="B1256" s="7">
        <f>IF(RETORNOS!B1256="","",OPTIMIZACION!$B$5*RETORNOS!B1256+OPTIMIZACION!$B$6*RETORNOS!C1256+OPTIMIZACION!$B$7*RETORNOS!D1256+OPTIMIZACION!$B$8*RETORNOS!E1256+OPTIMIZACION!$B$9*RETORNOS!F1256+OPTIMIZACION!$B$10*RETORNOS!G1256)</f>
        <v>-0.006586455258</v>
      </c>
      <c r="C1256" s="7">
        <f>IF(RETORNOS!H1256="","",RETORNOS!H1256)</f>
        <v>-0.02067669173</v>
      </c>
      <c r="D1256" s="7">
        <f>IF(RETORNOS!I1256="","",RETORNOS!I1256)</f>
        <v>-0.01020176831</v>
      </c>
      <c r="E1256" s="7">
        <f t="shared" si="2"/>
        <v>-0.01543923002</v>
      </c>
      <c r="F1256" s="7">
        <f t="shared" si="3"/>
        <v>0.01409023647</v>
      </c>
      <c r="G1256" s="7">
        <f t="shared" si="4"/>
        <v>0.00885277476</v>
      </c>
      <c r="H1256" s="5">
        <f t="shared" ref="H1256:K1256" si="1256">IF(B1256="","",H1255*(1+B1256))</f>
        <v>370.1407715</v>
      </c>
      <c r="I1256" s="5">
        <f t="shared" si="1256"/>
        <v>277.8868766</v>
      </c>
      <c r="J1256" s="5">
        <f t="shared" si="1256"/>
        <v>148.5407892</v>
      </c>
      <c r="K1256" s="5">
        <f t="shared" si="1256"/>
        <v>212.5775367</v>
      </c>
      <c r="L1256" s="7">
        <f t="shared" si="6"/>
        <v>-0.04149739255</v>
      </c>
    </row>
    <row r="1257" ht="15.75" customHeight="1">
      <c r="A1257" s="4">
        <f>IF(RETORNOS!A1257="","",RETORNOS!A1257)</f>
        <v>46240</v>
      </c>
      <c r="B1257" s="7">
        <f>IF(RETORNOS!B1257="","",OPTIMIZACION!$B$5*RETORNOS!B1257+OPTIMIZACION!$B$6*RETORNOS!C1257+OPTIMIZACION!$B$7*RETORNOS!D1257+OPTIMIZACION!$B$8*RETORNOS!E1257+OPTIMIZACION!$B$9*RETORNOS!F1257+OPTIMIZACION!$B$10*RETORNOS!G1257)</f>
        <v>0.007320072526</v>
      </c>
      <c r="C1257" s="7">
        <f>IF(RETORNOS!H1257="","",RETORNOS!H1257)</f>
        <v>0.01483161752</v>
      </c>
      <c r="D1257" s="7">
        <f>IF(RETORNOS!I1257="","",RETORNOS!I1257)</f>
        <v>-0.006413192854</v>
      </c>
      <c r="E1257" s="7">
        <f t="shared" si="2"/>
        <v>0.004209212332</v>
      </c>
      <c r="F1257" s="7">
        <f t="shared" si="3"/>
        <v>-0.007511544993</v>
      </c>
      <c r="G1257" s="7">
        <f t="shared" si="4"/>
        <v>0.003110860194</v>
      </c>
      <c r="H1257" s="5">
        <f t="shared" ref="H1257:K1257" si="1257">IF(B1257="","",H1256*(1+B1257))</f>
        <v>372.8502288</v>
      </c>
      <c r="I1257" s="5">
        <f t="shared" si="1257"/>
        <v>282.0083885</v>
      </c>
      <c r="J1257" s="5">
        <f t="shared" si="1257"/>
        <v>147.5881685</v>
      </c>
      <c r="K1257" s="5">
        <f t="shared" si="1257"/>
        <v>213.4723207</v>
      </c>
      <c r="L1257" s="7">
        <f t="shared" si="6"/>
        <v>-0.03448108395</v>
      </c>
    </row>
    <row r="1258" ht="15.75" customHeight="1">
      <c r="A1258" s="4">
        <f>IF(RETORNOS!A1258="","",RETORNOS!A1258)</f>
        <v>46241</v>
      </c>
      <c r="B1258" s="7">
        <f>IF(RETORNOS!B1258="","",OPTIMIZACION!$B$5*RETORNOS!B1258+OPTIMIZACION!$B$6*RETORNOS!C1258+OPTIMIZACION!$B$7*RETORNOS!D1258+OPTIMIZACION!$B$8*RETORNOS!E1258+OPTIMIZACION!$B$9*RETORNOS!F1258+OPTIMIZACION!$B$10*RETORNOS!G1258)</f>
        <v>-0.008618286372</v>
      </c>
      <c r="C1258" s="7">
        <f>IF(RETORNOS!H1258="","",RETORNOS!H1258)</f>
        <v>-0.0113480055</v>
      </c>
      <c r="D1258" s="7">
        <f>IF(RETORNOS!I1258="","",RETORNOS!I1258)</f>
        <v>0.00530198248</v>
      </c>
      <c r="E1258" s="7">
        <f t="shared" si="2"/>
        <v>-0.003023011511</v>
      </c>
      <c r="F1258" s="7">
        <f t="shared" si="3"/>
        <v>0.00272971913</v>
      </c>
      <c r="G1258" s="7">
        <f t="shared" si="4"/>
        <v>-0.005595274861</v>
      </c>
      <c r="H1258" s="5">
        <f t="shared" ref="H1258:K1258" si="1258">IF(B1258="","",H1257*(1+B1258))</f>
        <v>369.6368988</v>
      </c>
      <c r="I1258" s="5">
        <f t="shared" si="1258"/>
        <v>278.8081557</v>
      </c>
      <c r="J1258" s="5">
        <f t="shared" si="1258"/>
        <v>148.3706783</v>
      </c>
      <c r="K1258" s="5">
        <f t="shared" si="1258"/>
        <v>212.8269914</v>
      </c>
      <c r="L1258" s="7">
        <f t="shared" si="6"/>
        <v>-0.04280220247</v>
      </c>
    </row>
    <row r="1259" ht="15.75" customHeight="1">
      <c r="A1259" s="4" t="str">
        <f>IF(RETORNOS!A1259="","",RETORNOS!A1259)</f>
        <v/>
      </c>
      <c r="B1259" s="7" t="str">
        <f>IF(RETORNOS!B1259="","",OPTIMIZACION!$B$5*RETORNOS!B1259+OPTIMIZACION!$B$6*RETORNOS!C1259+OPTIMIZACION!$B$7*RETORNOS!D1259+OPTIMIZACION!$B$8*RETORNOS!E1259+OPTIMIZACION!$B$9*RETORNOS!F1259+OPTIMIZACION!$B$10*RETORNOS!G1259)</f>
        <v/>
      </c>
      <c r="C1259" s="7" t="str">
        <f>IF(RETORNOS!H1259="","",RETORNOS!H1259)</f>
        <v/>
      </c>
      <c r="D1259" s="7" t="str">
        <f>IF(RETORNOS!I1259="","",RETORNOS!I1259)</f>
        <v/>
      </c>
      <c r="E1259" s="7" t="str">
        <f t="shared" si="2"/>
        <v/>
      </c>
      <c r="F1259" s="7" t="str">
        <f t="shared" si="3"/>
        <v/>
      </c>
      <c r="G1259" s="7" t="str">
        <f t="shared" si="4"/>
        <v/>
      </c>
      <c r="H1259" s="5" t="str">
        <f t="shared" ref="H1259:K1259" si="1259">IF(B1259="","",H1258*(1+B1259))</f>
        <v/>
      </c>
      <c r="I1259" s="5" t="str">
        <f t="shared" si="1259"/>
        <v/>
      </c>
      <c r="J1259" s="5" t="str">
        <f t="shared" si="1259"/>
        <v/>
      </c>
      <c r="K1259" s="5" t="str">
        <f t="shared" si="1259"/>
        <v/>
      </c>
      <c r="L1259" s="7" t="str">
        <f t="shared" si="6"/>
        <v/>
      </c>
    </row>
    <row r="1260" ht="15.75" customHeight="1">
      <c r="A1260" s="4" t="str">
        <f>IF(RETORNOS!A1260="","",RETORNOS!A1260)</f>
        <v/>
      </c>
      <c r="B1260" s="7" t="str">
        <f>IF(RETORNOS!B1260="","",OPTIMIZACION!$B$5*RETORNOS!B1260+OPTIMIZACION!$B$6*RETORNOS!C1260+OPTIMIZACION!$B$7*RETORNOS!D1260+OPTIMIZACION!$B$8*RETORNOS!E1260+OPTIMIZACION!$B$9*RETORNOS!F1260+OPTIMIZACION!$B$10*RETORNOS!G1260)</f>
        <v/>
      </c>
      <c r="C1260" s="7" t="str">
        <f>IF(RETORNOS!H1260="","",RETORNOS!H1260)</f>
        <v/>
      </c>
      <c r="D1260" s="7" t="str">
        <f>IF(RETORNOS!I1260="","",RETORNOS!I1260)</f>
        <v/>
      </c>
      <c r="E1260" s="7" t="str">
        <f t="shared" si="2"/>
        <v/>
      </c>
      <c r="F1260" s="7" t="str">
        <f t="shared" si="3"/>
        <v/>
      </c>
      <c r="G1260" s="7" t="str">
        <f t="shared" si="4"/>
        <v/>
      </c>
      <c r="H1260" s="5" t="str">
        <f t="shared" ref="H1260:K1260" si="1260">IF(B1260="","",H1259*(1+B1260))</f>
        <v/>
      </c>
      <c r="I1260" s="5" t="str">
        <f t="shared" si="1260"/>
        <v/>
      </c>
      <c r="J1260" s="5" t="str">
        <f t="shared" si="1260"/>
        <v/>
      </c>
      <c r="K1260" s="5" t="str">
        <f t="shared" si="1260"/>
        <v/>
      </c>
      <c r="L1260" s="7" t="str">
        <f t="shared" si="6"/>
        <v/>
      </c>
    </row>
    <row r="1261" ht="15.75" customHeight="1">
      <c r="A1261" s="4" t="str">
        <f>IF(RETORNOS!A1261="","",RETORNOS!A1261)</f>
        <v/>
      </c>
      <c r="B1261" s="7" t="str">
        <f>IF(RETORNOS!B1261="","",OPTIMIZACION!$B$5*RETORNOS!B1261+OPTIMIZACION!$B$6*RETORNOS!C1261+OPTIMIZACION!$B$7*RETORNOS!D1261+OPTIMIZACION!$B$8*RETORNOS!E1261+OPTIMIZACION!$B$9*RETORNOS!F1261+OPTIMIZACION!$B$10*RETORNOS!G1261)</f>
        <v/>
      </c>
      <c r="C1261" s="7" t="str">
        <f>IF(RETORNOS!H1261="","",RETORNOS!H1261)</f>
        <v/>
      </c>
      <c r="D1261" s="7" t="str">
        <f>IF(RETORNOS!I1261="","",RETORNOS!I1261)</f>
        <v/>
      </c>
      <c r="E1261" s="7" t="str">
        <f t="shared" si="2"/>
        <v/>
      </c>
      <c r="F1261" s="7" t="str">
        <f t="shared" si="3"/>
        <v/>
      </c>
      <c r="G1261" s="7" t="str">
        <f t="shared" si="4"/>
        <v/>
      </c>
      <c r="H1261" s="5" t="str">
        <f t="shared" ref="H1261:K1261" si="1261">IF(B1261="","",H1260*(1+B1261))</f>
        <v/>
      </c>
      <c r="I1261" s="5" t="str">
        <f t="shared" si="1261"/>
        <v/>
      </c>
      <c r="J1261" s="5" t="str">
        <f t="shared" si="1261"/>
        <v/>
      </c>
      <c r="K1261" s="5" t="str">
        <f t="shared" si="1261"/>
        <v/>
      </c>
      <c r="L1261" s="7" t="str">
        <f t="shared" si="6"/>
        <v/>
      </c>
    </row>
    <row r="1262" ht="15.75" customHeight="1">
      <c r="A1262" s="4" t="str">
        <f>IF(RETORNOS!A1262="","",RETORNOS!A1262)</f>
        <v/>
      </c>
      <c r="B1262" s="7" t="str">
        <f>IF(RETORNOS!B1262="","",OPTIMIZACION!$B$5*RETORNOS!B1262+OPTIMIZACION!$B$6*RETORNOS!C1262+OPTIMIZACION!$B$7*RETORNOS!D1262+OPTIMIZACION!$B$8*RETORNOS!E1262+OPTIMIZACION!$B$9*RETORNOS!F1262+OPTIMIZACION!$B$10*RETORNOS!G1262)</f>
        <v/>
      </c>
      <c r="C1262" s="7" t="str">
        <f>IF(RETORNOS!H1262="","",RETORNOS!H1262)</f>
        <v/>
      </c>
      <c r="D1262" s="7" t="str">
        <f>IF(RETORNOS!I1262="","",RETORNOS!I1262)</f>
        <v/>
      </c>
      <c r="E1262" s="7" t="str">
        <f t="shared" si="2"/>
        <v/>
      </c>
      <c r="F1262" s="7" t="str">
        <f t="shared" si="3"/>
        <v/>
      </c>
      <c r="G1262" s="7" t="str">
        <f t="shared" si="4"/>
        <v/>
      </c>
      <c r="H1262" s="5" t="str">
        <f t="shared" ref="H1262:K1262" si="1262">IF(B1262="","",H1261*(1+B1262))</f>
        <v/>
      </c>
      <c r="I1262" s="5" t="str">
        <f t="shared" si="1262"/>
        <v/>
      </c>
      <c r="J1262" s="5" t="str">
        <f t="shared" si="1262"/>
        <v/>
      </c>
      <c r="K1262" s="5" t="str">
        <f t="shared" si="1262"/>
        <v/>
      </c>
      <c r="L1262" s="7" t="str">
        <f t="shared" si="6"/>
        <v/>
      </c>
    </row>
    <row r="1263" ht="15.75" customHeight="1">
      <c r="A1263" s="4" t="str">
        <f>IF(RETORNOS!A1263="","",RETORNOS!A1263)</f>
        <v/>
      </c>
      <c r="B1263" s="7" t="str">
        <f>IF(RETORNOS!B1263="","",OPTIMIZACION!$B$5*RETORNOS!B1263+OPTIMIZACION!$B$6*RETORNOS!C1263+OPTIMIZACION!$B$7*RETORNOS!D1263+OPTIMIZACION!$B$8*RETORNOS!E1263+OPTIMIZACION!$B$9*RETORNOS!F1263+OPTIMIZACION!$B$10*RETORNOS!G1263)</f>
        <v/>
      </c>
      <c r="C1263" s="7" t="str">
        <f>IF(RETORNOS!H1263="","",RETORNOS!H1263)</f>
        <v/>
      </c>
      <c r="D1263" s="7" t="str">
        <f>IF(RETORNOS!I1263="","",RETORNOS!I1263)</f>
        <v/>
      </c>
      <c r="E1263" s="7" t="str">
        <f t="shared" si="2"/>
        <v/>
      </c>
      <c r="F1263" s="7" t="str">
        <f t="shared" si="3"/>
        <v/>
      </c>
      <c r="G1263" s="7" t="str">
        <f t="shared" si="4"/>
        <v/>
      </c>
      <c r="H1263" s="5" t="str">
        <f t="shared" ref="H1263:K1263" si="1263">IF(B1263="","",H1262*(1+B1263))</f>
        <v/>
      </c>
      <c r="I1263" s="5" t="str">
        <f t="shared" si="1263"/>
        <v/>
      </c>
      <c r="J1263" s="5" t="str">
        <f t="shared" si="1263"/>
        <v/>
      </c>
      <c r="K1263" s="5" t="str">
        <f t="shared" si="1263"/>
        <v/>
      </c>
      <c r="L1263" s="7" t="str">
        <f t="shared" si="6"/>
        <v/>
      </c>
    </row>
    <row r="1264" ht="15.75" customHeight="1">
      <c r="A1264" s="4" t="str">
        <f>IF(RETORNOS!A1264="","",RETORNOS!A1264)</f>
        <v/>
      </c>
      <c r="B1264" s="7" t="str">
        <f>IF(RETORNOS!B1264="","",OPTIMIZACION!$B$5*RETORNOS!B1264+OPTIMIZACION!$B$6*RETORNOS!C1264+OPTIMIZACION!$B$7*RETORNOS!D1264+OPTIMIZACION!$B$8*RETORNOS!E1264+OPTIMIZACION!$B$9*RETORNOS!F1264+OPTIMIZACION!$B$10*RETORNOS!G1264)</f>
        <v/>
      </c>
      <c r="C1264" s="7" t="str">
        <f>IF(RETORNOS!H1264="","",RETORNOS!H1264)</f>
        <v/>
      </c>
      <c r="D1264" s="7" t="str">
        <f>IF(RETORNOS!I1264="","",RETORNOS!I1264)</f>
        <v/>
      </c>
      <c r="E1264" s="7" t="str">
        <f t="shared" si="2"/>
        <v/>
      </c>
      <c r="F1264" s="7" t="str">
        <f t="shared" si="3"/>
        <v/>
      </c>
      <c r="G1264" s="7" t="str">
        <f t="shared" si="4"/>
        <v/>
      </c>
      <c r="H1264" s="5" t="str">
        <f t="shared" ref="H1264:K1264" si="1264">IF(B1264="","",H1263*(1+B1264))</f>
        <v/>
      </c>
      <c r="I1264" s="5" t="str">
        <f t="shared" si="1264"/>
        <v/>
      </c>
      <c r="J1264" s="5" t="str">
        <f t="shared" si="1264"/>
        <v/>
      </c>
      <c r="K1264" s="5" t="str">
        <f t="shared" si="1264"/>
        <v/>
      </c>
      <c r="L1264" s="7" t="str">
        <f t="shared" si="6"/>
        <v/>
      </c>
    </row>
    <row r="1265" ht="15.75" customHeight="1">
      <c r="A1265" s="4" t="str">
        <f>IF(RETORNOS!A1265="","",RETORNOS!A1265)</f>
        <v/>
      </c>
      <c r="B1265" s="7" t="str">
        <f>IF(RETORNOS!B1265="","",OPTIMIZACION!$B$5*RETORNOS!B1265+OPTIMIZACION!$B$6*RETORNOS!C1265+OPTIMIZACION!$B$7*RETORNOS!D1265+OPTIMIZACION!$B$8*RETORNOS!E1265+OPTIMIZACION!$B$9*RETORNOS!F1265+OPTIMIZACION!$B$10*RETORNOS!G1265)</f>
        <v/>
      </c>
      <c r="C1265" s="7" t="str">
        <f>IF(RETORNOS!H1265="","",RETORNOS!H1265)</f>
        <v/>
      </c>
      <c r="D1265" s="7" t="str">
        <f>IF(RETORNOS!I1265="","",RETORNOS!I1265)</f>
        <v/>
      </c>
      <c r="E1265" s="7" t="str">
        <f t="shared" si="2"/>
        <v/>
      </c>
      <c r="F1265" s="7" t="str">
        <f t="shared" si="3"/>
        <v/>
      </c>
      <c r="G1265" s="7" t="str">
        <f t="shared" si="4"/>
        <v/>
      </c>
      <c r="H1265" s="5" t="str">
        <f t="shared" ref="H1265:K1265" si="1265">IF(B1265="","",H1264*(1+B1265))</f>
        <v/>
      </c>
      <c r="I1265" s="5" t="str">
        <f t="shared" si="1265"/>
        <v/>
      </c>
      <c r="J1265" s="5" t="str">
        <f t="shared" si="1265"/>
        <v/>
      </c>
      <c r="K1265" s="5" t="str">
        <f t="shared" si="1265"/>
        <v/>
      </c>
      <c r="L1265" s="7" t="str">
        <f t="shared" si="6"/>
        <v/>
      </c>
    </row>
    <row r="1266" ht="15.75" customHeight="1">
      <c r="A1266" s="4" t="str">
        <f>IF(RETORNOS!A1266="","",RETORNOS!A1266)</f>
        <v/>
      </c>
      <c r="B1266" s="7" t="str">
        <f>IF(RETORNOS!B1266="","",OPTIMIZACION!$B$5*RETORNOS!B1266+OPTIMIZACION!$B$6*RETORNOS!C1266+OPTIMIZACION!$B$7*RETORNOS!D1266+OPTIMIZACION!$B$8*RETORNOS!E1266+OPTIMIZACION!$B$9*RETORNOS!F1266+OPTIMIZACION!$B$10*RETORNOS!G1266)</f>
        <v/>
      </c>
      <c r="C1266" s="7" t="str">
        <f>IF(RETORNOS!H1266="","",RETORNOS!H1266)</f>
        <v/>
      </c>
      <c r="D1266" s="7" t="str">
        <f>IF(RETORNOS!I1266="","",RETORNOS!I1266)</f>
        <v/>
      </c>
      <c r="E1266" s="7" t="str">
        <f t="shared" si="2"/>
        <v/>
      </c>
      <c r="F1266" s="7" t="str">
        <f t="shared" si="3"/>
        <v/>
      </c>
      <c r="G1266" s="7" t="str">
        <f t="shared" si="4"/>
        <v/>
      </c>
      <c r="H1266" s="5" t="str">
        <f t="shared" ref="H1266:K1266" si="1266">IF(B1266="","",H1265*(1+B1266))</f>
        <v/>
      </c>
      <c r="I1266" s="5" t="str">
        <f t="shared" si="1266"/>
        <v/>
      </c>
      <c r="J1266" s="5" t="str">
        <f t="shared" si="1266"/>
        <v/>
      </c>
      <c r="K1266" s="5" t="str">
        <f t="shared" si="1266"/>
        <v/>
      </c>
      <c r="L1266" s="7" t="str">
        <f t="shared" si="6"/>
        <v/>
      </c>
    </row>
    <row r="1267" ht="15.75" customHeight="1">
      <c r="A1267" s="4" t="str">
        <f>IF(RETORNOS!A1267="","",RETORNOS!A1267)</f>
        <v/>
      </c>
      <c r="B1267" s="7" t="str">
        <f>IF(RETORNOS!B1267="","",OPTIMIZACION!$B$5*RETORNOS!B1267+OPTIMIZACION!$B$6*RETORNOS!C1267+OPTIMIZACION!$B$7*RETORNOS!D1267+OPTIMIZACION!$B$8*RETORNOS!E1267+OPTIMIZACION!$B$9*RETORNOS!F1267+OPTIMIZACION!$B$10*RETORNOS!G1267)</f>
        <v/>
      </c>
      <c r="C1267" s="7" t="str">
        <f>IF(RETORNOS!H1267="","",RETORNOS!H1267)</f>
        <v/>
      </c>
      <c r="D1267" s="7" t="str">
        <f>IF(RETORNOS!I1267="","",RETORNOS!I1267)</f>
        <v/>
      </c>
      <c r="E1267" s="7" t="str">
        <f t="shared" si="2"/>
        <v/>
      </c>
      <c r="F1267" s="7" t="str">
        <f t="shared" si="3"/>
        <v/>
      </c>
      <c r="G1267" s="7" t="str">
        <f t="shared" si="4"/>
        <v/>
      </c>
      <c r="H1267" s="5" t="str">
        <f t="shared" ref="H1267:K1267" si="1267">IF(B1267="","",H1266*(1+B1267))</f>
        <v/>
      </c>
      <c r="I1267" s="5" t="str">
        <f t="shared" si="1267"/>
        <v/>
      </c>
      <c r="J1267" s="5" t="str">
        <f t="shared" si="1267"/>
        <v/>
      </c>
      <c r="K1267" s="5" t="str">
        <f t="shared" si="1267"/>
        <v/>
      </c>
      <c r="L1267" s="7" t="str">
        <f t="shared" si="6"/>
        <v/>
      </c>
    </row>
    <row r="1268" ht="15.75" customHeight="1">
      <c r="A1268" s="4" t="str">
        <f>IF(RETORNOS!A1268="","",RETORNOS!A1268)</f>
        <v/>
      </c>
      <c r="B1268" s="7" t="str">
        <f>IF(RETORNOS!B1268="","",OPTIMIZACION!$B$5*RETORNOS!B1268+OPTIMIZACION!$B$6*RETORNOS!C1268+OPTIMIZACION!$B$7*RETORNOS!D1268+OPTIMIZACION!$B$8*RETORNOS!E1268+OPTIMIZACION!$B$9*RETORNOS!F1268+OPTIMIZACION!$B$10*RETORNOS!G1268)</f>
        <v/>
      </c>
      <c r="C1268" s="7" t="str">
        <f>IF(RETORNOS!H1268="","",RETORNOS!H1268)</f>
        <v/>
      </c>
      <c r="D1268" s="7" t="str">
        <f>IF(RETORNOS!I1268="","",RETORNOS!I1268)</f>
        <v/>
      </c>
      <c r="E1268" s="7" t="str">
        <f t="shared" si="2"/>
        <v/>
      </c>
      <c r="F1268" s="7" t="str">
        <f t="shared" si="3"/>
        <v/>
      </c>
      <c r="G1268" s="7" t="str">
        <f t="shared" si="4"/>
        <v/>
      </c>
      <c r="H1268" s="5" t="str">
        <f t="shared" ref="H1268:K1268" si="1268">IF(B1268="","",H1267*(1+B1268))</f>
        <v/>
      </c>
      <c r="I1268" s="5" t="str">
        <f t="shared" si="1268"/>
        <v/>
      </c>
      <c r="J1268" s="5" t="str">
        <f t="shared" si="1268"/>
        <v/>
      </c>
      <c r="K1268" s="5" t="str">
        <f t="shared" si="1268"/>
        <v/>
      </c>
      <c r="L1268" s="7" t="str">
        <f t="shared" si="6"/>
        <v/>
      </c>
    </row>
    <row r="1269" ht="15.75" customHeight="1">
      <c r="A1269" s="4" t="str">
        <f>IF(RETORNOS!A1269="","",RETORNOS!A1269)</f>
        <v/>
      </c>
      <c r="B1269" s="7" t="str">
        <f>IF(RETORNOS!B1269="","",OPTIMIZACION!$B$5*RETORNOS!B1269+OPTIMIZACION!$B$6*RETORNOS!C1269+OPTIMIZACION!$B$7*RETORNOS!D1269+OPTIMIZACION!$B$8*RETORNOS!E1269+OPTIMIZACION!$B$9*RETORNOS!F1269+OPTIMIZACION!$B$10*RETORNOS!G1269)</f>
        <v/>
      </c>
      <c r="C1269" s="7" t="str">
        <f>IF(RETORNOS!H1269="","",RETORNOS!H1269)</f>
        <v/>
      </c>
      <c r="D1269" s="7" t="str">
        <f>IF(RETORNOS!I1269="","",RETORNOS!I1269)</f>
        <v/>
      </c>
      <c r="E1269" s="7" t="str">
        <f t="shared" si="2"/>
        <v/>
      </c>
      <c r="F1269" s="7" t="str">
        <f t="shared" si="3"/>
        <v/>
      </c>
      <c r="G1269" s="7" t="str">
        <f t="shared" si="4"/>
        <v/>
      </c>
      <c r="H1269" s="5" t="str">
        <f t="shared" ref="H1269:K1269" si="1269">IF(B1269="","",H1268*(1+B1269))</f>
        <v/>
      </c>
      <c r="I1269" s="5" t="str">
        <f t="shared" si="1269"/>
        <v/>
      </c>
      <c r="J1269" s="5" t="str">
        <f t="shared" si="1269"/>
        <v/>
      </c>
      <c r="K1269" s="5" t="str">
        <f t="shared" si="1269"/>
        <v/>
      </c>
      <c r="L1269" s="7" t="str">
        <f t="shared" si="6"/>
        <v/>
      </c>
    </row>
    <row r="1270" ht="15.75" customHeight="1">
      <c r="A1270" s="4" t="str">
        <f>IF(RETORNOS!A1270="","",RETORNOS!A1270)</f>
        <v/>
      </c>
      <c r="B1270" s="7" t="str">
        <f>IF(RETORNOS!B1270="","",OPTIMIZACION!$B$5*RETORNOS!B1270+OPTIMIZACION!$B$6*RETORNOS!C1270+OPTIMIZACION!$B$7*RETORNOS!D1270+OPTIMIZACION!$B$8*RETORNOS!E1270+OPTIMIZACION!$B$9*RETORNOS!F1270+OPTIMIZACION!$B$10*RETORNOS!G1270)</f>
        <v/>
      </c>
      <c r="C1270" s="7" t="str">
        <f>IF(RETORNOS!H1270="","",RETORNOS!H1270)</f>
        <v/>
      </c>
      <c r="D1270" s="7" t="str">
        <f>IF(RETORNOS!I1270="","",RETORNOS!I1270)</f>
        <v/>
      </c>
      <c r="E1270" s="7" t="str">
        <f t="shared" si="2"/>
        <v/>
      </c>
      <c r="F1270" s="7" t="str">
        <f t="shared" si="3"/>
        <v/>
      </c>
      <c r="G1270" s="7" t="str">
        <f t="shared" si="4"/>
        <v/>
      </c>
      <c r="H1270" s="5" t="str">
        <f t="shared" ref="H1270:K1270" si="1270">IF(B1270="","",H1269*(1+B1270))</f>
        <v/>
      </c>
      <c r="I1270" s="5" t="str">
        <f t="shared" si="1270"/>
        <v/>
      </c>
      <c r="J1270" s="5" t="str">
        <f t="shared" si="1270"/>
        <v/>
      </c>
      <c r="K1270" s="5" t="str">
        <f t="shared" si="1270"/>
        <v/>
      </c>
      <c r="L1270" s="7" t="str">
        <f t="shared" si="6"/>
        <v/>
      </c>
    </row>
    <row r="1271" ht="15.75" customHeight="1">
      <c r="A1271" s="4" t="str">
        <f>IF(RETORNOS!A1271="","",RETORNOS!A1271)</f>
        <v/>
      </c>
      <c r="B1271" s="7" t="str">
        <f>IF(RETORNOS!B1271="","",OPTIMIZACION!$B$5*RETORNOS!B1271+OPTIMIZACION!$B$6*RETORNOS!C1271+OPTIMIZACION!$B$7*RETORNOS!D1271+OPTIMIZACION!$B$8*RETORNOS!E1271+OPTIMIZACION!$B$9*RETORNOS!F1271+OPTIMIZACION!$B$10*RETORNOS!G1271)</f>
        <v/>
      </c>
      <c r="C1271" s="7" t="str">
        <f>IF(RETORNOS!H1271="","",RETORNOS!H1271)</f>
        <v/>
      </c>
      <c r="D1271" s="7" t="str">
        <f>IF(RETORNOS!I1271="","",RETORNOS!I1271)</f>
        <v/>
      </c>
      <c r="E1271" s="7" t="str">
        <f t="shared" si="2"/>
        <v/>
      </c>
      <c r="F1271" s="7" t="str">
        <f t="shared" si="3"/>
        <v/>
      </c>
      <c r="G1271" s="7" t="str">
        <f t="shared" si="4"/>
        <v/>
      </c>
      <c r="H1271" s="5" t="str">
        <f t="shared" ref="H1271:K1271" si="1271">IF(B1271="","",H1270*(1+B1271))</f>
        <v/>
      </c>
      <c r="I1271" s="5" t="str">
        <f t="shared" si="1271"/>
        <v/>
      </c>
      <c r="J1271" s="5" t="str">
        <f t="shared" si="1271"/>
        <v/>
      </c>
      <c r="K1271" s="5" t="str">
        <f t="shared" si="1271"/>
        <v/>
      </c>
      <c r="L1271" s="7" t="str">
        <f t="shared" si="6"/>
        <v/>
      </c>
    </row>
    <row r="1272" ht="15.75" customHeight="1">
      <c r="A1272" s="4" t="str">
        <f>IF(RETORNOS!A1272="","",RETORNOS!A1272)</f>
        <v/>
      </c>
      <c r="B1272" s="7" t="str">
        <f>IF(RETORNOS!B1272="","",OPTIMIZACION!$B$5*RETORNOS!B1272+OPTIMIZACION!$B$6*RETORNOS!C1272+OPTIMIZACION!$B$7*RETORNOS!D1272+OPTIMIZACION!$B$8*RETORNOS!E1272+OPTIMIZACION!$B$9*RETORNOS!F1272+OPTIMIZACION!$B$10*RETORNOS!G1272)</f>
        <v/>
      </c>
      <c r="C1272" s="7" t="str">
        <f>IF(RETORNOS!H1272="","",RETORNOS!H1272)</f>
        <v/>
      </c>
      <c r="D1272" s="7" t="str">
        <f>IF(RETORNOS!I1272="","",RETORNOS!I1272)</f>
        <v/>
      </c>
      <c r="E1272" s="7" t="str">
        <f t="shared" si="2"/>
        <v/>
      </c>
      <c r="F1272" s="7" t="str">
        <f t="shared" si="3"/>
        <v/>
      </c>
      <c r="G1272" s="7" t="str">
        <f t="shared" si="4"/>
        <v/>
      </c>
      <c r="H1272" s="5" t="str">
        <f t="shared" ref="H1272:K1272" si="1272">IF(B1272="","",H1271*(1+B1272))</f>
        <v/>
      </c>
      <c r="I1272" s="5" t="str">
        <f t="shared" si="1272"/>
        <v/>
      </c>
      <c r="J1272" s="5" t="str">
        <f t="shared" si="1272"/>
        <v/>
      </c>
      <c r="K1272" s="5" t="str">
        <f t="shared" si="1272"/>
        <v/>
      </c>
      <c r="L1272" s="7" t="str">
        <f t="shared" si="6"/>
        <v/>
      </c>
    </row>
    <row r="1273" ht="15.75" customHeight="1">
      <c r="A1273" s="4" t="str">
        <f>IF(RETORNOS!A1273="","",RETORNOS!A1273)</f>
        <v/>
      </c>
      <c r="B1273" s="7" t="str">
        <f>IF(RETORNOS!B1273="","",OPTIMIZACION!$B$5*RETORNOS!B1273+OPTIMIZACION!$B$6*RETORNOS!C1273+OPTIMIZACION!$B$7*RETORNOS!D1273+OPTIMIZACION!$B$8*RETORNOS!E1273+OPTIMIZACION!$B$9*RETORNOS!F1273+OPTIMIZACION!$B$10*RETORNOS!G1273)</f>
        <v/>
      </c>
      <c r="C1273" s="7" t="str">
        <f>IF(RETORNOS!H1273="","",RETORNOS!H1273)</f>
        <v/>
      </c>
      <c r="D1273" s="7" t="str">
        <f>IF(RETORNOS!I1273="","",RETORNOS!I1273)</f>
        <v/>
      </c>
      <c r="E1273" s="7" t="str">
        <f t="shared" si="2"/>
        <v/>
      </c>
      <c r="F1273" s="7" t="str">
        <f t="shared" si="3"/>
        <v/>
      </c>
      <c r="G1273" s="7" t="str">
        <f t="shared" si="4"/>
        <v/>
      </c>
      <c r="H1273" s="5" t="str">
        <f t="shared" ref="H1273:K1273" si="1273">IF(B1273="","",H1272*(1+B1273))</f>
        <v/>
      </c>
      <c r="I1273" s="5" t="str">
        <f t="shared" si="1273"/>
        <v/>
      </c>
      <c r="J1273" s="5" t="str">
        <f t="shared" si="1273"/>
        <v/>
      </c>
      <c r="K1273" s="5" t="str">
        <f t="shared" si="1273"/>
        <v/>
      </c>
      <c r="L1273" s="7" t="str">
        <f t="shared" si="6"/>
        <v/>
      </c>
    </row>
    <row r="1274" ht="15.75" customHeight="1">
      <c r="A1274" s="4" t="str">
        <f>IF(RETORNOS!A1274="","",RETORNOS!A1274)</f>
        <v/>
      </c>
      <c r="B1274" s="7" t="str">
        <f>IF(RETORNOS!B1274="","",OPTIMIZACION!$B$5*RETORNOS!B1274+OPTIMIZACION!$B$6*RETORNOS!C1274+OPTIMIZACION!$B$7*RETORNOS!D1274+OPTIMIZACION!$B$8*RETORNOS!E1274+OPTIMIZACION!$B$9*RETORNOS!F1274+OPTIMIZACION!$B$10*RETORNOS!G1274)</f>
        <v/>
      </c>
      <c r="C1274" s="7" t="str">
        <f>IF(RETORNOS!H1274="","",RETORNOS!H1274)</f>
        <v/>
      </c>
      <c r="D1274" s="7" t="str">
        <f>IF(RETORNOS!I1274="","",RETORNOS!I1274)</f>
        <v/>
      </c>
      <c r="E1274" s="7" t="str">
        <f t="shared" si="2"/>
        <v/>
      </c>
      <c r="F1274" s="7" t="str">
        <f t="shared" si="3"/>
        <v/>
      </c>
      <c r="G1274" s="7" t="str">
        <f t="shared" si="4"/>
        <v/>
      </c>
      <c r="H1274" s="5" t="str">
        <f t="shared" ref="H1274:K1274" si="1274">IF(B1274="","",H1273*(1+B1274))</f>
        <v/>
      </c>
      <c r="I1274" s="5" t="str">
        <f t="shared" si="1274"/>
        <v/>
      </c>
      <c r="J1274" s="5" t="str">
        <f t="shared" si="1274"/>
        <v/>
      </c>
      <c r="K1274" s="5" t="str">
        <f t="shared" si="1274"/>
        <v/>
      </c>
      <c r="L1274" s="7" t="str">
        <f t="shared" si="6"/>
        <v/>
      </c>
    </row>
    <row r="1275" ht="15.75" customHeight="1">
      <c r="A1275" s="4" t="str">
        <f>IF(RETORNOS!A1275="","",RETORNOS!A1275)</f>
        <v/>
      </c>
      <c r="B1275" s="7" t="str">
        <f>IF(RETORNOS!B1275="","",OPTIMIZACION!$B$5*RETORNOS!B1275+OPTIMIZACION!$B$6*RETORNOS!C1275+OPTIMIZACION!$B$7*RETORNOS!D1275+OPTIMIZACION!$B$8*RETORNOS!E1275+OPTIMIZACION!$B$9*RETORNOS!F1275+OPTIMIZACION!$B$10*RETORNOS!G1275)</f>
        <v/>
      </c>
      <c r="C1275" s="7" t="str">
        <f>IF(RETORNOS!H1275="","",RETORNOS!H1275)</f>
        <v/>
      </c>
      <c r="D1275" s="7" t="str">
        <f>IF(RETORNOS!I1275="","",RETORNOS!I1275)</f>
        <v/>
      </c>
      <c r="E1275" s="7" t="str">
        <f t="shared" si="2"/>
        <v/>
      </c>
      <c r="F1275" s="7" t="str">
        <f t="shared" si="3"/>
        <v/>
      </c>
      <c r="G1275" s="7" t="str">
        <f t="shared" si="4"/>
        <v/>
      </c>
      <c r="H1275" s="5" t="str">
        <f t="shared" ref="H1275:K1275" si="1275">IF(B1275="","",H1274*(1+B1275))</f>
        <v/>
      </c>
      <c r="I1275" s="5" t="str">
        <f t="shared" si="1275"/>
        <v/>
      </c>
      <c r="J1275" s="5" t="str">
        <f t="shared" si="1275"/>
        <v/>
      </c>
      <c r="K1275" s="5" t="str">
        <f t="shared" si="1275"/>
        <v/>
      </c>
      <c r="L1275" s="7" t="str">
        <f t="shared" si="6"/>
        <v/>
      </c>
    </row>
    <row r="1276" ht="15.75" customHeight="1">
      <c r="A1276" s="4" t="str">
        <f>IF(RETORNOS!A1276="","",RETORNOS!A1276)</f>
        <v/>
      </c>
      <c r="B1276" s="7" t="str">
        <f>IF(RETORNOS!B1276="","",OPTIMIZACION!$B$5*RETORNOS!B1276+OPTIMIZACION!$B$6*RETORNOS!C1276+OPTIMIZACION!$B$7*RETORNOS!D1276+OPTIMIZACION!$B$8*RETORNOS!E1276+OPTIMIZACION!$B$9*RETORNOS!F1276+OPTIMIZACION!$B$10*RETORNOS!G1276)</f>
        <v/>
      </c>
      <c r="C1276" s="7" t="str">
        <f>IF(RETORNOS!H1276="","",RETORNOS!H1276)</f>
        <v/>
      </c>
      <c r="D1276" s="7" t="str">
        <f>IF(RETORNOS!I1276="","",RETORNOS!I1276)</f>
        <v/>
      </c>
      <c r="E1276" s="7" t="str">
        <f t="shared" si="2"/>
        <v/>
      </c>
      <c r="F1276" s="7" t="str">
        <f t="shared" si="3"/>
        <v/>
      </c>
      <c r="G1276" s="7" t="str">
        <f t="shared" si="4"/>
        <v/>
      </c>
      <c r="H1276" s="5" t="str">
        <f t="shared" ref="H1276:K1276" si="1276">IF(B1276="","",H1275*(1+B1276))</f>
        <v/>
      </c>
      <c r="I1276" s="5" t="str">
        <f t="shared" si="1276"/>
        <v/>
      </c>
      <c r="J1276" s="5" t="str">
        <f t="shared" si="1276"/>
        <v/>
      </c>
      <c r="K1276" s="5" t="str">
        <f t="shared" si="1276"/>
        <v/>
      </c>
      <c r="L1276" s="7" t="str">
        <f t="shared" si="6"/>
        <v/>
      </c>
    </row>
    <row r="1277" ht="15.75" customHeight="1">
      <c r="A1277" s="4" t="str">
        <f>IF(RETORNOS!A1277="","",RETORNOS!A1277)</f>
        <v/>
      </c>
      <c r="B1277" s="7" t="str">
        <f>IF(RETORNOS!B1277="","",OPTIMIZACION!$B$5*RETORNOS!B1277+OPTIMIZACION!$B$6*RETORNOS!C1277+OPTIMIZACION!$B$7*RETORNOS!D1277+OPTIMIZACION!$B$8*RETORNOS!E1277+OPTIMIZACION!$B$9*RETORNOS!F1277+OPTIMIZACION!$B$10*RETORNOS!G1277)</f>
        <v/>
      </c>
      <c r="C1277" s="7" t="str">
        <f>IF(RETORNOS!H1277="","",RETORNOS!H1277)</f>
        <v/>
      </c>
      <c r="D1277" s="7" t="str">
        <f>IF(RETORNOS!I1277="","",RETORNOS!I1277)</f>
        <v/>
      </c>
      <c r="E1277" s="7" t="str">
        <f t="shared" si="2"/>
        <v/>
      </c>
      <c r="F1277" s="7" t="str">
        <f t="shared" si="3"/>
        <v/>
      </c>
      <c r="G1277" s="7" t="str">
        <f t="shared" si="4"/>
        <v/>
      </c>
      <c r="H1277" s="5" t="str">
        <f t="shared" ref="H1277:K1277" si="1277">IF(B1277="","",H1276*(1+B1277))</f>
        <v/>
      </c>
      <c r="I1277" s="5" t="str">
        <f t="shared" si="1277"/>
        <v/>
      </c>
      <c r="J1277" s="5" t="str">
        <f t="shared" si="1277"/>
        <v/>
      </c>
      <c r="K1277" s="5" t="str">
        <f t="shared" si="1277"/>
        <v/>
      </c>
      <c r="L1277" s="7" t="str">
        <f t="shared" si="6"/>
        <v/>
      </c>
    </row>
    <row r="1278" ht="15.75" customHeight="1">
      <c r="A1278" s="4" t="str">
        <f>IF(RETORNOS!A1278="","",RETORNOS!A1278)</f>
        <v/>
      </c>
      <c r="B1278" s="7" t="str">
        <f>IF(RETORNOS!B1278="","",OPTIMIZACION!$B$5*RETORNOS!B1278+OPTIMIZACION!$B$6*RETORNOS!C1278+OPTIMIZACION!$B$7*RETORNOS!D1278+OPTIMIZACION!$B$8*RETORNOS!E1278+OPTIMIZACION!$B$9*RETORNOS!F1278+OPTIMIZACION!$B$10*RETORNOS!G1278)</f>
        <v/>
      </c>
      <c r="C1278" s="7" t="str">
        <f>IF(RETORNOS!H1278="","",RETORNOS!H1278)</f>
        <v/>
      </c>
      <c r="D1278" s="7" t="str">
        <f>IF(RETORNOS!I1278="","",RETORNOS!I1278)</f>
        <v/>
      </c>
      <c r="E1278" s="7" t="str">
        <f t="shared" si="2"/>
        <v/>
      </c>
      <c r="F1278" s="7" t="str">
        <f t="shared" si="3"/>
        <v/>
      </c>
      <c r="G1278" s="7" t="str">
        <f t="shared" si="4"/>
        <v/>
      </c>
      <c r="H1278" s="5" t="str">
        <f t="shared" ref="H1278:K1278" si="1278">IF(B1278="","",H1277*(1+B1278))</f>
        <v/>
      </c>
      <c r="I1278" s="5" t="str">
        <f t="shared" si="1278"/>
        <v/>
      </c>
      <c r="J1278" s="5" t="str">
        <f t="shared" si="1278"/>
        <v/>
      </c>
      <c r="K1278" s="5" t="str">
        <f t="shared" si="1278"/>
        <v/>
      </c>
      <c r="L1278" s="7" t="str">
        <f t="shared" si="6"/>
        <v/>
      </c>
    </row>
    <row r="1279" ht="15.75" customHeight="1">
      <c r="A1279" s="4" t="str">
        <f>IF(RETORNOS!A1279="","",RETORNOS!A1279)</f>
        <v/>
      </c>
      <c r="B1279" s="7" t="str">
        <f>IF(RETORNOS!B1279="","",OPTIMIZACION!$B$5*RETORNOS!B1279+OPTIMIZACION!$B$6*RETORNOS!C1279+OPTIMIZACION!$B$7*RETORNOS!D1279+OPTIMIZACION!$B$8*RETORNOS!E1279+OPTIMIZACION!$B$9*RETORNOS!F1279+OPTIMIZACION!$B$10*RETORNOS!G1279)</f>
        <v/>
      </c>
      <c r="C1279" s="7" t="str">
        <f>IF(RETORNOS!H1279="","",RETORNOS!H1279)</f>
        <v/>
      </c>
      <c r="D1279" s="7" t="str">
        <f>IF(RETORNOS!I1279="","",RETORNOS!I1279)</f>
        <v/>
      </c>
      <c r="E1279" s="7" t="str">
        <f t="shared" si="2"/>
        <v/>
      </c>
      <c r="F1279" s="7" t="str">
        <f t="shared" si="3"/>
        <v/>
      </c>
      <c r="G1279" s="7" t="str">
        <f t="shared" si="4"/>
        <v/>
      </c>
      <c r="H1279" s="5" t="str">
        <f t="shared" ref="H1279:K1279" si="1279">IF(B1279="","",H1278*(1+B1279))</f>
        <v/>
      </c>
      <c r="I1279" s="5" t="str">
        <f t="shared" si="1279"/>
        <v/>
      </c>
      <c r="J1279" s="5" t="str">
        <f t="shared" si="1279"/>
        <v/>
      </c>
      <c r="K1279" s="5" t="str">
        <f t="shared" si="1279"/>
        <v/>
      </c>
      <c r="L1279" s="7" t="str">
        <f t="shared" si="6"/>
        <v/>
      </c>
    </row>
    <row r="1280" ht="15.75" customHeight="1">
      <c r="A1280" s="4" t="str">
        <f>IF(RETORNOS!A1280="","",RETORNOS!A1280)</f>
        <v/>
      </c>
      <c r="B1280" s="7" t="str">
        <f>IF(RETORNOS!B1280="","",OPTIMIZACION!$B$5*RETORNOS!B1280+OPTIMIZACION!$B$6*RETORNOS!C1280+OPTIMIZACION!$B$7*RETORNOS!D1280+OPTIMIZACION!$B$8*RETORNOS!E1280+OPTIMIZACION!$B$9*RETORNOS!F1280+OPTIMIZACION!$B$10*RETORNOS!G1280)</f>
        <v/>
      </c>
      <c r="C1280" s="7" t="str">
        <f>IF(RETORNOS!H1280="","",RETORNOS!H1280)</f>
        <v/>
      </c>
      <c r="D1280" s="7" t="str">
        <f>IF(RETORNOS!I1280="","",RETORNOS!I1280)</f>
        <v/>
      </c>
      <c r="E1280" s="7" t="str">
        <f t="shared" si="2"/>
        <v/>
      </c>
      <c r="F1280" s="7" t="str">
        <f t="shared" si="3"/>
        <v/>
      </c>
      <c r="G1280" s="7" t="str">
        <f t="shared" si="4"/>
        <v/>
      </c>
      <c r="H1280" s="5" t="str">
        <f t="shared" ref="H1280:K1280" si="1280">IF(B1280="","",H1279*(1+B1280))</f>
        <v/>
      </c>
      <c r="I1280" s="5" t="str">
        <f t="shared" si="1280"/>
        <v/>
      </c>
      <c r="J1280" s="5" t="str">
        <f t="shared" si="1280"/>
        <v/>
      </c>
      <c r="K1280" s="5" t="str">
        <f t="shared" si="1280"/>
        <v/>
      </c>
      <c r="L1280" s="7" t="str">
        <f t="shared" si="6"/>
        <v/>
      </c>
    </row>
    <row r="1281" ht="15.75" customHeight="1">
      <c r="A1281" s="4" t="str">
        <f>IF(RETORNOS!A1281="","",RETORNOS!A1281)</f>
        <v/>
      </c>
      <c r="B1281" s="7" t="str">
        <f>IF(RETORNOS!B1281="","",OPTIMIZACION!$B$5*RETORNOS!B1281+OPTIMIZACION!$B$6*RETORNOS!C1281+OPTIMIZACION!$B$7*RETORNOS!D1281+OPTIMIZACION!$B$8*RETORNOS!E1281+OPTIMIZACION!$B$9*RETORNOS!F1281+OPTIMIZACION!$B$10*RETORNOS!G1281)</f>
        <v/>
      </c>
      <c r="C1281" s="7" t="str">
        <f>IF(RETORNOS!H1281="","",RETORNOS!H1281)</f>
        <v/>
      </c>
      <c r="D1281" s="7" t="str">
        <f>IF(RETORNOS!I1281="","",RETORNOS!I1281)</f>
        <v/>
      </c>
      <c r="E1281" s="7" t="str">
        <f t="shared" si="2"/>
        <v/>
      </c>
      <c r="F1281" s="7" t="str">
        <f t="shared" si="3"/>
        <v/>
      </c>
      <c r="G1281" s="7" t="str">
        <f t="shared" si="4"/>
        <v/>
      </c>
      <c r="H1281" s="5" t="str">
        <f t="shared" ref="H1281:K1281" si="1281">IF(B1281="","",H1280*(1+B1281))</f>
        <v/>
      </c>
      <c r="I1281" s="5" t="str">
        <f t="shared" si="1281"/>
        <v/>
      </c>
      <c r="J1281" s="5" t="str">
        <f t="shared" si="1281"/>
        <v/>
      </c>
      <c r="K1281" s="5" t="str">
        <f t="shared" si="1281"/>
        <v/>
      </c>
      <c r="L1281" s="7" t="str">
        <f t="shared" si="6"/>
        <v/>
      </c>
    </row>
    <row r="1282" ht="15.75" customHeight="1">
      <c r="A1282" s="4" t="str">
        <f>IF(RETORNOS!A1282="","",RETORNOS!A1282)</f>
        <v/>
      </c>
      <c r="B1282" s="7" t="str">
        <f>IF(RETORNOS!B1282="","",OPTIMIZACION!$B$5*RETORNOS!B1282+OPTIMIZACION!$B$6*RETORNOS!C1282+OPTIMIZACION!$B$7*RETORNOS!D1282+OPTIMIZACION!$B$8*RETORNOS!E1282+OPTIMIZACION!$B$9*RETORNOS!F1282+OPTIMIZACION!$B$10*RETORNOS!G1282)</f>
        <v/>
      </c>
      <c r="C1282" s="7" t="str">
        <f>IF(RETORNOS!H1282="","",RETORNOS!H1282)</f>
        <v/>
      </c>
      <c r="D1282" s="7" t="str">
        <f>IF(RETORNOS!I1282="","",RETORNOS!I1282)</f>
        <v/>
      </c>
      <c r="E1282" s="7" t="str">
        <f t="shared" si="2"/>
        <v/>
      </c>
      <c r="F1282" s="7" t="str">
        <f t="shared" si="3"/>
        <v/>
      </c>
      <c r="G1282" s="7" t="str">
        <f t="shared" si="4"/>
        <v/>
      </c>
      <c r="H1282" s="5" t="str">
        <f t="shared" ref="H1282:K1282" si="1282">IF(B1282="","",H1281*(1+B1282))</f>
        <v/>
      </c>
      <c r="I1282" s="5" t="str">
        <f t="shared" si="1282"/>
        <v/>
      </c>
      <c r="J1282" s="5" t="str">
        <f t="shared" si="1282"/>
        <v/>
      </c>
      <c r="K1282" s="5" t="str">
        <f t="shared" si="1282"/>
        <v/>
      </c>
      <c r="L1282" s="7" t="str">
        <f t="shared" si="6"/>
        <v/>
      </c>
    </row>
    <row r="1283" ht="15.75" customHeight="1">
      <c r="A1283" s="4" t="str">
        <f>IF(RETORNOS!A1283="","",RETORNOS!A1283)</f>
        <v/>
      </c>
      <c r="B1283" s="7" t="str">
        <f>IF(RETORNOS!B1283="","",OPTIMIZACION!$B$5*RETORNOS!B1283+OPTIMIZACION!$B$6*RETORNOS!C1283+OPTIMIZACION!$B$7*RETORNOS!D1283+OPTIMIZACION!$B$8*RETORNOS!E1283+OPTIMIZACION!$B$9*RETORNOS!F1283+OPTIMIZACION!$B$10*RETORNOS!G1283)</f>
        <v/>
      </c>
      <c r="C1283" s="7" t="str">
        <f>IF(RETORNOS!H1283="","",RETORNOS!H1283)</f>
        <v/>
      </c>
      <c r="D1283" s="7" t="str">
        <f>IF(RETORNOS!I1283="","",RETORNOS!I1283)</f>
        <v/>
      </c>
      <c r="E1283" s="7" t="str">
        <f t="shared" si="2"/>
        <v/>
      </c>
      <c r="F1283" s="7" t="str">
        <f t="shared" si="3"/>
        <v/>
      </c>
      <c r="G1283" s="7" t="str">
        <f t="shared" si="4"/>
        <v/>
      </c>
      <c r="H1283" s="5" t="str">
        <f t="shared" ref="H1283:K1283" si="1283">IF(B1283="","",H1282*(1+B1283))</f>
        <v/>
      </c>
      <c r="I1283" s="5" t="str">
        <f t="shared" si="1283"/>
        <v/>
      </c>
      <c r="J1283" s="5" t="str">
        <f t="shared" si="1283"/>
        <v/>
      </c>
      <c r="K1283" s="5" t="str">
        <f t="shared" si="1283"/>
        <v/>
      </c>
      <c r="L1283" s="7" t="str">
        <f t="shared" si="6"/>
        <v/>
      </c>
    </row>
    <row r="1284" ht="15.75" customHeight="1">
      <c r="A1284" s="4" t="str">
        <f>IF(RETORNOS!A1284="","",RETORNOS!A1284)</f>
        <v/>
      </c>
      <c r="B1284" s="7" t="str">
        <f>IF(RETORNOS!B1284="","",OPTIMIZACION!$B$5*RETORNOS!B1284+OPTIMIZACION!$B$6*RETORNOS!C1284+OPTIMIZACION!$B$7*RETORNOS!D1284+OPTIMIZACION!$B$8*RETORNOS!E1284+OPTIMIZACION!$B$9*RETORNOS!F1284+OPTIMIZACION!$B$10*RETORNOS!G1284)</f>
        <v/>
      </c>
      <c r="C1284" s="7" t="str">
        <f>IF(RETORNOS!H1284="","",RETORNOS!H1284)</f>
        <v/>
      </c>
      <c r="D1284" s="7" t="str">
        <f>IF(RETORNOS!I1284="","",RETORNOS!I1284)</f>
        <v/>
      </c>
      <c r="E1284" s="7" t="str">
        <f t="shared" si="2"/>
        <v/>
      </c>
      <c r="F1284" s="7" t="str">
        <f t="shared" si="3"/>
        <v/>
      </c>
      <c r="G1284" s="7" t="str">
        <f t="shared" si="4"/>
        <v/>
      </c>
      <c r="H1284" s="5" t="str">
        <f t="shared" ref="H1284:K1284" si="1284">IF(B1284="","",H1283*(1+B1284))</f>
        <v/>
      </c>
      <c r="I1284" s="5" t="str">
        <f t="shared" si="1284"/>
        <v/>
      </c>
      <c r="J1284" s="5" t="str">
        <f t="shared" si="1284"/>
        <v/>
      </c>
      <c r="K1284" s="5" t="str">
        <f t="shared" si="1284"/>
        <v/>
      </c>
      <c r="L1284" s="7" t="str">
        <f t="shared" si="6"/>
        <v/>
      </c>
    </row>
    <row r="1285" ht="15.75" customHeight="1">
      <c r="A1285" s="4" t="str">
        <f>IF(RETORNOS!A1285="","",RETORNOS!A1285)</f>
        <v/>
      </c>
      <c r="B1285" s="7" t="str">
        <f>IF(RETORNOS!B1285="","",OPTIMIZACION!$B$5*RETORNOS!B1285+OPTIMIZACION!$B$6*RETORNOS!C1285+OPTIMIZACION!$B$7*RETORNOS!D1285+OPTIMIZACION!$B$8*RETORNOS!E1285+OPTIMIZACION!$B$9*RETORNOS!F1285+OPTIMIZACION!$B$10*RETORNOS!G1285)</f>
        <v/>
      </c>
      <c r="C1285" s="7" t="str">
        <f>IF(RETORNOS!H1285="","",RETORNOS!H1285)</f>
        <v/>
      </c>
      <c r="D1285" s="7" t="str">
        <f>IF(RETORNOS!I1285="","",RETORNOS!I1285)</f>
        <v/>
      </c>
      <c r="E1285" s="7" t="str">
        <f t="shared" si="2"/>
        <v/>
      </c>
      <c r="F1285" s="7" t="str">
        <f t="shared" si="3"/>
        <v/>
      </c>
      <c r="G1285" s="7" t="str">
        <f t="shared" si="4"/>
        <v/>
      </c>
      <c r="H1285" s="5" t="str">
        <f t="shared" ref="H1285:K1285" si="1285">IF(B1285="","",H1284*(1+B1285))</f>
        <v/>
      </c>
      <c r="I1285" s="5" t="str">
        <f t="shared" si="1285"/>
        <v/>
      </c>
      <c r="J1285" s="5" t="str">
        <f t="shared" si="1285"/>
        <v/>
      </c>
      <c r="K1285" s="5" t="str">
        <f t="shared" si="1285"/>
        <v/>
      </c>
      <c r="L1285" s="7" t="str">
        <f t="shared" si="6"/>
        <v/>
      </c>
    </row>
    <row r="1286" ht="15.75" customHeight="1">
      <c r="A1286" s="4" t="str">
        <f>IF(RETORNOS!A1286="","",RETORNOS!A1286)</f>
        <v/>
      </c>
      <c r="B1286" s="7" t="str">
        <f>IF(RETORNOS!B1286="","",OPTIMIZACION!$B$5*RETORNOS!B1286+OPTIMIZACION!$B$6*RETORNOS!C1286+OPTIMIZACION!$B$7*RETORNOS!D1286+OPTIMIZACION!$B$8*RETORNOS!E1286+OPTIMIZACION!$B$9*RETORNOS!F1286+OPTIMIZACION!$B$10*RETORNOS!G1286)</f>
        <v/>
      </c>
      <c r="C1286" s="7" t="str">
        <f>IF(RETORNOS!H1286="","",RETORNOS!H1286)</f>
        <v/>
      </c>
      <c r="D1286" s="7" t="str">
        <f>IF(RETORNOS!I1286="","",RETORNOS!I1286)</f>
        <v/>
      </c>
      <c r="E1286" s="7" t="str">
        <f t="shared" si="2"/>
        <v/>
      </c>
      <c r="F1286" s="7" t="str">
        <f t="shared" si="3"/>
        <v/>
      </c>
      <c r="G1286" s="7" t="str">
        <f t="shared" si="4"/>
        <v/>
      </c>
      <c r="H1286" s="5" t="str">
        <f t="shared" ref="H1286:K1286" si="1286">IF(B1286="","",H1285*(1+B1286))</f>
        <v/>
      </c>
      <c r="I1286" s="5" t="str">
        <f t="shared" si="1286"/>
        <v/>
      </c>
      <c r="J1286" s="5" t="str">
        <f t="shared" si="1286"/>
        <v/>
      </c>
      <c r="K1286" s="5" t="str">
        <f t="shared" si="1286"/>
        <v/>
      </c>
      <c r="L1286" s="7" t="str">
        <f t="shared" si="6"/>
        <v/>
      </c>
    </row>
    <row r="1287" ht="15.75" customHeight="1">
      <c r="A1287" s="4" t="str">
        <f>IF(RETORNOS!A1287="","",RETORNOS!A1287)</f>
        <v/>
      </c>
      <c r="B1287" s="7" t="str">
        <f>IF(RETORNOS!B1287="","",OPTIMIZACION!$B$5*RETORNOS!B1287+OPTIMIZACION!$B$6*RETORNOS!C1287+OPTIMIZACION!$B$7*RETORNOS!D1287+OPTIMIZACION!$B$8*RETORNOS!E1287+OPTIMIZACION!$B$9*RETORNOS!F1287+OPTIMIZACION!$B$10*RETORNOS!G1287)</f>
        <v/>
      </c>
      <c r="C1287" s="7" t="str">
        <f>IF(RETORNOS!H1287="","",RETORNOS!H1287)</f>
        <v/>
      </c>
      <c r="D1287" s="7" t="str">
        <f>IF(RETORNOS!I1287="","",RETORNOS!I1287)</f>
        <v/>
      </c>
      <c r="E1287" s="7" t="str">
        <f t="shared" si="2"/>
        <v/>
      </c>
      <c r="F1287" s="7" t="str">
        <f t="shared" si="3"/>
        <v/>
      </c>
      <c r="G1287" s="7" t="str">
        <f t="shared" si="4"/>
        <v/>
      </c>
      <c r="H1287" s="5" t="str">
        <f t="shared" ref="H1287:K1287" si="1287">IF(B1287="","",H1286*(1+B1287))</f>
        <v/>
      </c>
      <c r="I1287" s="5" t="str">
        <f t="shared" si="1287"/>
        <v/>
      </c>
      <c r="J1287" s="5" t="str">
        <f t="shared" si="1287"/>
        <v/>
      </c>
      <c r="K1287" s="5" t="str">
        <f t="shared" si="1287"/>
        <v/>
      </c>
      <c r="L1287" s="7" t="str">
        <f t="shared" si="6"/>
        <v/>
      </c>
    </row>
    <row r="1288" ht="15.75" customHeight="1">
      <c r="A1288" s="4" t="str">
        <f>IF(RETORNOS!A1288="","",RETORNOS!A1288)</f>
        <v/>
      </c>
      <c r="B1288" s="7" t="str">
        <f>IF(RETORNOS!B1288="","",OPTIMIZACION!$B$5*RETORNOS!B1288+OPTIMIZACION!$B$6*RETORNOS!C1288+OPTIMIZACION!$B$7*RETORNOS!D1288+OPTIMIZACION!$B$8*RETORNOS!E1288+OPTIMIZACION!$B$9*RETORNOS!F1288+OPTIMIZACION!$B$10*RETORNOS!G1288)</f>
        <v/>
      </c>
      <c r="C1288" s="7" t="str">
        <f>IF(RETORNOS!H1288="","",RETORNOS!H1288)</f>
        <v/>
      </c>
      <c r="D1288" s="7" t="str">
        <f>IF(RETORNOS!I1288="","",RETORNOS!I1288)</f>
        <v/>
      </c>
      <c r="E1288" s="7" t="str">
        <f t="shared" si="2"/>
        <v/>
      </c>
      <c r="F1288" s="7" t="str">
        <f t="shared" si="3"/>
        <v/>
      </c>
      <c r="G1288" s="7" t="str">
        <f t="shared" si="4"/>
        <v/>
      </c>
      <c r="H1288" s="5" t="str">
        <f t="shared" ref="H1288:K1288" si="1288">IF(B1288="","",H1287*(1+B1288))</f>
        <v/>
      </c>
      <c r="I1288" s="5" t="str">
        <f t="shared" si="1288"/>
        <v/>
      </c>
      <c r="J1288" s="5" t="str">
        <f t="shared" si="1288"/>
        <v/>
      </c>
      <c r="K1288" s="5" t="str">
        <f t="shared" si="1288"/>
        <v/>
      </c>
      <c r="L1288" s="7" t="str">
        <f t="shared" si="6"/>
        <v/>
      </c>
    </row>
    <row r="1289" ht="15.75" customHeight="1">
      <c r="A1289" s="4" t="str">
        <f>IF(RETORNOS!A1289="","",RETORNOS!A1289)</f>
        <v/>
      </c>
      <c r="B1289" s="7" t="str">
        <f>IF(RETORNOS!B1289="","",OPTIMIZACION!$B$5*RETORNOS!B1289+OPTIMIZACION!$B$6*RETORNOS!C1289+OPTIMIZACION!$B$7*RETORNOS!D1289+OPTIMIZACION!$B$8*RETORNOS!E1289+OPTIMIZACION!$B$9*RETORNOS!F1289+OPTIMIZACION!$B$10*RETORNOS!G1289)</f>
        <v/>
      </c>
      <c r="C1289" s="7" t="str">
        <f>IF(RETORNOS!H1289="","",RETORNOS!H1289)</f>
        <v/>
      </c>
      <c r="D1289" s="7" t="str">
        <f>IF(RETORNOS!I1289="","",RETORNOS!I1289)</f>
        <v/>
      </c>
      <c r="E1289" s="7" t="str">
        <f t="shared" si="2"/>
        <v/>
      </c>
      <c r="F1289" s="7" t="str">
        <f t="shared" si="3"/>
        <v/>
      </c>
      <c r="G1289" s="7" t="str">
        <f t="shared" si="4"/>
        <v/>
      </c>
      <c r="H1289" s="5" t="str">
        <f t="shared" ref="H1289:K1289" si="1289">IF(B1289="","",H1288*(1+B1289))</f>
        <v/>
      </c>
      <c r="I1289" s="5" t="str">
        <f t="shared" si="1289"/>
        <v/>
      </c>
      <c r="J1289" s="5" t="str">
        <f t="shared" si="1289"/>
        <v/>
      </c>
      <c r="K1289" s="5" t="str">
        <f t="shared" si="1289"/>
        <v/>
      </c>
      <c r="L1289" s="7" t="str">
        <f t="shared" si="6"/>
        <v/>
      </c>
    </row>
    <row r="1290" ht="15.75" customHeight="1">
      <c r="A1290" s="4" t="str">
        <f>IF(RETORNOS!A1290="","",RETORNOS!A1290)</f>
        <v/>
      </c>
      <c r="B1290" s="7" t="str">
        <f>IF(RETORNOS!B1290="","",OPTIMIZACION!$B$5*RETORNOS!B1290+OPTIMIZACION!$B$6*RETORNOS!C1290+OPTIMIZACION!$B$7*RETORNOS!D1290+OPTIMIZACION!$B$8*RETORNOS!E1290+OPTIMIZACION!$B$9*RETORNOS!F1290+OPTIMIZACION!$B$10*RETORNOS!G1290)</f>
        <v/>
      </c>
      <c r="C1290" s="7" t="str">
        <f>IF(RETORNOS!H1290="","",RETORNOS!H1290)</f>
        <v/>
      </c>
      <c r="D1290" s="7" t="str">
        <f>IF(RETORNOS!I1290="","",RETORNOS!I1290)</f>
        <v/>
      </c>
      <c r="E1290" s="7" t="str">
        <f t="shared" si="2"/>
        <v/>
      </c>
      <c r="F1290" s="7" t="str">
        <f t="shared" si="3"/>
        <v/>
      </c>
      <c r="G1290" s="7" t="str">
        <f t="shared" si="4"/>
        <v/>
      </c>
      <c r="H1290" s="5" t="str">
        <f t="shared" ref="H1290:K1290" si="1290">IF(B1290="","",H1289*(1+B1290))</f>
        <v/>
      </c>
      <c r="I1290" s="5" t="str">
        <f t="shared" si="1290"/>
        <v/>
      </c>
      <c r="J1290" s="5" t="str">
        <f t="shared" si="1290"/>
        <v/>
      </c>
      <c r="K1290" s="5" t="str">
        <f t="shared" si="1290"/>
        <v/>
      </c>
      <c r="L1290" s="7" t="str">
        <f t="shared" si="6"/>
        <v/>
      </c>
    </row>
    <row r="1291" ht="15.75" customHeight="1">
      <c r="A1291" s="4" t="str">
        <f>IF(RETORNOS!A1291="","",RETORNOS!A1291)</f>
        <v/>
      </c>
      <c r="B1291" s="7" t="str">
        <f>IF(RETORNOS!B1291="","",OPTIMIZACION!$B$5*RETORNOS!B1291+OPTIMIZACION!$B$6*RETORNOS!C1291+OPTIMIZACION!$B$7*RETORNOS!D1291+OPTIMIZACION!$B$8*RETORNOS!E1291+OPTIMIZACION!$B$9*RETORNOS!F1291+OPTIMIZACION!$B$10*RETORNOS!G1291)</f>
        <v/>
      </c>
      <c r="C1291" s="7" t="str">
        <f>IF(RETORNOS!H1291="","",RETORNOS!H1291)</f>
        <v/>
      </c>
      <c r="D1291" s="7" t="str">
        <f>IF(RETORNOS!I1291="","",RETORNOS!I1291)</f>
        <v/>
      </c>
      <c r="E1291" s="7" t="str">
        <f t="shared" si="2"/>
        <v/>
      </c>
      <c r="F1291" s="7" t="str">
        <f t="shared" si="3"/>
        <v/>
      </c>
      <c r="G1291" s="7" t="str">
        <f t="shared" si="4"/>
        <v/>
      </c>
      <c r="H1291" s="5" t="str">
        <f t="shared" ref="H1291:K1291" si="1291">IF(B1291="","",H1290*(1+B1291))</f>
        <v/>
      </c>
      <c r="I1291" s="5" t="str">
        <f t="shared" si="1291"/>
        <v/>
      </c>
      <c r="J1291" s="5" t="str">
        <f t="shared" si="1291"/>
        <v/>
      </c>
      <c r="K1291" s="5" t="str">
        <f t="shared" si="1291"/>
        <v/>
      </c>
      <c r="L1291" s="7" t="str">
        <f t="shared" si="6"/>
        <v/>
      </c>
    </row>
    <row r="1292" ht="15.75" customHeight="1">
      <c r="A1292" s="4" t="str">
        <f>IF(RETORNOS!A1292="","",RETORNOS!A1292)</f>
        <v/>
      </c>
      <c r="B1292" s="7" t="str">
        <f>IF(RETORNOS!B1292="","",OPTIMIZACION!$B$5*RETORNOS!B1292+OPTIMIZACION!$B$6*RETORNOS!C1292+OPTIMIZACION!$B$7*RETORNOS!D1292+OPTIMIZACION!$B$8*RETORNOS!E1292+OPTIMIZACION!$B$9*RETORNOS!F1292+OPTIMIZACION!$B$10*RETORNOS!G1292)</f>
        <v/>
      </c>
      <c r="C1292" s="7" t="str">
        <f>IF(RETORNOS!H1292="","",RETORNOS!H1292)</f>
        <v/>
      </c>
      <c r="D1292" s="7" t="str">
        <f>IF(RETORNOS!I1292="","",RETORNOS!I1292)</f>
        <v/>
      </c>
      <c r="E1292" s="7" t="str">
        <f t="shared" si="2"/>
        <v/>
      </c>
      <c r="F1292" s="7" t="str">
        <f t="shared" si="3"/>
        <v/>
      </c>
      <c r="G1292" s="7" t="str">
        <f t="shared" si="4"/>
        <v/>
      </c>
      <c r="H1292" s="5" t="str">
        <f t="shared" ref="H1292:K1292" si="1292">IF(B1292="","",H1291*(1+B1292))</f>
        <v/>
      </c>
      <c r="I1292" s="5" t="str">
        <f t="shared" si="1292"/>
        <v/>
      </c>
      <c r="J1292" s="5" t="str">
        <f t="shared" si="1292"/>
        <v/>
      </c>
      <c r="K1292" s="5" t="str">
        <f t="shared" si="1292"/>
        <v/>
      </c>
      <c r="L1292" s="7" t="str">
        <f t="shared" si="6"/>
        <v/>
      </c>
    </row>
    <row r="1293" ht="15.75" customHeight="1">
      <c r="A1293" s="4" t="str">
        <f>IF(RETORNOS!A1293="","",RETORNOS!A1293)</f>
        <v/>
      </c>
      <c r="B1293" s="7" t="str">
        <f>IF(RETORNOS!B1293="","",OPTIMIZACION!$B$5*RETORNOS!B1293+OPTIMIZACION!$B$6*RETORNOS!C1293+OPTIMIZACION!$B$7*RETORNOS!D1293+OPTIMIZACION!$B$8*RETORNOS!E1293+OPTIMIZACION!$B$9*RETORNOS!F1293+OPTIMIZACION!$B$10*RETORNOS!G1293)</f>
        <v/>
      </c>
      <c r="C1293" s="7" t="str">
        <f>IF(RETORNOS!H1293="","",RETORNOS!H1293)</f>
        <v/>
      </c>
      <c r="D1293" s="7" t="str">
        <f>IF(RETORNOS!I1293="","",RETORNOS!I1293)</f>
        <v/>
      </c>
      <c r="E1293" s="7" t="str">
        <f t="shared" si="2"/>
        <v/>
      </c>
      <c r="F1293" s="7" t="str">
        <f t="shared" si="3"/>
        <v/>
      </c>
      <c r="G1293" s="7" t="str">
        <f t="shared" si="4"/>
        <v/>
      </c>
      <c r="H1293" s="5" t="str">
        <f t="shared" ref="H1293:K1293" si="1293">IF(B1293="","",H1292*(1+B1293))</f>
        <v/>
      </c>
      <c r="I1293" s="5" t="str">
        <f t="shared" si="1293"/>
        <v/>
      </c>
      <c r="J1293" s="5" t="str">
        <f t="shared" si="1293"/>
        <v/>
      </c>
      <c r="K1293" s="5" t="str">
        <f t="shared" si="1293"/>
        <v/>
      </c>
      <c r="L1293" s="7" t="str">
        <f t="shared" si="6"/>
        <v/>
      </c>
    </row>
    <row r="1294" ht="15.75" customHeight="1">
      <c r="A1294" s="4" t="str">
        <f>IF(RETORNOS!A1294="","",RETORNOS!A1294)</f>
        <v/>
      </c>
      <c r="B1294" s="7" t="str">
        <f>IF(RETORNOS!B1294="","",OPTIMIZACION!$B$5*RETORNOS!B1294+OPTIMIZACION!$B$6*RETORNOS!C1294+OPTIMIZACION!$B$7*RETORNOS!D1294+OPTIMIZACION!$B$8*RETORNOS!E1294+OPTIMIZACION!$B$9*RETORNOS!F1294+OPTIMIZACION!$B$10*RETORNOS!G1294)</f>
        <v/>
      </c>
      <c r="C1294" s="7" t="str">
        <f>IF(RETORNOS!H1294="","",RETORNOS!H1294)</f>
        <v/>
      </c>
      <c r="D1294" s="7" t="str">
        <f>IF(RETORNOS!I1294="","",RETORNOS!I1294)</f>
        <v/>
      </c>
      <c r="E1294" s="7" t="str">
        <f t="shared" si="2"/>
        <v/>
      </c>
      <c r="F1294" s="7" t="str">
        <f t="shared" si="3"/>
        <v/>
      </c>
      <c r="G1294" s="7" t="str">
        <f t="shared" si="4"/>
        <v/>
      </c>
      <c r="H1294" s="5" t="str">
        <f t="shared" ref="H1294:K1294" si="1294">IF(B1294="","",H1293*(1+B1294))</f>
        <v/>
      </c>
      <c r="I1294" s="5" t="str">
        <f t="shared" si="1294"/>
        <v/>
      </c>
      <c r="J1294" s="5" t="str">
        <f t="shared" si="1294"/>
        <v/>
      </c>
      <c r="K1294" s="5" t="str">
        <f t="shared" si="1294"/>
        <v/>
      </c>
      <c r="L1294" s="7" t="str">
        <f t="shared" si="6"/>
        <v/>
      </c>
    </row>
    <row r="1295" ht="15.75" customHeight="1">
      <c r="A1295" s="4" t="str">
        <f>IF(RETORNOS!A1295="","",RETORNOS!A1295)</f>
        <v/>
      </c>
      <c r="B1295" s="7" t="str">
        <f>IF(RETORNOS!B1295="","",OPTIMIZACION!$B$5*RETORNOS!B1295+OPTIMIZACION!$B$6*RETORNOS!C1295+OPTIMIZACION!$B$7*RETORNOS!D1295+OPTIMIZACION!$B$8*RETORNOS!E1295+OPTIMIZACION!$B$9*RETORNOS!F1295+OPTIMIZACION!$B$10*RETORNOS!G1295)</f>
        <v/>
      </c>
      <c r="C1295" s="7" t="str">
        <f>IF(RETORNOS!H1295="","",RETORNOS!H1295)</f>
        <v/>
      </c>
      <c r="D1295" s="7" t="str">
        <f>IF(RETORNOS!I1295="","",RETORNOS!I1295)</f>
        <v/>
      </c>
      <c r="E1295" s="7" t="str">
        <f t="shared" si="2"/>
        <v/>
      </c>
      <c r="F1295" s="7" t="str">
        <f t="shared" si="3"/>
        <v/>
      </c>
      <c r="G1295" s="7" t="str">
        <f t="shared" si="4"/>
        <v/>
      </c>
      <c r="H1295" s="5" t="str">
        <f t="shared" ref="H1295:K1295" si="1295">IF(B1295="","",H1294*(1+B1295))</f>
        <v/>
      </c>
      <c r="I1295" s="5" t="str">
        <f t="shared" si="1295"/>
        <v/>
      </c>
      <c r="J1295" s="5" t="str">
        <f t="shared" si="1295"/>
        <v/>
      </c>
      <c r="K1295" s="5" t="str">
        <f t="shared" si="1295"/>
        <v/>
      </c>
      <c r="L1295" s="7" t="str">
        <f t="shared" si="6"/>
        <v/>
      </c>
    </row>
    <row r="1296" ht="15.75" customHeight="1">
      <c r="A1296" s="4" t="str">
        <f>IF(RETORNOS!A1296="","",RETORNOS!A1296)</f>
        <v/>
      </c>
      <c r="B1296" s="7" t="str">
        <f>IF(RETORNOS!B1296="","",OPTIMIZACION!$B$5*RETORNOS!B1296+OPTIMIZACION!$B$6*RETORNOS!C1296+OPTIMIZACION!$B$7*RETORNOS!D1296+OPTIMIZACION!$B$8*RETORNOS!E1296+OPTIMIZACION!$B$9*RETORNOS!F1296+OPTIMIZACION!$B$10*RETORNOS!G1296)</f>
        <v/>
      </c>
      <c r="C1296" s="7" t="str">
        <f>IF(RETORNOS!H1296="","",RETORNOS!H1296)</f>
        <v/>
      </c>
      <c r="D1296" s="7" t="str">
        <f>IF(RETORNOS!I1296="","",RETORNOS!I1296)</f>
        <v/>
      </c>
      <c r="E1296" s="7" t="str">
        <f t="shared" si="2"/>
        <v/>
      </c>
      <c r="F1296" s="7" t="str">
        <f t="shared" si="3"/>
        <v/>
      </c>
      <c r="G1296" s="7" t="str">
        <f t="shared" si="4"/>
        <v/>
      </c>
      <c r="H1296" s="5" t="str">
        <f t="shared" ref="H1296:K1296" si="1296">IF(B1296="","",H1295*(1+B1296))</f>
        <v/>
      </c>
      <c r="I1296" s="5" t="str">
        <f t="shared" si="1296"/>
        <v/>
      </c>
      <c r="J1296" s="5" t="str">
        <f t="shared" si="1296"/>
        <v/>
      </c>
      <c r="K1296" s="5" t="str">
        <f t="shared" si="1296"/>
        <v/>
      </c>
      <c r="L1296" s="7" t="str">
        <f t="shared" si="6"/>
        <v/>
      </c>
    </row>
    <row r="1297" ht="15.75" customHeight="1">
      <c r="A1297" s="4" t="str">
        <f>IF(RETORNOS!A1297="","",RETORNOS!A1297)</f>
        <v/>
      </c>
      <c r="B1297" s="7" t="str">
        <f>IF(RETORNOS!B1297="","",OPTIMIZACION!$B$5*RETORNOS!B1297+OPTIMIZACION!$B$6*RETORNOS!C1297+OPTIMIZACION!$B$7*RETORNOS!D1297+OPTIMIZACION!$B$8*RETORNOS!E1297+OPTIMIZACION!$B$9*RETORNOS!F1297+OPTIMIZACION!$B$10*RETORNOS!G1297)</f>
        <v/>
      </c>
      <c r="C1297" s="7" t="str">
        <f>IF(RETORNOS!H1297="","",RETORNOS!H1297)</f>
        <v/>
      </c>
      <c r="D1297" s="7" t="str">
        <f>IF(RETORNOS!I1297="","",RETORNOS!I1297)</f>
        <v/>
      </c>
      <c r="E1297" s="7" t="str">
        <f t="shared" si="2"/>
        <v/>
      </c>
      <c r="F1297" s="7" t="str">
        <f t="shared" si="3"/>
        <v/>
      </c>
      <c r="G1297" s="7" t="str">
        <f t="shared" si="4"/>
        <v/>
      </c>
      <c r="H1297" s="5" t="str">
        <f t="shared" ref="H1297:K1297" si="1297">IF(B1297="","",H1296*(1+B1297))</f>
        <v/>
      </c>
      <c r="I1297" s="5" t="str">
        <f t="shared" si="1297"/>
        <v/>
      </c>
      <c r="J1297" s="5" t="str">
        <f t="shared" si="1297"/>
        <v/>
      </c>
      <c r="K1297" s="5" t="str">
        <f t="shared" si="1297"/>
        <v/>
      </c>
      <c r="L1297" s="7" t="str">
        <f t="shared" si="6"/>
        <v/>
      </c>
    </row>
    <row r="1298" ht="15.75" customHeight="1">
      <c r="A1298" s="4" t="str">
        <f>IF(RETORNOS!A1298="","",RETORNOS!A1298)</f>
        <v/>
      </c>
      <c r="B1298" s="7" t="str">
        <f>IF(RETORNOS!B1298="","",OPTIMIZACION!$B$5*RETORNOS!B1298+OPTIMIZACION!$B$6*RETORNOS!C1298+OPTIMIZACION!$B$7*RETORNOS!D1298+OPTIMIZACION!$B$8*RETORNOS!E1298+OPTIMIZACION!$B$9*RETORNOS!F1298+OPTIMIZACION!$B$10*RETORNOS!G1298)</f>
        <v/>
      </c>
      <c r="C1298" s="7" t="str">
        <f>IF(RETORNOS!H1298="","",RETORNOS!H1298)</f>
        <v/>
      </c>
      <c r="D1298" s="7" t="str">
        <f>IF(RETORNOS!I1298="","",RETORNOS!I1298)</f>
        <v/>
      </c>
      <c r="E1298" s="7" t="str">
        <f t="shared" si="2"/>
        <v/>
      </c>
      <c r="F1298" s="7" t="str">
        <f t="shared" si="3"/>
        <v/>
      </c>
      <c r="G1298" s="7" t="str">
        <f t="shared" si="4"/>
        <v/>
      </c>
      <c r="H1298" s="5" t="str">
        <f t="shared" ref="H1298:K1298" si="1298">IF(B1298="","",H1297*(1+B1298))</f>
        <v/>
      </c>
      <c r="I1298" s="5" t="str">
        <f t="shared" si="1298"/>
        <v/>
      </c>
      <c r="J1298" s="5" t="str">
        <f t="shared" si="1298"/>
        <v/>
      </c>
      <c r="K1298" s="5" t="str">
        <f t="shared" si="1298"/>
        <v/>
      </c>
      <c r="L1298" s="7" t="str">
        <f t="shared" si="6"/>
        <v/>
      </c>
    </row>
    <row r="1299" ht="15.75" customHeight="1">
      <c r="A1299" s="4" t="str">
        <f>IF(RETORNOS!A1299="","",RETORNOS!A1299)</f>
        <v/>
      </c>
      <c r="B1299" s="7" t="str">
        <f>IF(RETORNOS!B1299="","",OPTIMIZACION!$B$5*RETORNOS!B1299+OPTIMIZACION!$B$6*RETORNOS!C1299+OPTIMIZACION!$B$7*RETORNOS!D1299+OPTIMIZACION!$B$8*RETORNOS!E1299+OPTIMIZACION!$B$9*RETORNOS!F1299+OPTIMIZACION!$B$10*RETORNOS!G1299)</f>
        <v/>
      </c>
      <c r="C1299" s="7" t="str">
        <f>IF(RETORNOS!H1299="","",RETORNOS!H1299)</f>
        <v/>
      </c>
      <c r="D1299" s="7" t="str">
        <f>IF(RETORNOS!I1299="","",RETORNOS!I1299)</f>
        <v/>
      </c>
      <c r="E1299" s="7" t="str">
        <f t="shared" si="2"/>
        <v/>
      </c>
      <c r="F1299" s="7" t="str">
        <f t="shared" si="3"/>
        <v/>
      </c>
      <c r="G1299" s="7" t="str">
        <f t="shared" si="4"/>
        <v/>
      </c>
      <c r="H1299" s="5" t="str">
        <f t="shared" ref="H1299:K1299" si="1299">IF(B1299="","",H1298*(1+B1299))</f>
        <v/>
      </c>
      <c r="I1299" s="5" t="str">
        <f t="shared" si="1299"/>
        <v/>
      </c>
      <c r="J1299" s="5" t="str">
        <f t="shared" si="1299"/>
        <v/>
      </c>
      <c r="K1299" s="5" t="str">
        <f t="shared" si="1299"/>
        <v/>
      </c>
      <c r="L1299" s="7" t="str">
        <f t="shared" si="6"/>
        <v/>
      </c>
    </row>
    <row r="1300" ht="15.75" customHeight="1">
      <c r="A1300" s="4" t="str">
        <f>IF(RETORNOS!A1300="","",RETORNOS!A1300)</f>
        <v/>
      </c>
      <c r="B1300" s="7" t="str">
        <f>IF(RETORNOS!B1300="","",OPTIMIZACION!$B$5*RETORNOS!B1300+OPTIMIZACION!$B$6*RETORNOS!C1300+OPTIMIZACION!$B$7*RETORNOS!D1300+OPTIMIZACION!$B$8*RETORNOS!E1300+OPTIMIZACION!$B$9*RETORNOS!F1300+OPTIMIZACION!$B$10*RETORNOS!G1300)</f>
        <v/>
      </c>
      <c r="C1300" s="7" t="str">
        <f>IF(RETORNOS!H1300="","",RETORNOS!H1300)</f>
        <v/>
      </c>
      <c r="D1300" s="7" t="str">
        <f>IF(RETORNOS!I1300="","",RETORNOS!I1300)</f>
        <v/>
      </c>
      <c r="E1300" s="7" t="str">
        <f t="shared" si="2"/>
        <v/>
      </c>
      <c r="F1300" s="7" t="str">
        <f t="shared" si="3"/>
        <v/>
      </c>
      <c r="G1300" s="7" t="str">
        <f t="shared" si="4"/>
        <v/>
      </c>
      <c r="H1300" s="5" t="str">
        <f t="shared" ref="H1300:K1300" si="1300">IF(B1300="","",H1299*(1+B1300))</f>
        <v/>
      </c>
      <c r="I1300" s="5" t="str">
        <f t="shared" si="1300"/>
        <v/>
      </c>
      <c r="J1300" s="5" t="str">
        <f t="shared" si="1300"/>
        <v/>
      </c>
      <c r="K1300" s="5" t="str">
        <f t="shared" si="1300"/>
        <v/>
      </c>
      <c r="L1300" s="7" t="str">
        <f t="shared" si="6"/>
        <v/>
      </c>
    </row>
  </sheetData>
  <printOptions/>
  <pageMargins bottom="0.75" footer="0.0" header="0.0" left="0.7" right="0.7" top="0.75"/>
  <pageSetup orientation="landscape"/>
  <drawing r:id="rId1"/>
</worksheet>
</file>